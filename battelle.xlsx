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7d368585e8d05d/Projects/Batelle/batelle/"/>
    </mc:Choice>
  </mc:AlternateContent>
  <xr:revisionPtr revIDLastSave="2027" documentId="8_{28495B91-9B64-4D88-8893-5653D6BA9B61}" xr6:coauthVersionLast="47" xr6:coauthVersionMax="47" xr10:uidLastSave="{9C02C2D7-6193-465B-9C22-3F32C831B48D}"/>
  <bookViews>
    <workbookView xWindow="-120" yWindow="-120" windowWidth="20730" windowHeight="11160" tabRatio="612" xr2:uid="{9B71A4BC-8654-451A-8121-C9F88DB92287}"/>
  </bookViews>
  <sheets>
    <sheet name="Summary" sheetId="2" r:id="rId1"/>
    <sheet name="SC" sheetId="1" r:id="rId2"/>
    <sheet name="PR" sheetId="4" r:id="rId3"/>
    <sheet name="AI" sheetId="5" r:id="rId4"/>
    <sheet name="SR" sheetId="7" r:id="rId5"/>
    <sheet name="RC" sheetId="8" r:id="rId6"/>
    <sheet name="EC" sheetId="9" r:id="rId7"/>
    <sheet name="PI" sheetId="6" r:id="rId8"/>
    <sheet name="GM" sheetId="10" r:id="rId9"/>
    <sheet name="FM" sheetId="11" r:id="rId10"/>
    <sheet name="PM" sheetId="12" r:id="rId11"/>
    <sheet name="AM" sheetId="13" r:id="rId12"/>
    <sheet name="RA" sheetId="14" r:id="rId13"/>
    <sheet name="PC" sheetId="15" r:id="rId14"/>
    <sheet name="Age Equivalent" sheetId="17" r:id="rId15"/>
    <sheet name="Scaled Scores" sheetId="18" r:id="rId16"/>
    <sheet name="Other Metrics" sheetId="19" r:id="rId17"/>
    <sheet name="DQs" sheetId="20" r:id="rId18"/>
  </sheets>
  <definedNames>
    <definedName name="DQ.ADP_0_11_Months">DQs!$B$7:$E$25</definedName>
    <definedName name="DQ.ADP_24_71_Months">DQs!$F$7:$I$43</definedName>
    <definedName name="DQ.COG_0_23_Months">DQs!$AL$7:$AO$43</definedName>
    <definedName name="DQ.COG_24_71_Months">DQs!$AP$8:$AS$62</definedName>
    <definedName name="DQ.COM_0_23_Months">DQs!$T$7:$W$43</definedName>
    <definedName name="DQ.COM_24_71_Months">DQs!$X$7:$AA$43</definedName>
    <definedName name="DQ.MOT_0_23_Months">DQs!$AC$7:$AF$43</definedName>
    <definedName name="DQ.MOT_24_71_Months">DQs!$AG$8:$AJ$62</definedName>
    <definedName name="DQ.PS_0_23_Months">DQs!$K$7:$N$43</definedName>
    <definedName name="DQ.PS_24_71_Months">DQs!$O$7:$R$61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9" i="2" l="1"/>
  <c r="M19" i="2"/>
  <c r="L19" i="2"/>
  <c r="H26" i="2"/>
  <c r="AM1" i="20"/>
  <c r="N18" i="2"/>
  <c r="M18" i="2"/>
  <c r="L18" i="2"/>
  <c r="K17" i="2"/>
  <c r="H16" i="2"/>
  <c r="H21" i="2"/>
  <c r="AD1" i="20"/>
  <c r="N17" i="2"/>
  <c r="M17" i="2"/>
  <c r="L17" i="2"/>
  <c r="H12" i="2"/>
  <c r="U1" i="20"/>
  <c r="N16" i="2"/>
  <c r="M16" i="2"/>
  <c r="L16" i="2"/>
  <c r="N15" i="2"/>
  <c r="M15" i="2"/>
  <c r="L15" i="2"/>
  <c r="L1" i="20"/>
  <c r="C1" i="20"/>
  <c r="C11" i="2"/>
  <c r="D5" i="2"/>
  <c r="L8" i="2"/>
  <c r="D9" i="2"/>
  <c r="AL5" i="17"/>
  <c r="AL6" i="17" s="1"/>
  <c r="AL7" i="17" s="1"/>
  <c r="AL8" i="17" s="1"/>
  <c r="AL9" i="17" s="1"/>
  <c r="AL10" i="17" s="1"/>
  <c r="AL11" i="17" s="1"/>
  <c r="AL12" i="17" s="1"/>
  <c r="AL13" i="17" s="1"/>
  <c r="AL14" i="17" s="1"/>
  <c r="AL15" i="17" s="1"/>
  <c r="AL16" i="17" s="1"/>
  <c r="AL17" i="17" s="1"/>
  <c r="AL18" i="17" s="1"/>
  <c r="AL19" i="17" s="1"/>
  <c r="AL20" i="17" s="1"/>
  <c r="AL21" i="17" s="1"/>
  <c r="AL22" i="17" s="1"/>
  <c r="AL23" i="17" s="1"/>
  <c r="AL24" i="17" s="1"/>
  <c r="AL25" i="17" s="1"/>
  <c r="AL26" i="17" s="1"/>
  <c r="AL27" i="17" s="1"/>
  <c r="AL28" i="17" s="1"/>
  <c r="AL29" i="17" s="1"/>
  <c r="AL30" i="17" s="1"/>
  <c r="AL31" i="17" s="1"/>
  <c r="AL32" i="17" s="1"/>
  <c r="AL33" i="17" s="1"/>
  <c r="AL34" i="17" s="1"/>
  <c r="AL35" i="17" s="1"/>
  <c r="AL36" i="17" s="1"/>
  <c r="AL37" i="17" s="1"/>
  <c r="AL38" i="17" s="1"/>
  <c r="AL39" i="17" s="1"/>
  <c r="AL40" i="17" s="1"/>
  <c r="AL41" i="17" s="1"/>
  <c r="AL42" i="17" s="1"/>
  <c r="AL43" i="17" s="1"/>
  <c r="AL44" i="17" s="1"/>
  <c r="AL45" i="17" s="1"/>
  <c r="AL46" i="17" s="1"/>
  <c r="AL47" i="17" s="1"/>
  <c r="AL48" i="17" s="1"/>
  <c r="AL49" i="17" s="1"/>
  <c r="AL50" i="17" s="1"/>
  <c r="AL51" i="17" s="1"/>
  <c r="AL52" i="17" s="1"/>
  <c r="AI5" i="17"/>
  <c r="AI6" i="17" s="1"/>
  <c r="AI7" i="17" s="1"/>
  <c r="AI8" i="17" s="1"/>
  <c r="AI9" i="17" s="1"/>
  <c r="AI10" i="17" s="1"/>
  <c r="AI11" i="17" s="1"/>
  <c r="AI12" i="17" s="1"/>
  <c r="AI13" i="17" s="1"/>
  <c r="AI14" i="17" s="1"/>
  <c r="AI15" i="17" s="1"/>
  <c r="AI16" i="17" s="1"/>
  <c r="AI17" i="17" s="1"/>
  <c r="AI18" i="17" s="1"/>
  <c r="AI19" i="17" s="1"/>
  <c r="AI20" i="17" s="1"/>
  <c r="AI21" i="17" s="1"/>
  <c r="AI22" i="17" s="1"/>
  <c r="AI23" i="17" s="1"/>
  <c r="AI24" i="17" s="1"/>
  <c r="AI25" i="17" s="1"/>
  <c r="AI26" i="17" s="1"/>
  <c r="AI27" i="17" s="1"/>
  <c r="AI28" i="17" s="1"/>
  <c r="AI29" i="17" s="1"/>
  <c r="AI30" i="17" s="1"/>
  <c r="AI31" i="17" s="1"/>
  <c r="AI32" i="17" s="1"/>
  <c r="AI33" i="17" s="1"/>
  <c r="AI34" i="17" s="1"/>
  <c r="AI35" i="17" s="1"/>
  <c r="AI36" i="17" s="1"/>
  <c r="AI37" i="17" s="1"/>
  <c r="AI38" i="17" s="1"/>
  <c r="AI39" i="17" s="1"/>
  <c r="AI40" i="17" s="1"/>
  <c r="AF5" i="17"/>
  <c r="AF6" i="17" s="1"/>
  <c r="AF7" i="17" s="1"/>
  <c r="AF8" i="17" s="1"/>
  <c r="AF9" i="17" s="1"/>
  <c r="AF10" i="17" s="1"/>
  <c r="AF11" i="17" s="1"/>
  <c r="AF12" i="17" s="1"/>
  <c r="AF13" i="17" s="1"/>
  <c r="AF14" i="17" s="1"/>
  <c r="AF15" i="17" s="1"/>
  <c r="AF16" i="17" s="1"/>
  <c r="AF17" i="17" s="1"/>
  <c r="AF18" i="17" s="1"/>
  <c r="AF19" i="17" s="1"/>
  <c r="AF20" i="17" s="1"/>
  <c r="AF21" i="17" s="1"/>
  <c r="AF22" i="17" s="1"/>
  <c r="AF23" i="17" s="1"/>
  <c r="AF24" i="17" s="1"/>
  <c r="AF25" i="17" s="1"/>
  <c r="AF26" i="17" s="1"/>
  <c r="AF27" i="17" s="1"/>
  <c r="AF28" i="17" s="1"/>
  <c r="AF29" i="17" s="1"/>
  <c r="AF30" i="17" s="1"/>
  <c r="AF31" i="17" s="1"/>
  <c r="AF32" i="17" s="1"/>
  <c r="AF33" i="17" s="1"/>
  <c r="AF34" i="17" s="1"/>
  <c r="AF35" i="17" s="1"/>
  <c r="AF36" i="17" s="1"/>
  <c r="AF37" i="17" s="1"/>
  <c r="AF38" i="17" s="1"/>
  <c r="AF39" i="17" s="1"/>
  <c r="AF40" i="17" s="1"/>
  <c r="AF41" i="17" s="1"/>
  <c r="AF42" i="17" s="1"/>
  <c r="AF43" i="17" s="1"/>
  <c r="AF44" i="17" s="1"/>
  <c r="AF45" i="17" s="1"/>
  <c r="AF46" i="17" s="1"/>
  <c r="AF47" i="17" s="1"/>
  <c r="AF48" i="17" s="1"/>
  <c r="AF49" i="17" s="1"/>
  <c r="AF50" i="17" s="1"/>
  <c r="AF51" i="17" s="1"/>
  <c r="AF52" i="17" s="1"/>
  <c r="AF53" i="17" s="1"/>
  <c r="AF54" i="17" s="1"/>
  <c r="AF55" i="17" s="1"/>
  <c r="AF56" i="17" s="1"/>
  <c r="AF57" i="17" s="1"/>
  <c r="AF58" i="17" s="1"/>
  <c r="AF59" i="17" s="1"/>
  <c r="AF60" i="17" s="1"/>
  <c r="AF61" i="17" s="1"/>
  <c r="AF62" i="17" s="1"/>
  <c r="AF63" i="17" s="1"/>
  <c r="AF64" i="17" s="1"/>
  <c r="AC35" i="17"/>
  <c r="AC36" i="17" s="1"/>
  <c r="AC37" i="17" s="1"/>
  <c r="AC38" i="17" s="1"/>
  <c r="AC39" i="17" s="1"/>
  <c r="AC40" i="17" s="1"/>
  <c r="AC41" i="17" s="1"/>
  <c r="AC42" i="17" s="1"/>
  <c r="AC43" i="17" s="1"/>
  <c r="AC44" i="17" s="1"/>
  <c r="AC45" i="17" s="1"/>
  <c r="AC46" i="17" s="1"/>
  <c r="AC47" i="17" s="1"/>
  <c r="AC48" i="17" s="1"/>
  <c r="AC49" i="17" s="1"/>
  <c r="AC50" i="17" s="1"/>
  <c r="AC51" i="17" s="1"/>
  <c r="AC52" i="17" s="1"/>
  <c r="AC53" i="17" s="1"/>
  <c r="AC54" i="17" s="1"/>
  <c r="AC5" i="17"/>
  <c r="AC6" i="17" s="1"/>
  <c r="AC7" i="17" s="1"/>
  <c r="AC8" i="17" s="1"/>
  <c r="AC9" i="17" s="1"/>
  <c r="AC10" i="17" s="1"/>
  <c r="AC11" i="17" s="1"/>
  <c r="AC12" i="17" s="1"/>
  <c r="AC13" i="17" s="1"/>
  <c r="AC14" i="17" s="1"/>
  <c r="AC15" i="17" s="1"/>
  <c r="AC16" i="17" s="1"/>
  <c r="AC17" i="17" s="1"/>
  <c r="AC18" i="17" s="1"/>
  <c r="AC19" i="17" s="1"/>
  <c r="AC20" i="17" s="1"/>
  <c r="AC21" i="17" s="1"/>
  <c r="AC22" i="17" s="1"/>
  <c r="AC23" i="17" s="1"/>
  <c r="AC24" i="17" s="1"/>
  <c r="AC25" i="17" s="1"/>
  <c r="AC26" i="17" s="1"/>
  <c r="AC27" i="17" s="1"/>
  <c r="AC28" i="17" s="1"/>
  <c r="AC29" i="17" s="1"/>
  <c r="AC30" i="17" s="1"/>
  <c r="AC31" i="17" s="1"/>
  <c r="AC32" i="17" s="1"/>
  <c r="AC33" i="17" s="1"/>
  <c r="AC34" i="17" s="1"/>
  <c r="Z5" i="17"/>
  <c r="Z6" i="17" s="1"/>
  <c r="Z7" i="17" s="1"/>
  <c r="Z8" i="17" s="1"/>
  <c r="Z9" i="17" s="1"/>
  <c r="Z10" i="17" s="1"/>
  <c r="Z11" i="17" s="1"/>
  <c r="Z12" i="17" s="1"/>
  <c r="Z13" i="17" s="1"/>
  <c r="Z14" i="17" s="1"/>
  <c r="Z15" i="17" s="1"/>
  <c r="Z16" i="17" s="1"/>
  <c r="Z17" i="17" s="1"/>
  <c r="Z18" i="17" s="1"/>
  <c r="Z19" i="17" s="1"/>
  <c r="Z20" i="17" s="1"/>
  <c r="Z21" i="17" s="1"/>
  <c r="Z22" i="17" s="1"/>
  <c r="Z23" i="17" s="1"/>
  <c r="Z24" i="17" s="1"/>
  <c r="Z25" i="17" s="1"/>
  <c r="Z26" i="17" s="1"/>
  <c r="Z27" i="17" s="1"/>
  <c r="Z28" i="17" s="1"/>
  <c r="Z29" i="17" s="1"/>
  <c r="Z30" i="17" s="1"/>
  <c r="Z31" i="17" s="1"/>
  <c r="Z32" i="17" s="1"/>
  <c r="Z33" i="17" s="1"/>
  <c r="Z34" i="17" s="1"/>
  <c r="Z35" i="17" s="1"/>
  <c r="Z36" i="17" s="1"/>
  <c r="Z37" i="17" s="1"/>
  <c r="Z38" i="17" s="1"/>
  <c r="Z39" i="17" s="1"/>
  <c r="Z40" i="17" s="1"/>
  <c r="Z41" i="17" s="1"/>
  <c r="Z42" i="17" s="1"/>
  <c r="Z43" i="17" s="1"/>
  <c r="Z44" i="17" s="1"/>
  <c r="Z45" i="17" s="1"/>
  <c r="Z46" i="17" s="1"/>
  <c r="Z47" i="17" s="1"/>
  <c r="Z48" i="17" s="1"/>
  <c r="Z49" i="17" s="1"/>
  <c r="Z50" i="17" s="1"/>
  <c r="Z51" i="17" s="1"/>
  <c r="Z52" i="17" s="1"/>
  <c r="Z53" i="17" s="1"/>
  <c r="Z54" i="17" s="1"/>
  <c r="Z55" i="17" s="1"/>
  <c r="Z56" i="17" s="1"/>
  <c r="Z57" i="17" s="1"/>
  <c r="Z58" i="17" s="1"/>
  <c r="Z59" i="17" s="1"/>
  <c r="Z60" i="17" s="1"/>
  <c r="Z61" i="17" s="1"/>
  <c r="Z62" i="17" s="1"/>
  <c r="Z63" i="17" s="1"/>
  <c r="Z64" i="17" s="1"/>
  <c r="W6" i="17"/>
  <c r="W7" i="17" s="1"/>
  <c r="W8" i="17" s="1"/>
  <c r="W9" i="17" s="1"/>
  <c r="W10" i="17" s="1"/>
  <c r="W11" i="17" s="1"/>
  <c r="W12" i="17" s="1"/>
  <c r="W13" i="17" s="1"/>
  <c r="W14" i="17" s="1"/>
  <c r="W15" i="17" s="1"/>
  <c r="W16" i="17" s="1"/>
  <c r="W17" i="17" s="1"/>
  <c r="W18" i="17" s="1"/>
  <c r="W19" i="17" s="1"/>
  <c r="W20" i="17" s="1"/>
  <c r="W21" i="17" s="1"/>
  <c r="W22" i="17" s="1"/>
  <c r="W23" i="17" s="1"/>
  <c r="W24" i="17" s="1"/>
  <c r="W25" i="17" s="1"/>
  <c r="W26" i="17" s="1"/>
  <c r="W27" i="17" s="1"/>
  <c r="W28" i="17" s="1"/>
  <c r="W29" i="17" s="1"/>
  <c r="W30" i="17" s="1"/>
  <c r="W31" i="17" s="1"/>
  <c r="W32" i="17" s="1"/>
  <c r="W33" i="17" s="1"/>
  <c r="W34" i="17" s="1"/>
  <c r="W35" i="17" s="1"/>
  <c r="W36" i="17" s="1"/>
  <c r="W37" i="17" s="1"/>
  <c r="W38" i="17" s="1"/>
  <c r="W39" i="17" s="1"/>
  <c r="W40" i="17" s="1"/>
  <c r="W41" i="17" s="1"/>
  <c r="W42" i="17" s="1"/>
  <c r="W43" i="17" s="1"/>
  <c r="W44" i="17" s="1"/>
  <c r="W45" i="17" s="1"/>
  <c r="W46" i="17" s="1"/>
  <c r="W47" i="17" s="1"/>
  <c r="W48" i="17" s="1"/>
  <c r="W49" i="17" s="1"/>
  <c r="W50" i="17" s="1"/>
  <c r="W51" i="17" s="1"/>
  <c r="W52" i="17" s="1"/>
  <c r="W53" i="17" s="1"/>
  <c r="W54" i="17" s="1"/>
  <c r="W55" i="17" s="1"/>
  <c r="W56" i="17" s="1"/>
  <c r="W57" i="17" s="1"/>
  <c r="W58" i="17" s="1"/>
  <c r="W59" i="17" s="1"/>
  <c r="W60" i="17" s="1"/>
  <c r="W61" i="17" s="1"/>
  <c r="W62" i="17" s="1"/>
  <c r="W63" i="17" s="1"/>
  <c r="W64" i="17" s="1"/>
  <c r="W65" i="17" s="1"/>
  <c r="W66" i="17" s="1"/>
  <c r="W67" i="17" s="1"/>
  <c r="W68" i="17" s="1"/>
  <c r="W69" i="17" s="1"/>
  <c r="W70" i="17" s="1"/>
  <c r="W71" i="17" s="1"/>
  <c r="W72" i="17" s="1"/>
  <c r="W73" i="17" s="1"/>
  <c r="W74" i="17" s="1"/>
  <c r="W75" i="17" s="1"/>
  <c r="W76" i="17" s="1"/>
  <c r="W77" i="17" s="1"/>
  <c r="W78" i="17" s="1"/>
  <c r="W79" i="17" s="1"/>
  <c r="W80" i="17" s="1"/>
  <c r="W81" i="17" s="1"/>
  <c r="W82" i="17" s="1"/>
  <c r="W83" i="17" s="1"/>
  <c r="W84" i="17" s="1"/>
  <c r="W85" i="17" s="1"/>
  <c r="W86" i="17" s="1"/>
  <c r="W87" i="17" s="1"/>
  <c r="W88" i="17" s="1"/>
  <c r="W89" i="17" s="1"/>
  <c r="W90" i="17" s="1"/>
  <c r="W91" i="17" s="1"/>
  <c r="W92" i="17" s="1"/>
  <c r="W93" i="17" s="1"/>
  <c r="W94" i="17" s="1"/>
  <c r="W95" i="17" s="1"/>
  <c r="W96" i="17" s="1"/>
  <c r="W5" i="17"/>
  <c r="T6" i="17"/>
  <c r="T7" i="17" s="1"/>
  <c r="T8" i="17" s="1"/>
  <c r="T9" i="17" s="1"/>
  <c r="T10" i="17" s="1"/>
  <c r="T11" i="17" s="1"/>
  <c r="T12" i="17" s="1"/>
  <c r="T13" i="17" s="1"/>
  <c r="T14" i="17" s="1"/>
  <c r="T15" i="17" s="1"/>
  <c r="T16" i="17" s="1"/>
  <c r="T17" i="17" s="1"/>
  <c r="T18" i="17" s="1"/>
  <c r="T19" i="17" s="1"/>
  <c r="T20" i="17" s="1"/>
  <c r="T21" i="17" s="1"/>
  <c r="T22" i="17" s="1"/>
  <c r="T23" i="17" s="1"/>
  <c r="T24" i="17" s="1"/>
  <c r="T25" i="17" s="1"/>
  <c r="T26" i="17" s="1"/>
  <c r="T27" i="17" s="1"/>
  <c r="T28" i="17" s="1"/>
  <c r="T29" i="17" s="1"/>
  <c r="T30" i="17" s="1"/>
  <c r="T31" i="17" s="1"/>
  <c r="T32" i="17" s="1"/>
  <c r="T33" i="17" s="1"/>
  <c r="T34" i="17" s="1"/>
  <c r="T35" i="17" s="1"/>
  <c r="T36" i="17" s="1"/>
  <c r="T37" i="17" s="1"/>
  <c r="T38" i="17" s="1"/>
  <c r="T39" i="17" s="1"/>
  <c r="T40" i="17" s="1"/>
  <c r="T41" i="17" s="1"/>
  <c r="T42" i="17" s="1"/>
  <c r="T43" i="17" s="1"/>
  <c r="T44" i="17" s="1"/>
  <c r="T45" i="17" s="1"/>
  <c r="T46" i="17" s="1"/>
  <c r="T47" i="17" s="1"/>
  <c r="T48" i="17" s="1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" i="17"/>
  <c r="Q6" i="17"/>
  <c r="Q7" i="17" s="1"/>
  <c r="Q8" i="17" s="1"/>
  <c r="Q9" i="17" s="1"/>
  <c r="Q10" i="17" s="1"/>
  <c r="Q11" i="17" s="1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Q38" i="17" s="1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" i="17"/>
  <c r="N6" i="17"/>
  <c r="N7" i="17" s="1"/>
  <c r="N8" i="17" s="1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N27" i="17" s="1"/>
  <c r="N28" i="17" s="1"/>
  <c r="N29" i="17" s="1"/>
  <c r="N30" i="17" s="1"/>
  <c r="N31" i="17" s="1"/>
  <c r="N32" i="17" s="1"/>
  <c r="N33" i="17" s="1"/>
  <c r="N34" i="17" s="1"/>
  <c r="N35" i="17" s="1"/>
  <c r="N36" i="17" s="1"/>
  <c r="N37" i="17" s="1"/>
  <c r="N38" i="17" s="1"/>
  <c r="N39" i="17" s="1"/>
  <c r="N40" i="17" s="1"/>
  <c r="N41" i="17" s="1"/>
  <c r="N42" i="17" s="1"/>
  <c r="N43" i="17" s="1"/>
  <c r="N44" i="17" s="1"/>
  <c r="N45" i="17" s="1"/>
  <c r="N46" i="17" s="1"/>
  <c r="N47" i="17" s="1"/>
  <c r="N48" i="17" s="1"/>
  <c r="N49" i="17" s="1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N70" i="17" s="1"/>
  <c r="N71" i="17" s="1"/>
  <c r="N72" i="17" s="1"/>
  <c r="N73" i="17" s="1"/>
  <c r="N74" i="17" s="1"/>
  <c r="N75" i="17" s="1"/>
  <c r="N76" i="17" s="1"/>
  <c r="N77" i="17" s="1"/>
  <c r="N78" i="17" s="1"/>
  <c r="N79" i="17" s="1"/>
  <c r="N80" i="17" s="1"/>
  <c r="N81" i="17" s="1"/>
  <c r="N82" i="17" s="1"/>
  <c r="N83" i="17" s="1"/>
  <c r="N84" i="17" s="1"/>
  <c r="N85" i="17" s="1"/>
  <c r="N86" i="17" s="1"/>
  <c r="N87" i="17" s="1"/>
  <c r="N88" i="17" s="1"/>
  <c r="N89" i="17" s="1"/>
  <c r="N90" i="17" s="1"/>
  <c r="N91" i="17" s="1"/>
  <c r="N92" i="17" s="1"/>
  <c r="N5" i="17"/>
  <c r="K6" i="17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K25" i="17" s="1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" i="17"/>
  <c r="E46" i="17"/>
  <c r="E47" i="17" s="1"/>
  <c r="E48" i="17" s="1"/>
  <c r="E49" i="17" s="1"/>
  <c r="E50" i="17" s="1"/>
  <c r="E51" i="17" s="1"/>
  <c r="E52" i="17" s="1"/>
  <c r="E45" i="17"/>
  <c r="E44" i="17"/>
  <c r="B68" i="17"/>
  <c r="B69" i="17" s="1"/>
  <c r="B70" i="17" s="1"/>
  <c r="B71" i="17" s="1"/>
  <c r="B72" i="17" s="1"/>
  <c r="B73" i="17" s="1"/>
  <c r="B74" i="17" s="1"/>
  <c r="B75" i="17" s="1"/>
  <c r="B67" i="17"/>
  <c r="E6" i="17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5" i="17"/>
  <c r="B5" i="17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M7" i="2"/>
  <c r="K7" i="2"/>
  <c r="L7" i="2"/>
  <c r="D25" i="2"/>
  <c r="C25" i="2" s="1"/>
  <c r="D24" i="2"/>
  <c r="C24" i="2" s="1"/>
  <c r="D23" i="2"/>
  <c r="D19" i="2"/>
  <c r="C19" i="2" s="1"/>
  <c r="D18" i="2"/>
  <c r="C18" i="2" s="1"/>
  <c r="D15" i="2"/>
  <c r="D14" i="2"/>
  <c r="C14" i="2" s="1"/>
  <c r="D11" i="2"/>
  <c r="J20" i="2"/>
  <c r="J19" i="2"/>
  <c r="J18" i="2"/>
  <c r="J17" i="2"/>
  <c r="J16" i="2"/>
  <c r="D26" i="2" l="1"/>
  <c r="C23" i="2"/>
  <c r="C26" i="2" s="1"/>
  <c r="D16" i="2"/>
  <c r="C15" i="2"/>
  <c r="C16" i="2" s="1"/>
  <c r="C5" i="2"/>
  <c r="AZ5" i="18"/>
  <c r="AV5" i="18"/>
  <c r="AR5" i="18"/>
  <c r="AJ5" i="18"/>
  <c r="AF5" i="18"/>
  <c r="AB5" i="18"/>
  <c r="X5" i="18"/>
  <c r="D5" i="18"/>
  <c r="L5" i="18"/>
  <c r="T5" i="18"/>
  <c r="F11" i="2" s="1"/>
  <c r="G11" i="2" s="1"/>
  <c r="C9" i="2"/>
  <c r="D6" i="2"/>
  <c r="D20" i="2"/>
  <c r="D10" i="2"/>
  <c r="D7" i="2" l="1"/>
  <c r="C6" i="2"/>
  <c r="C20" i="2"/>
  <c r="C21" i="2" s="1"/>
  <c r="D12" i="2"/>
  <c r="C10" i="2"/>
  <c r="C12" i="2" s="1"/>
  <c r="C7" i="2"/>
  <c r="AN5" i="18"/>
  <c r="D21" i="2"/>
  <c r="H5" i="18"/>
  <c r="P5" i="18"/>
  <c r="E25" i="2"/>
  <c r="F25" i="2"/>
  <c r="G25" i="2" s="1"/>
  <c r="F24" i="2"/>
  <c r="G24" i="2" s="1"/>
  <c r="E24" i="2"/>
  <c r="E23" i="2"/>
  <c r="F23" i="2"/>
  <c r="G23" i="2" s="1"/>
  <c r="F19" i="2"/>
  <c r="G19" i="2" s="1"/>
  <c r="E19" i="2"/>
  <c r="F18" i="2"/>
  <c r="G18" i="2" s="1"/>
  <c r="E18" i="2"/>
  <c r="F15" i="2"/>
  <c r="G15" i="2" s="1"/>
  <c r="E15" i="2"/>
  <c r="F14" i="2"/>
  <c r="G14" i="2" s="1"/>
  <c r="E14" i="2"/>
  <c r="E11" i="2"/>
  <c r="F9" i="2"/>
  <c r="E9" i="2"/>
  <c r="F5" i="2"/>
  <c r="E5" i="2"/>
  <c r="K19" i="2" l="1"/>
  <c r="E20" i="2"/>
  <c r="F20" i="2"/>
  <c r="G20" i="2" s="1"/>
  <c r="K18" i="2" s="1"/>
  <c r="F10" i="2"/>
  <c r="E10" i="2"/>
  <c r="G9" i="2"/>
  <c r="G5" i="2"/>
  <c r="H7" i="2"/>
  <c r="E6" i="2"/>
  <c r="F6" i="2"/>
  <c r="G6" i="2" s="1"/>
  <c r="K15" i="2" s="1"/>
  <c r="G10" i="2" l="1"/>
  <c r="K16" i="2"/>
  <c r="K20" i="2" l="1"/>
</calcChain>
</file>

<file path=xl/sharedStrings.xml><?xml version="1.0" encoding="utf-8"?>
<sst xmlns="http://schemas.openxmlformats.org/spreadsheetml/2006/main" count="5399" uniqueCount="1299">
  <si>
    <t>Adaptive (ADP)</t>
  </si>
  <si>
    <t>Self-Care (SC)</t>
  </si>
  <si>
    <t>Item Description</t>
  </si>
  <si>
    <t>Score</t>
  </si>
  <si>
    <t xml:space="preserve"> </t>
  </si>
  <si>
    <t>SC-1</t>
  </si>
  <si>
    <t>Sucks with smooth, coordinated movements</t>
  </si>
  <si>
    <t>SC-2</t>
  </si>
  <si>
    <t>Places both hands on a bottle or breast during feeding</t>
  </si>
  <si>
    <t>SC-3</t>
  </si>
  <si>
    <t>SC-4</t>
  </si>
  <si>
    <t>SC-5</t>
  </si>
  <si>
    <t>Takes strained food from a spoon and swallows it</t>
  </si>
  <si>
    <t>Eats semi-solid food when it is placed in their mouth</t>
  </si>
  <si>
    <t>SC-6</t>
  </si>
  <si>
    <t>Holds or supports a bottle to feed themselves</t>
  </si>
  <si>
    <t>SC-7</t>
  </si>
  <si>
    <t>Uses their lips to remove food from an eating utensil</t>
  </si>
  <si>
    <t>held by an adult</t>
  </si>
  <si>
    <t>0 1 2</t>
  </si>
  <si>
    <t>SC-8</t>
  </si>
  <si>
    <t>Feeds themselves bite-size pieces of food</t>
  </si>
  <si>
    <t>SC-9</t>
  </si>
  <si>
    <t>Drinks from a cup with assistance</t>
  </si>
  <si>
    <t>SC-10</t>
  </si>
  <si>
    <t>Chews food using a rotary (side-to-side) jam movement</t>
  </si>
  <si>
    <t>SC-11</t>
  </si>
  <si>
    <t>0-11 months</t>
  </si>
  <si>
    <t>13-23 months</t>
  </si>
  <si>
    <t>Mouths soft foods using up-and-down jaw movements and pushed food againts the top of their mouth with their tongue</t>
  </si>
  <si>
    <t>Summary Profile</t>
  </si>
  <si>
    <t>Domain and
Subdomain</t>
  </si>
  <si>
    <t>Age Equivalent
 (See Appendix A)</t>
  </si>
  <si>
    <t>Subdomain
Raw Score Total</t>
  </si>
  <si>
    <t>Subdomain
Percentile Rank</t>
  </si>
  <si>
    <t>Personal Responsibility (PR)</t>
  </si>
  <si>
    <t>Total</t>
  </si>
  <si>
    <t>Personal Social (P-S)</t>
  </si>
  <si>
    <t>Adult Interaction (AI)</t>
  </si>
  <si>
    <t>Peer Interaction (PI)</t>
  </si>
  <si>
    <t>Self-Concept and Social Role (SR)</t>
  </si>
  <si>
    <t>Communication (COM)</t>
  </si>
  <si>
    <t>Receptive Communication (RC)</t>
  </si>
  <si>
    <t>Expressive Communication (EC)</t>
  </si>
  <si>
    <t>Motor (MOT)</t>
  </si>
  <si>
    <t>Gross Motor (GM)</t>
  </si>
  <si>
    <t>Fine Motor (FM)</t>
  </si>
  <si>
    <t>Cognitive (COG)</t>
  </si>
  <si>
    <t>Attention and Memory (AM)</t>
  </si>
  <si>
    <t>Reasoning and Academic Skills (RA)</t>
  </si>
  <si>
    <t>Perception and Concepts (PC)</t>
  </si>
  <si>
    <t>DDI-2 Total</t>
  </si>
  <si>
    <t>Year</t>
  </si>
  <si>
    <t>Month</t>
  </si>
  <si>
    <t>Day</t>
  </si>
  <si>
    <t>Chronological Age</t>
  </si>
  <si>
    <t>Age in Months</t>
  </si>
  <si>
    <t>Conversion Table for Sum of Sealed Scores</t>
  </si>
  <si>
    <t>Sum of
Sealed
Score</t>
  </si>
  <si>
    <t>Develop-
mental
Quotient</t>
  </si>
  <si>
    <t>Percentile
Rank</t>
  </si>
  <si>
    <t>Confidence
Interval</t>
  </si>
  <si>
    <t>Helps dress themselves by holding out their arms/legs</t>
  </si>
  <si>
    <t>SC-12</t>
  </si>
  <si>
    <t>Asks for food or liquid with words or gestures</t>
  </si>
  <si>
    <t>SC-13</t>
  </si>
  <si>
    <t>Uses a spoon or other utiensil to feed themselves</t>
  </si>
  <si>
    <t>SC-14</t>
  </si>
  <si>
    <t>Removes their shoes without assistance</t>
  </si>
  <si>
    <t>SC-15</t>
  </si>
  <si>
    <t>Drinks from a cup without assitance with little spilling</t>
  </si>
  <si>
    <t>SC-16</t>
  </si>
  <si>
    <t>Feeds themselves with a spoon or fork without assistance</t>
  </si>
  <si>
    <t>2 years</t>
  </si>
  <si>
    <t>3 years</t>
  </si>
  <si>
    <t>SC-17</t>
  </si>
  <si>
    <t>Distinguishes between food and non-food substances</t>
  </si>
  <si>
    <t>SC-18</t>
  </si>
  <si>
    <t>Removes clothing unassisted</t>
  </si>
  <si>
    <t>SC-19</t>
  </si>
  <si>
    <t>Accurately responds "yes" or "no" when asked if they need to use the toilet</t>
  </si>
  <si>
    <t>SC-20</t>
  </si>
  <si>
    <t>Expresses a need to use the toilet</t>
  </si>
  <si>
    <t>SC-21</t>
  </si>
  <si>
    <t>Controls bowel movements regularly</t>
  </si>
  <si>
    <t>4 years</t>
  </si>
  <si>
    <t>SC-22</t>
  </si>
  <si>
    <t>Asks for food at the table</t>
  </si>
  <si>
    <t>SC-23</t>
  </si>
  <si>
    <t>Blows their nose with assistance</t>
  </si>
  <si>
    <t>SC-24</t>
  </si>
  <si>
    <t>Washes and dries their hands with assistance</t>
  </si>
  <si>
    <t>SC-25</t>
  </si>
  <si>
    <t>Obtains a drink from the tap without assistance</t>
  </si>
  <si>
    <t>SC-26</t>
  </si>
  <si>
    <t>Chooses the appopriate utensil for the food they are eating</t>
  </si>
  <si>
    <t>SC-27</t>
  </si>
  <si>
    <t>Sleeps throug the night without wetting the bed</t>
  </si>
  <si>
    <t>5 years</t>
  </si>
  <si>
    <t>SC-28</t>
  </si>
  <si>
    <t>Dresses and undresses without supervision</t>
  </si>
  <si>
    <t>SC-29</t>
  </si>
  <si>
    <t>Takes care of their own toileting needs</t>
  </si>
  <si>
    <t>SC-30</t>
  </si>
  <si>
    <t>Puts on clothing and shoes correctly</t>
  </si>
  <si>
    <t>SC-31</t>
  </si>
  <si>
    <t>Prepares a toothbrush and brushes their teeth</t>
  </si>
  <si>
    <t>SC-32</t>
  </si>
  <si>
    <t>Cuts soft food with the side of a fork</t>
  </si>
  <si>
    <t>SC-33</t>
  </si>
  <si>
    <t>Chooses clothing that is appropriate for the weather</t>
  </si>
  <si>
    <t>Chooses clothing that is apporpriate for the occasion</t>
  </si>
  <si>
    <t>SC-35</t>
  </si>
  <si>
    <t>SC-34</t>
  </si>
  <si>
    <t>Takes a bath or shower without assitance</t>
  </si>
  <si>
    <t>Item</t>
  </si>
  <si>
    <t>2-3 years</t>
  </si>
  <si>
    <t>PR-1</t>
  </si>
  <si>
    <t>Moves independently around the house, requiring only occasional supervision</t>
  </si>
  <si>
    <t>PR-2</t>
  </si>
  <si>
    <t>Understands that hot is dangerous</t>
  </si>
  <si>
    <t>PR-3</t>
  </si>
  <si>
    <t>Puts away toys when asked</t>
  </si>
  <si>
    <t>PR-4</t>
  </si>
  <si>
    <t>Show care when handling an infant or small animal</t>
  </si>
  <si>
    <t>PR-5</t>
  </si>
  <si>
    <t>Indicates or describes an illness to an adult</t>
  </si>
  <si>
    <t>PR-6</t>
  </si>
  <si>
    <t>Demonstrates caution and avoids common dangers</t>
  </si>
  <si>
    <t>PR-7</t>
  </si>
  <si>
    <t>Responds to instructions given in a small group and initiates an appropriate task without being reminded</t>
  </si>
  <si>
    <t>PR-8</t>
  </si>
  <si>
    <t>Uses appropriate  behavior and voice in public settings</t>
  </si>
  <si>
    <t>PR-9</t>
  </si>
  <si>
    <t>Continues to work on a learning task with minimal guidance</t>
  </si>
  <si>
    <t>PR-10</t>
  </si>
  <si>
    <t>Initiates and organizes their own activities</t>
  </si>
  <si>
    <t>6-7 years</t>
  </si>
  <si>
    <t>PR-11</t>
  </si>
  <si>
    <t>Y  N: You saw smoke and fire</t>
  </si>
  <si>
    <t>Y  N: A stranger asked you to go on a ride</t>
  </si>
  <si>
    <t>PR-12</t>
  </si>
  <si>
    <t>Follows rules when playing simple games</t>
  </si>
  <si>
    <t>PR-13</t>
  </si>
  <si>
    <t>Asks permission to use others' possessions</t>
  </si>
  <si>
    <t>PR-14</t>
  </si>
  <si>
    <t>PR-15</t>
  </si>
  <si>
    <t>Regularly performs 2 or more household chores</t>
  </si>
  <si>
    <t>PR-16</t>
  </si>
  <si>
    <t>Crosses the street safely</t>
  </si>
  <si>
    <t>PR-17</t>
  </si>
  <si>
    <t>Knows their own phone number</t>
  </si>
  <si>
    <t>PR-18</t>
  </si>
  <si>
    <t>Goes to bed without assitance</t>
  </si>
  <si>
    <t>PR-19</t>
  </si>
  <si>
    <t>Uses the telephone to place a call</t>
  </si>
  <si>
    <t>PR-20</t>
  </si>
  <si>
    <t>Uses emergency phone numbers</t>
  </si>
  <si>
    <t>PR-21</t>
  </si>
  <si>
    <t>Knows their address</t>
  </si>
  <si>
    <t>PR-22</t>
  </si>
  <si>
    <t>Makes a purchase in a store by themselves</t>
  </si>
  <si>
    <t>PR-23</t>
  </si>
  <si>
    <t>Handles small sums of money responsibly</t>
  </si>
  <si>
    <t>PR-24</t>
  </si>
  <si>
    <t>Builds or repairs with appropriate tools or implements</t>
  </si>
  <si>
    <t>PR-25</t>
  </si>
  <si>
    <t>Handles their own money</t>
  </si>
  <si>
    <t>Answers "what to do" questions involving responsibility</t>
  </si>
  <si>
    <t>Personal-Social (P-S)</t>
  </si>
  <si>
    <t>AI-1</t>
  </si>
  <si>
    <t>Looks at an adult's face</t>
  </si>
  <si>
    <t>AI-2</t>
  </si>
  <si>
    <t>Responds physically when held</t>
  </si>
  <si>
    <t>AI-3</t>
  </si>
  <si>
    <t>Shows awareness of other people</t>
  </si>
  <si>
    <t>AI-4</t>
  </si>
  <si>
    <t>Shows a desire to picked up or held by familiar people</t>
  </si>
  <si>
    <t>12-17 months</t>
  </si>
  <si>
    <t>AI-5</t>
  </si>
  <si>
    <t>Explores adult facial features</t>
  </si>
  <si>
    <t>AI-6</t>
  </si>
  <si>
    <t>Shows a desire for social attention</t>
  </si>
  <si>
    <t>AI-7</t>
  </si>
  <si>
    <t>Expresses displeasure or dislike of certain activities or situation</t>
  </si>
  <si>
    <t>Expresses enjoyment or preference of certain activities or situation</t>
  </si>
  <si>
    <t>AI-8</t>
  </si>
  <si>
    <t>AI-9</t>
  </si>
  <si>
    <t>Plays peek-a-boo</t>
  </si>
  <si>
    <t>AI-10</t>
  </si>
  <si>
    <t>Discriminates between familiar and unfamiliar people</t>
  </si>
  <si>
    <t>18-23 months</t>
  </si>
  <si>
    <t>AI-11</t>
  </si>
  <si>
    <t>Shows appropriate signs of seperation anxiety when removed from their parent or caregive</t>
  </si>
  <si>
    <t>AI-12</t>
  </si>
  <si>
    <t>Continues to vocalize when imitated</t>
  </si>
  <si>
    <t>AI-13</t>
  </si>
  <si>
    <t>Shows appropriat levels of affection for people, pets or posessions</t>
  </si>
  <si>
    <t>AI-14</t>
  </si>
  <si>
    <t>Responds positively to adult praise, rewards or promises of rewards</t>
  </si>
  <si>
    <t>AI-15</t>
  </si>
  <si>
    <t>Greets familiar adults spontaniously</t>
  </si>
  <si>
    <t>AI-16</t>
  </si>
  <si>
    <t>Enjoys having someone read simple stories to them</t>
  </si>
  <si>
    <t>AI-17</t>
  </si>
  <si>
    <t>Helps with simple household tasks</t>
  </si>
  <si>
    <t>AI-18</t>
  </si>
  <si>
    <t>Responds positively when familiar adults or adults in authority initiate social content</t>
  </si>
  <si>
    <t>AI-19</t>
  </si>
  <si>
    <t>Allows others to participate in their activities</t>
  </si>
  <si>
    <t>AI-20</t>
  </si>
  <si>
    <t>Initiates social contact or interactions with familiar adults</t>
  </si>
  <si>
    <t>AI-21</t>
  </si>
  <si>
    <t>Seperates easily from the parent</t>
  </si>
  <si>
    <t>AI-22</t>
  </si>
  <si>
    <t>Uses adults other than their parents as resources</t>
  </si>
  <si>
    <t>AI-23</t>
  </si>
  <si>
    <t>Asks for adult help when needed</t>
  </si>
  <si>
    <t>AI-24</t>
  </si>
  <si>
    <t>Follows adult directions with little or no resisance</t>
  </si>
  <si>
    <t>AI-25</t>
  </si>
  <si>
    <t>Follows the rules given by an adult for playing simple childhood games with peers</t>
  </si>
  <si>
    <t>AI-26</t>
  </si>
  <si>
    <t>Follows classroom rules and regulations</t>
  </si>
  <si>
    <t>AI-27</t>
  </si>
  <si>
    <t>Attempts to be humerous</t>
  </si>
  <si>
    <t>AI-28</t>
  </si>
  <si>
    <t>Recognizes an adult's feelings</t>
  </si>
  <si>
    <t>AI-29</t>
  </si>
  <si>
    <t>Trusts familiar adults and accepts explinations from them</t>
  </si>
  <si>
    <t>AI-30</t>
  </si>
  <si>
    <t>Wait for their turn for adult's or teacher's attention</t>
  </si>
  <si>
    <t>Peer Interaction</t>
  </si>
  <si>
    <t>PI-1</t>
  </si>
  <si>
    <t>Shows awareness of the presence of other children</t>
  </si>
  <si>
    <t>PI-2</t>
  </si>
  <si>
    <t>Enjoys playing with other children</t>
  </si>
  <si>
    <t>2 1/2 years</t>
  </si>
  <si>
    <t>PI-3</t>
  </si>
  <si>
    <t>Plays independently in the company of peers</t>
  </si>
  <si>
    <t>PI-4</t>
  </si>
  <si>
    <t>Initiates social contact with peers in play</t>
  </si>
  <si>
    <t>PI-5</t>
  </si>
  <si>
    <t>Imitates the play activity of other children</t>
  </si>
  <si>
    <t>PI-6</t>
  </si>
  <si>
    <t>Responds differently to familiar and unfamiliar children</t>
  </si>
  <si>
    <t>PI-7</t>
  </si>
  <si>
    <t>Plays with a peer, using the samematerials, without disturbing the other child's play</t>
  </si>
  <si>
    <t>PI-8</t>
  </si>
  <si>
    <t>Expresses affection or liking of a peer</t>
  </si>
  <si>
    <t>PI-9</t>
  </si>
  <si>
    <t>Shows sympath or concern for others</t>
  </si>
  <si>
    <t>PI-10</t>
  </si>
  <si>
    <t>Interacts appropriatly with peers in nonplay group activities</t>
  </si>
  <si>
    <t>PI-11</t>
  </si>
  <si>
    <t>Shares properly with others</t>
  </si>
  <si>
    <t>PI-12</t>
  </si>
  <si>
    <t>Play cooperatively with peers</t>
  </si>
  <si>
    <t>PI-13</t>
  </si>
  <si>
    <t>Initiates social contacts and interactions with peers</t>
  </si>
  <si>
    <t>PI-14</t>
  </si>
  <si>
    <t>Has special friends</t>
  </si>
  <si>
    <t>PI-15</t>
  </si>
  <si>
    <t>Willingly talks turns and shares</t>
  </si>
  <si>
    <t>PI-16</t>
  </si>
  <si>
    <t>Cooperated in group activities</t>
  </si>
  <si>
    <t>PI-17</t>
  </si>
  <si>
    <t>Willingly participates in new or unexpected activities or tasks</t>
  </si>
  <si>
    <t>PI-18</t>
  </si>
  <si>
    <t>Uses peers as resources</t>
  </si>
  <si>
    <t>PI-19</t>
  </si>
  <si>
    <t>Exchanges ideas with other children and goes along with other children's ideas</t>
  </si>
  <si>
    <t>PI-20</t>
  </si>
  <si>
    <t>Participates in competitive play activities</t>
  </si>
  <si>
    <t>PI-21</t>
  </si>
  <si>
    <t>Resolves a conflict with a peer without using aggression or violence</t>
  </si>
  <si>
    <t>PI-22</t>
  </si>
  <si>
    <t>Assumes a leadershio role in peer relationships</t>
  </si>
  <si>
    <t>PI-23</t>
  </si>
  <si>
    <t>Initiates prosocial interactions</t>
  </si>
  <si>
    <t>PI-24</t>
  </si>
  <si>
    <t>Recognizes the basic similarities of all children</t>
  </si>
  <si>
    <t>PI-25</t>
  </si>
  <si>
    <t>Recognizes and accepts diversity among other children</t>
  </si>
  <si>
    <t>Self Concept and Social Role (SR)</t>
  </si>
  <si>
    <t>SR-1</t>
  </si>
  <si>
    <t>Smiles or vocalizes in response to adult attention</t>
  </si>
  <si>
    <t>SR-2</t>
  </si>
  <si>
    <t>Enjoys frolic play</t>
  </si>
  <si>
    <t>12-23 months</t>
  </si>
  <si>
    <t>SR-3</t>
  </si>
  <si>
    <t>Expresses emotions</t>
  </si>
  <si>
    <t>SR-4</t>
  </si>
  <si>
    <t>Shows awareness of their hands</t>
  </si>
  <si>
    <t>SR-5</t>
  </si>
  <si>
    <t>Is aware of their feet</t>
  </si>
  <si>
    <t>SR-6</t>
  </si>
  <si>
    <t>Responds to their name</t>
  </si>
  <si>
    <t>SR-7</t>
  </si>
  <si>
    <t>Displays independent behavior</t>
  </si>
  <si>
    <t>SR-8</t>
  </si>
  <si>
    <t>Identifies themselves in a mirror</t>
  </si>
  <si>
    <t>SR-9</t>
  </si>
  <si>
    <t>Expresses ownership or posessions</t>
  </si>
  <si>
    <t>SR-10</t>
  </si>
  <si>
    <t>Follows directions replated to their daily routine</t>
  </si>
  <si>
    <t>SR-11</t>
  </si>
  <si>
    <t>Appropriately communicaes a range of positive emotions</t>
  </si>
  <si>
    <t>SR-12</t>
  </si>
  <si>
    <t>Imitates others and changes their behavior based on what they are doing</t>
  </si>
  <si>
    <t>SR-13</t>
  </si>
  <si>
    <t>Shows pride in accomplishments</t>
  </si>
  <si>
    <t>SR-14</t>
  </si>
  <si>
    <t>Expresses enthusiasm for work or play</t>
  </si>
  <si>
    <t>SR-15</t>
  </si>
  <si>
    <t>Appropriately communicaes a range of negative emotions</t>
  </si>
  <si>
    <t>SR-16</t>
  </si>
  <si>
    <t>States their first name</t>
  </si>
  <si>
    <t>SR-17</t>
  </si>
  <si>
    <t>Uses object in make-believe play</t>
  </si>
  <si>
    <t>SR-18</t>
  </si>
  <si>
    <t>Uses words for social contact</t>
  </si>
  <si>
    <t>SR-19</t>
  </si>
  <si>
    <t>Uses a personal pronoun to refer to themselvf</t>
  </si>
  <si>
    <t>SR-20</t>
  </si>
  <si>
    <t>States their age</t>
  </si>
  <si>
    <t>SR-21</t>
  </si>
  <si>
    <t>Engages in adult role-playing and imitation</t>
  </si>
  <si>
    <t>SR-22</t>
  </si>
  <si>
    <t>States whether they are male or female</t>
  </si>
  <si>
    <t>SR-23</t>
  </si>
  <si>
    <t>States their first and last name</t>
  </si>
  <si>
    <t>SR-24</t>
  </si>
  <si>
    <t>Speaks positively about themselves</t>
  </si>
  <si>
    <t>SR-25</t>
  </si>
  <si>
    <t>Recognies the facial expressions of primary emotions</t>
  </si>
  <si>
    <t xml:space="preserve">  P  F  : Happy             P  F  : Sad</t>
  </si>
  <si>
    <t>SR-26</t>
  </si>
  <si>
    <t>Is aware of differences between males and females</t>
  </si>
  <si>
    <t>SR-27</t>
  </si>
  <si>
    <t>Recovers from distress in a reasonable amount of time when comforted</t>
  </si>
  <si>
    <t>SR-28</t>
  </si>
  <si>
    <t>Asserts themself in socialbly acceptable ways</t>
  </si>
  <si>
    <t>SR-29</t>
  </si>
  <si>
    <t>Recognizes another's need for help and offers assistance</t>
  </si>
  <si>
    <t>SR-30</t>
  </si>
  <si>
    <t>Shows a positive attitude towards school</t>
  </si>
  <si>
    <t>6 years</t>
  </si>
  <si>
    <t>SR-31</t>
  </si>
  <si>
    <t>Describes their feelings</t>
  </si>
  <si>
    <t>SR-32</t>
  </si>
  <si>
    <t>Repondes properly ot the rights of others</t>
  </si>
  <si>
    <t>SR-33</t>
  </si>
  <si>
    <t>Demonstrates the ability to "show-and-tell" without major discomfort.</t>
  </si>
  <si>
    <t>SR-34</t>
  </si>
  <si>
    <t>Recognizes the feelings of others</t>
  </si>
  <si>
    <t>SR-35</t>
  </si>
  <si>
    <t>Uses adults appropriately to help resolve peer conflict</t>
  </si>
  <si>
    <t>SR-36</t>
  </si>
  <si>
    <t>Discriminates between socially acceptable and unacceptable bevavior</t>
  </si>
  <si>
    <t>SR-37</t>
  </si>
  <si>
    <t>Shoes moral responsibility</t>
  </si>
  <si>
    <t>SR-38</t>
  </si>
  <si>
    <t>SR-39</t>
  </si>
  <si>
    <t>Copes with criticism and teasing.</t>
  </si>
  <si>
    <t>Delays gratification until a task is complete</t>
  </si>
  <si>
    <t>SR-40</t>
  </si>
  <si>
    <t>Admits responsibility for error or wrongdoing</t>
  </si>
  <si>
    <t>SR-41</t>
  </si>
  <si>
    <t>Considers the emotioal or connitive perspecitve of others</t>
  </si>
  <si>
    <t>SR-42</t>
  </si>
  <si>
    <t>Sees alternatives to problems with adult assistance</t>
  </si>
  <si>
    <t>SR-43</t>
  </si>
  <si>
    <t>Stays on task and works through difficulties and frustrations</t>
  </si>
  <si>
    <t>SR-44</t>
  </si>
  <si>
    <t>Copes independantly and appropriately with peer aggression directed towards them.</t>
  </si>
  <si>
    <t>SR-45</t>
  </si>
  <si>
    <t>Describes their personality</t>
  </si>
  <si>
    <t>RC-1</t>
  </si>
  <si>
    <t>Responds to a voice outsied their field of vision</t>
  </si>
  <si>
    <t>Responds to a non-speech shound outside their field of vision</t>
  </si>
  <si>
    <t>RC-2</t>
  </si>
  <si>
    <t>RC-3</t>
  </si>
  <si>
    <t>Is soothed by a familiar adult's voice</t>
  </si>
  <si>
    <t>RC-4</t>
  </si>
  <si>
    <t>Thruns their head toward the source of a sound outside their field of vision</t>
  </si>
  <si>
    <t>RC-5</t>
  </si>
  <si>
    <t>Attends to someone speasking to them for at least 10 seconds</t>
  </si>
  <si>
    <t>RC-6</t>
  </si>
  <si>
    <t>Responds with awareness, acceptance and in a socially appropriate ways when a familiar person approaches, touches or talks to them</t>
  </si>
  <si>
    <t>RC-7</t>
  </si>
  <si>
    <t>Responds to different tones of a person's voice</t>
  </si>
  <si>
    <t>RC-8</t>
  </si>
  <si>
    <t>Attends to other people's conversations for 30 seconds</t>
  </si>
  <si>
    <t>RC-9</t>
  </si>
  <si>
    <t>Associates spoken words with familiar objects or actions</t>
  </si>
  <si>
    <t>RC-10</t>
  </si>
  <si>
    <t>Identifies family members or pets when named</t>
  </si>
  <si>
    <t>RC-11</t>
  </si>
  <si>
    <t>Responds to simultaneous verbal and gestural commands</t>
  </si>
  <si>
    <t>RC-12</t>
  </si>
  <si>
    <t>Looks at or points to an object across the room when it is named.</t>
  </si>
  <si>
    <t>RC-13</t>
  </si>
  <si>
    <t>Follows 3 or more verbal command</t>
  </si>
  <si>
    <t>RC-14</t>
  </si>
  <si>
    <t>Responds to the prepositions "out" and "on"
         Out       Pass    Fail
           On      Pass    Fail</t>
  </si>
  <si>
    <t>RC-15</t>
  </si>
  <si>
    <t>Understands the simple possessive forms "your" and "my"
       Your foot        Pass    Fail
           My foot        Pass    Fail</t>
  </si>
  <si>
    <t>RC-16</t>
  </si>
  <si>
    <t xml:space="preserve">Responds to "who" and "what" quesrtions
           Who          Pass     Fail
          What          Pass     Fail </t>
  </si>
  <si>
    <t>RC-17</t>
  </si>
  <si>
    <t>Understands the simple posessive form 's
         Baby's mouth          Pass     Fail
          Daddy's boy          Pass     Fail</t>
  </si>
  <si>
    <t>RC-18</t>
  </si>
  <si>
    <t>Follows 2-step verbal command</t>
  </si>
  <si>
    <t>RC-19</t>
  </si>
  <si>
    <t>Responds to the prepositions "toward" and "behind"
         Toward          Pass     Fail
          Behind          Pass     Fail</t>
  </si>
  <si>
    <t>RC-20</t>
  </si>
  <si>
    <t>Respnds to the adverbs "softly" and "loudly"</t>
  </si>
  <si>
    <t>RC-21</t>
  </si>
  <si>
    <t>Understand regular plural forms
          Boy with the cats          Pass     Fail
          Boy in the batchtub          Pass     Fail</t>
  </si>
  <si>
    <t>RC-22</t>
  </si>
  <si>
    <t>Undersands the superatives "biggest" and "longest"</t>
  </si>
  <si>
    <t>RC-23</t>
  </si>
  <si>
    <t>Responds to "where" and "when" questions
          Where          Pass     Fail
          When          Pass     Fail</t>
  </si>
  <si>
    <t>5-6 years</t>
  </si>
  <si>
    <t>RC-24</t>
  </si>
  <si>
    <t>Understands simple negations</t>
  </si>
  <si>
    <t>RC-25</t>
  </si>
  <si>
    <t xml:space="preserve">Associated spoken words with pictures
        Bird          Pass     Fail                    Hen          Pass     Fail
Telephone:    Pass     Fail
     </t>
  </si>
  <si>
    <t>RC-26</t>
  </si>
  <si>
    <t>Recalls events from a story presented orally -- Level 1
          Ball          Pass     Fail        
 Tippy (dog)     Pass      Fail
Sat down          Pass      Fail</t>
  </si>
  <si>
    <t>EC-1</t>
  </si>
  <si>
    <t>Produces differential cries</t>
  </si>
  <si>
    <t>EC-2</t>
  </si>
  <si>
    <t>Produces one or more vowel sounds</t>
  </si>
  <si>
    <t>EC-3</t>
  </si>
  <si>
    <t>Babbles</t>
  </si>
  <si>
    <t>EC-4</t>
  </si>
  <si>
    <t>Vocalizesto express their feelings</t>
  </si>
  <si>
    <t>EC-5</t>
  </si>
  <si>
    <t>EC-6</t>
  </si>
  <si>
    <t>EC-7</t>
  </si>
  <si>
    <t>EC-8</t>
  </si>
  <si>
    <t>EC-9</t>
  </si>
  <si>
    <t>EC-10</t>
  </si>
  <si>
    <t>Uses variations in their voice</t>
  </si>
  <si>
    <t>EC-11</t>
  </si>
  <si>
    <t>EC-12</t>
  </si>
  <si>
    <t>Uses 10 or more words</t>
  </si>
  <si>
    <t>EC-13</t>
  </si>
  <si>
    <t>EC-14</t>
  </si>
  <si>
    <t>12-23-months</t>
  </si>
  <si>
    <t>Produces one or more single-sylable consonant-vowel sounds</t>
  </si>
  <si>
    <t>Repeats one or more single-sylable consonant-vowel sounds in close succession</t>
  </si>
  <si>
    <t>Waves "bye-bye"</t>
  </si>
  <si>
    <t>Initiates speech sounds</t>
  </si>
  <si>
    <t>Uses gestures to indicate wants or needs</t>
  </si>
  <si>
    <t xml:space="preserve">Spontaneously initiates sounds words, or gestures that are associated with objects in the immediate environment </t>
  </si>
  <si>
    <t>Communicates in a back-and-forth, turn-taking style using sounds, gestures, or other nonverbal methods</t>
  </si>
  <si>
    <t>Uses 2-word utterances to express meaniful relationships</t>
  </si>
  <si>
    <t>EC-15</t>
  </si>
  <si>
    <t>Uses words to express what they see and do and to express the experiences that immediately affect them</t>
  </si>
  <si>
    <t>EC-16</t>
  </si>
  <si>
    <t>Uses words to get their needs meet</t>
  </si>
  <si>
    <t>EC-17</t>
  </si>
  <si>
    <t>Uses 3-word phrases meaningfully</t>
  </si>
  <si>
    <t>EC-18</t>
  </si>
  <si>
    <t>Engages in extended and meaningful nonverbal exchanges with others</t>
  </si>
  <si>
    <t>EC-19</t>
  </si>
  <si>
    <t>Uses the pronouns "I", "you", and "me"</t>
  </si>
  <si>
    <t>EC-20</t>
  </si>
  <si>
    <t>Uses words to relate information about other people, their actions, or their experiences</t>
  </si>
  <si>
    <t>EC-21</t>
  </si>
  <si>
    <t>Responds "yes" or "no" appropriately
     Shoes On?                                 Pass     Fail
     Standing on a table?             Pass     Fail
     Sitting in a chair                      Pass     Fail
     Elephant in the room?          Pass     Fail</t>
  </si>
  <si>
    <t>EC-22</t>
  </si>
  <si>
    <t>Asks questions that begin with "who" and "where"</t>
  </si>
  <si>
    <t>EC-23</t>
  </si>
  <si>
    <t>Names their creation and labels its elements</t>
  </si>
  <si>
    <t>EC-24</t>
  </si>
  <si>
    <t>Asks questions that begin with "why" and "how"</t>
  </si>
  <si>
    <t>EC-25</t>
  </si>
  <si>
    <t>Uses the articles "the" and "a"
     I see a cow                     Pass     Fail
     I read the book             Pass     Fail
     The bike is red              Pass     Fail
     I am drawing a dog     Pass     Fail</t>
  </si>
  <si>
    <t>EC-26</t>
  </si>
  <si>
    <t>Uses 5- or 6-word sentances</t>
  </si>
  <si>
    <t>EC-27</t>
  </si>
  <si>
    <t>Uses plural forms ending with "s" or "z" sound
     Cups             Pass     Fail
     Dolls             Pass     Fail
     Trucks          Pass     Fail
     Spoons         Pass     Fail</t>
  </si>
  <si>
    <t>EC-28</t>
  </si>
  <si>
    <t>Communicated their experiences clearly enough for others to understand</t>
  </si>
  <si>
    <t>EC-29</t>
  </si>
  <si>
    <t>Repeats familiar words with clear articulation
     Cup               C         P
     House           H        S
     Window       W        D
     Match            M       CH
     Rabbit            R        B
     Begun             B        N
     Bake                B        K
     Ring                NG
     Jump                J
     Plant               PL
     Draw              DR
     Shove            SH        V</t>
  </si>
  <si>
    <t>0-5 months</t>
  </si>
  <si>
    <t>GM-1</t>
  </si>
  <si>
    <t>Maintains an upright posture at an adult's shoulder without assitance for at leat 2 minutes</t>
  </si>
  <si>
    <t>GM-2</t>
  </si>
  <si>
    <t>Holds their head erect for 1 minute when help</t>
  </si>
  <si>
    <t>GM-3</t>
  </si>
  <si>
    <t>Lifts their head and holds it up for 5 seconds while lying in a prone position</t>
  </si>
  <si>
    <t>GM-4</t>
  </si>
  <si>
    <t>Lifts and turns their head from side to side while lying in a prone position</t>
  </si>
  <si>
    <t>GM-5</t>
  </si>
  <si>
    <t>Brings their hands together at the midline</t>
  </si>
  <si>
    <t>6-11 months</t>
  </si>
  <si>
    <t>GM-6</t>
  </si>
  <si>
    <t>Turns their head freely from side-to-side while supported in a sitting position</t>
  </si>
  <si>
    <t>GM-7</t>
  </si>
  <si>
    <t>Holds their head parallel to the body when pulled from a surpine to a seated position</t>
  </si>
  <si>
    <t>GM-8</t>
  </si>
  <si>
    <t>Moves their arms when a toy is in sight</t>
  </si>
  <si>
    <t>GM-9</t>
  </si>
  <si>
    <t>Puts objects into their mouth</t>
  </si>
  <si>
    <t>GM-10</t>
  </si>
  <si>
    <t>Moves an object from hand to mounth</t>
  </si>
  <si>
    <t>GM-11</t>
  </si>
  <si>
    <t>Turns from a prone to a supine position unassisted</t>
  </si>
  <si>
    <t>GM-12</t>
  </si>
  <si>
    <t>Intentionally secures a nearby object while in a prone position</t>
  </si>
  <si>
    <t>GM-13</t>
  </si>
  <si>
    <t>Sits without assitance for at leat 5 seconds</t>
  </si>
  <si>
    <t>GM-14</t>
  </si>
  <si>
    <t>Makes stepping movements when held in an upright position</t>
  </si>
  <si>
    <t>GM-15</t>
  </si>
  <si>
    <t>Moves 3 or more feet by crawling</t>
  </si>
  <si>
    <t>GM-16</t>
  </si>
  <si>
    <t>Puts themselves in a standing position while holding on to a solid object without adult assistance</t>
  </si>
  <si>
    <t>GM-17</t>
  </si>
  <si>
    <t>Moves from a standing to sitting position while holding a solid object</t>
  </si>
  <si>
    <t>Walks for 3 or more steps without assitance</t>
  </si>
  <si>
    <t>GM-18</t>
  </si>
  <si>
    <t>GM-19</t>
  </si>
  <si>
    <t>Stands in an upreight position without support for 30 or more seconds.</t>
  </si>
  <si>
    <t>GM-20</t>
  </si>
  <si>
    <t>Creeps or crawls up to 4 steps without assistance</t>
  </si>
  <si>
    <t>GM-21</t>
  </si>
  <si>
    <t>Walks without support for 10 feet without falling</t>
  </si>
  <si>
    <t>GM-22</t>
  </si>
  <si>
    <t>Moves from a sitting to standing position without support</t>
  </si>
  <si>
    <t>GM-23</t>
  </si>
  <si>
    <t>Moves from a pupine to standing position using smooth, coordinated movement without support or assitance</t>
  </si>
  <si>
    <t>GM-24</t>
  </si>
  <si>
    <t>Maintains or corrects their balance when moving from a standing positionother nonvertical positions</t>
  </si>
  <si>
    <t>GM-25</t>
  </si>
  <si>
    <t>Walks up 4 stairs without support</t>
  </si>
  <si>
    <t>Walks down 4 steps without support</t>
  </si>
  <si>
    <t>GM-26</t>
  </si>
  <si>
    <t>Runs 10 feet without falling</t>
  </si>
  <si>
    <t>GM-27</t>
  </si>
  <si>
    <t>GM-28</t>
  </si>
  <si>
    <t>Kicks a ball forward without falling</t>
  </si>
  <si>
    <t>GM-29</t>
  </si>
  <si>
    <t>Walks up and down stairs without assitance</t>
  </si>
  <si>
    <t>GM-30</t>
  </si>
  <si>
    <t>Walks backwards 5 feet</t>
  </si>
  <si>
    <t>GM-31</t>
  </si>
  <si>
    <t>Throws a ball 5 feet forward with direction</t>
  </si>
  <si>
    <t>GM-32</t>
  </si>
  <si>
    <t>Jumps forward with both fet together</t>
  </si>
  <si>
    <t>GM-33</t>
  </si>
  <si>
    <t>Walks forward 2 or more steps on a line on the floor, apternating feet</t>
  </si>
  <si>
    <t>GM-34</t>
  </si>
  <si>
    <t>Walks down stairs without assistance alternating feet</t>
  </si>
  <si>
    <t>GM-35</t>
  </si>
  <si>
    <t>Imitates the bilateral movements of an adult</t>
  </si>
  <si>
    <t>GM-36</t>
  </si>
  <si>
    <t>Bends over and touches the floor with both hands</t>
  </si>
  <si>
    <t>GM-37</t>
  </si>
  <si>
    <t>Catches an 8-inch ball from 5 feet away with both hands</t>
  </si>
  <si>
    <t>GM-38</t>
  </si>
  <si>
    <t>Walks in a straight line, heel-to-toe, for 4 or more steps</t>
  </si>
  <si>
    <t>GM-39</t>
  </si>
  <si>
    <t>Hops forward on one foot without support</t>
  </si>
  <si>
    <t>GM-40</t>
  </si>
  <si>
    <t>Stands on each foot alternately with eyes closed</t>
  </si>
  <si>
    <t>GM-41</t>
  </si>
  <si>
    <t>Walks a 6-foot line on the floor, heel-to-toe, with eyes open</t>
  </si>
  <si>
    <t>GM-42</t>
  </si>
  <si>
    <t>Skips on alrernate feet for 20 feet</t>
  </si>
  <si>
    <t>GM-43</t>
  </si>
  <si>
    <t>Throws a ball and hits target with dominant hand</t>
  </si>
  <si>
    <t>GM-44</t>
  </si>
  <si>
    <t>Jumps rope without assistance</t>
  </si>
  <si>
    <t>GM-45</t>
  </si>
  <si>
    <t>Throws a ball and hits target with non-dominant hand</t>
  </si>
  <si>
    <t>FM-1</t>
  </si>
  <si>
    <t>Holds hands in a open, loose-fisted position when not grasping an object</t>
  </si>
  <si>
    <t>FM-2</t>
  </si>
  <si>
    <t>Holds their hands together at the midline</t>
  </si>
  <si>
    <t>FM-3</t>
  </si>
  <si>
    <t>Holds an object with their fingers against the heel of the palm (ulnar-palmar prehension)</t>
  </si>
  <si>
    <t>FM-4</t>
  </si>
  <si>
    <t>Holds an object for 1 minute</t>
  </si>
  <si>
    <t>FM-5</t>
  </si>
  <si>
    <t>Holds hands in an open position when not grasping an object</t>
  </si>
  <si>
    <t>FM-6</t>
  </si>
  <si>
    <t>Retrieves a small object by raking it with their fingers and pulling it to the palm of the hand</t>
  </si>
  <si>
    <t>FM-7</t>
  </si>
  <si>
    <t>Transfers and object from one hand ot the other</t>
  </si>
  <si>
    <t>FM-8</t>
  </si>
  <si>
    <t>Picks up a rasin with several fingers opposed to the thumb (partial finger prehension)</t>
  </si>
  <si>
    <t>FM-9</t>
  </si>
  <si>
    <t>Drops an object intentionally with demonstration</t>
  </si>
  <si>
    <t>FM-10</t>
  </si>
  <si>
    <t>Picks up a rasin with the ends of the thumb and index finger in an overhand approach (neat pincer grasp)</t>
  </si>
  <si>
    <t>FM-11</t>
  </si>
  <si>
    <t>Extrends a toy to a person and releases it from their grasp</t>
  </si>
  <si>
    <t>FM-12</t>
  </si>
  <si>
    <t>Intentionally propels or throws an object</t>
  </si>
  <si>
    <t>FM-13</t>
  </si>
  <si>
    <t>Removes forms from a form board</t>
  </si>
  <si>
    <t>Extends or points with their index finger independent of the thumb and other fingers</t>
  </si>
  <si>
    <t>FM-14</t>
  </si>
  <si>
    <t>FM-15</t>
  </si>
  <si>
    <t>Scribbles linear and/or circular patterns spontaneously</t>
  </si>
  <si>
    <t>FM-16</t>
  </si>
  <si>
    <t>Uses pads of fingertips to grasp pencil</t>
  </si>
  <si>
    <t>FM-17</t>
  </si>
  <si>
    <t>Strings 4 large beads</t>
  </si>
  <si>
    <t>FM-18</t>
  </si>
  <si>
    <t>Holds paper with one hand while drawing or writing with the other hand</t>
  </si>
  <si>
    <t>FM-19</t>
  </si>
  <si>
    <t>Fastens clothing without assitance</t>
  </si>
  <si>
    <t>FM-20</t>
  </si>
  <si>
    <t>Wiggle their thumb in bending, circularm and back-and-forth movements</t>
  </si>
  <si>
    <t>FM-21</t>
  </si>
  <si>
    <t>Traces designs with curved edges</t>
  </si>
  <si>
    <t>FM-22</t>
  </si>
  <si>
    <t>Traces designs with corners</t>
  </si>
  <si>
    <t>FM-23</t>
  </si>
  <si>
    <t>Folds a sheet of paper</t>
  </si>
  <si>
    <t>FM-24</t>
  </si>
  <si>
    <t>Folds a piece of paper twice -- one horizontally and again vertically at right angles.</t>
  </si>
  <si>
    <t>FM-25</t>
  </si>
  <si>
    <t>Opens a smapp padlock with a key</t>
  </si>
  <si>
    <t>FM-26</t>
  </si>
  <si>
    <t>Cuts with sissors following a line</t>
  </si>
  <si>
    <t>FM-27</t>
  </si>
  <si>
    <t>Crumples pieces of paper into balls with each hand</t>
  </si>
  <si>
    <t>FM-28</t>
  </si>
  <si>
    <t>Touches the fingertips of each hand successlvey with the thumb of the same hand</t>
  </si>
  <si>
    <t>FM-29</t>
  </si>
  <si>
    <t>Ties a single overhand knot around a cryon with a string</t>
  </si>
  <si>
    <t>FM-30</t>
  </si>
  <si>
    <t>Catches a tennis ball, tossed from 6 feet, with on hand</t>
  </si>
  <si>
    <t>Perceptial Motor (PM)</t>
  </si>
  <si>
    <t>PM-1</t>
  </si>
  <si>
    <t>Reaches for and touches an object placed in front to them</t>
  </si>
  <si>
    <t>PM-2</t>
  </si>
  <si>
    <t>Reaches for an object with one hand</t>
  </si>
  <si>
    <t>PM-3</t>
  </si>
  <si>
    <t>Intentionall drops a cube into a cup with demonstration</t>
  </si>
  <si>
    <t>PM-4</t>
  </si>
  <si>
    <t>Places a rasin in a bottle</t>
  </si>
  <si>
    <t>PM-5</t>
  </si>
  <si>
    <t>Dumps a rasin from a bottle</t>
  </si>
  <si>
    <t>PM-6</t>
  </si>
  <si>
    <t>Place 4 rings on a post in any order</t>
  </si>
  <si>
    <t>4 yeats</t>
  </si>
  <si>
    <t>PM-7</t>
  </si>
  <si>
    <t>Stacks 2 cubes</t>
  </si>
  <si>
    <t>PM-8</t>
  </si>
  <si>
    <t>Imitates circular markings</t>
  </si>
  <si>
    <t>PM-9</t>
  </si>
  <si>
    <t>Stakcs 8 cubes vertically</t>
  </si>
  <si>
    <t>PM-10</t>
  </si>
  <si>
    <t>Imitates veritcla and horizontal markings</t>
  </si>
  <si>
    <t>PM-11</t>
  </si>
  <si>
    <t>Copies a circle</t>
  </si>
  <si>
    <t>PM-12</t>
  </si>
  <si>
    <t>Copies a cross</t>
  </si>
  <si>
    <t>PM-13</t>
  </si>
  <si>
    <t>Copies the letters "V","H", and "T"</t>
  </si>
  <si>
    <t>PM-14</t>
  </si>
  <si>
    <t>Draws a person with 6 parts</t>
  </si>
  <si>
    <t>7 years</t>
  </si>
  <si>
    <t>PM-15</t>
  </si>
  <si>
    <t>Copies the numerals "1" though "5"</t>
  </si>
  <si>
    <t>PM-16</t>
  </si>
  <si>
    <t>Copies simple words</t>
  </si>
  <si>
    <t>PM-17</t>
  </si>
  <si>
    <t>Copies a triangle</t>
  </si>
  <si>
    <t>PM-18</t>
  </si>
  <si>
    <t>Copies words with uppercase and lowercase letters</t>
  </si>
  <si>
    <t>PM-19</t>
  </si>
  <si>
    <t>Copies directional arrows</t>
  </si>
  <si>
    <t>PM-20</t>
  </si>
  <si>
    <t>Copies a diamond</t>
  </si>
  <si>
    <t>PM-21</t>
  </si>
  <si>
    <t>Copies 2 tilted triangles</t>
  </si>
  <si>
    <t>PM-22</t>
  </si>
  <si>
    <t>Copies a 2-dimentional design</t>
  </si>
  <si>
    <t>PM-23</t>
  </si>
  <si>
    <t>Copies a 3-dimentional clinder design</t>
  </si>
  <si>
    <t>PM-24</t>
  </si>
  <si>
    <t>Copies a 3-dimentional box design</t>
  </si>
  <si>
    <t>PM-25</t>
  </si>
  <si>
    <t>Writes in script (cursive) rather than printing</t>
  </si>
  <si>
    <t xml:space="preserve">COGNITIVE (COG) </t>
  </si>
  <si>
    <t>AM-1</t>
  </si>
  <si>
    <t>AM-2</t>
  </si>
  <si>
    <t>Turns their eyes toward a light source</t>
  </si>
  <si>
    <t>AM-3</t>
  </si>
  <si>
    <t>Visually attends to a light source moving in a 180-degree arc</t>
  </si>
  <si>
    <t>Visually attends to a light source moving in a vertical direction</t>
  </si>
  <si>
    <t>AM-4</t>
  </si>
  <si>
    <t>Shows anticipatory excitement</t>
  </si>
  <si>
    <t>AM-5</t>
  </si>
  <si>
    <t>Visually attends to an object for 5 or more seconds</t>
  </si>
  <si>
    <t>AM-6</t>
  </si>
  <si>
    <t>Follows a auditory stimulus</t>
  </si>
  <si>
    <t>AM-7</t>
  </si>
  <si>
    <t>Follows a verticle stimulus</t>
  </si>
  <si>
    <t>AM-8</t>
  </si>
  <si>
    <t>Attends to an obgoing sound or activity for 15 or more seconds</t>
  </si>
  <si>
    <t>AM-13</t>
  </si>
  <si>
    <t>AM-9</t>
  </si>
  <si>
    <t>Occupies themselves for 5 minutes</t>
  </si>
  <si>
    <t>AM-10</t>
  </si>
  <si>
    <t>Attends to a game of peekaboo for 1 minute</t>
  </si>
  <si>
    <t>AM-11</t>
  </si>
  <si>
    <t>Uncovers a hidden toy</t>
  </si>
  <si>
    <t>AM-12</t>
  </si>
  <si>
    <t>Occupies themselves for 10 or more minutes without demanding attention</t>
  </si>
  <si>
    <t>Searches for a removed object</t>
  </si>
  <si>
    <t>AM-14</t>
  </si>
  <si>
    <t>Looks at, points to, or touches pictures in a book</t>
  </si>
  <si>
    <t>AM-15</t>
  </si>
  <si>
    <t>Attends to one activity for 3 or more minutes</t>
  </si>
  <si>
    <t>AM-16</t>
  </si>
  <si>
    <t>Finds an object hidden under one of two cups</t>
  </si>
  <si>
    <t>AM-17</t>
  </si>
  <si>
    <t>Selects the hand hiding a toy</t>
  </si>
  <si>
    <t>Attends to a learning task or story in a small group for 5 min</t>
  </si>
  <si>
    <t>AM-18</t>
  </si>
  <si>
    <t>AM-19</t>
  </si>
  <si>
    <t>Recites memorized lines from books, poems, television shows or songs.</t>
  </si>
  <si>
    <t>AM-20</t>
  </si>
  <si>
    <t>Located hidden items in a picture scene
     Time:      ______ min.    ______ sec.
     Items found within 3 minutes:
     ____ Beach Ball
     ____ Frog
     ____ Butterfly
     ____ Ice cream cone
     ____ Bird
     ____ Squirrel</t>
  </si>
  <si>
    <t>AM-21</t>
  </si>
  <si>
    <t>Focuses their attention on one task while being aware of, but not distracted by, surrounding activities</t>
  </si>
  <si>
    <t>AM-23</t>
  </si>
  <si>
    <t xml:space="preserve">Recalls familiar objects
     Shoe          ____ Pass     ____ Fail
     Cube          ____ Pass     ____ Fail        </t>
  </si>
  <si>
    <t>AM-24</t>
  </si>
  <si>
    <t>Located hidden items in a picture scene:
    Time  _____ Min     _____ Sec
     Items found after 2 minutes
     _____ Ball                    _____ Glue Bottle     _____ Eraser
     _____ Red Crayon     _____ Unicord           _____ Compass</t>
  </si>
  <si>
    <t>AM-25</t>
  </si>
  <si>
    <t>Says alphabet by rote</t>
  </si>
  <si>
    <t>AM-26</t>
  </si>
  <si>
    <t xml:space="preserve">Repeats 4-digit sequences
     3, 1, 4, 8     _____ Pass     _____ Fail
     9, 6, 8, 2     _____ Pass     _____ Fail
</t>
  </si>
  <si>
    <t>AM-27</t>
  </si>
  <si>
    <t>Recalls facts form an oral story
  Where was the dog running?                    ____ Pass     ____ Fail
   What color was the dog?                           ____ Pass     ____ Fail
   What did the dog do when the cat was in the tree?
                                                                                 ____ Pass     ____Fail</t>
  </si>
  <si>
    <t>AM-28</t>
  </si>
  <si>
    <t xml:space="preserve">Repeats sequences of 4 and 5 objects from memory
</t>
  </si>
  <si>
    <t>AM-29</t>
  </si>
  <si>
    <t xml:space="preserve">Repeats sequences of 6 and 7 objects from memory
</t>
  </si>
  <si>
    <t>AM-30</t>
  </si>
  <si>
    <t>Repeats 6-digit sequences
     8, 9, 1, 7, 4, 3     ____ Pass     ____ Fail
     7, 2, 6, 4, 8, 3     ____ Pass     ____ Fail</t>
  </si>
  <si>
    <t>RA-1</t>
  </si>
  <si>
    <t>Recognizes themselves as the cause of events or happenings</t>
  </si>
  <si>
    <t>RA-2</t>
  </si>
  <si>
    <t>Experiments with variations of causal behavior</t>
  </si>
  <si>
    <t>RA-3</t>
  </si>
  <si>
    <t>Reaches around a barrier to obtain a toy</t>
  </si>
  <si>
    <t>RA-4</t>
  </si>
  <si>
    <t>Show interest and enjoyment in age-appropriate books or printed materials</t>
  </si>
  <si>
    <t>RA-5</t>
  </si>
  <si>
    <t>Pulls a cloth to obtain an object</t>
  </si>
  <si>
    <t>RA-6</t>
  </si>
  <si>
    <t>Nests objects inside each other</t>
  </si>
  <si>
    <t>RA-7</t>
  </si>
  <si>
    <t>Matches colors:
     Red     ____ Pass     ____ Fail        Green   ____ Pass     ____ Fail
     Blue   ____ Pass     ____Fail        Yellow    ____ Pass     ____ Fail</t>
  </si>
  <si>
    <t>RA-8</t>
  </si>
  <si>
    <t>Responds to "one" and "one more"</t>
  </si>
  <si>
    <t>RA-9</t>
  </si>
  <si>
    <t xml:space="preserve">Names the colors "red", "green", and "blue":
    Red        _____ Pass    _____ Fail
    Green   _____ Pass    _____ Fail
    Blue      _____ Pass    _____ Fail
</t>
  </si>
  <si>
    <t>RA-10</t>
  </si>
  <si>
    <t>Identifies sources of common actions:
    What flies?          _____ Pass     _____ Fail
    What barks?       _____ Pass     _____ Fail
   What sleeps?      _____ Pass     _____ Fail</t>
  </si>
  <si>
    <t>RA-11</t>
  </si>
  <si>
    <t>Give three objects on request</t>
  </si>
  <si>
    <t>RA-12</t>
  </si>
  <si>
    <t>Finds comical, unexpected, or unusal events humrous</t>
  </si>
  <si>
    <t>RA-13</t>
  </si>
  <si>
    <t>Identifies the larget of two nubers:
     5 pennies     _____ Pass    _____ Fail
     8                       _____ Pass    _____ Fail</t>
  </si>
  <si>
    <t>RA-14</t>
  </si>
  <si>
    <t>Completes learning tasks having 2 or more steps without assistance</t>
  </si>
  <si>
    <t>RA-15</t>
  </si>
  <si>
    <t>Answers simple logic questions
     Why to we have clothes?          _____ Pass     _____ Fail
     Why to people have cars?        _____ Pass     _____ Fail</t>
  </si>
  <si>
    <t>RA-16</t>
  </si>
  <si>
    <t>Recognizes picture absurdities
     Picture A          _____ Pass     _____ Fail
     Picture B          _____ Pass     _____ Fail</t>
  </si>
  <si>
    <t>RA-17</t>
  </si>
  <si>
    <t>Complete opposite analogies
    Sister is a girl; brother is a _______       _____ Pass   _____ Fail
    Fire is hot; Ice is _______                           _____ Pass     ____ Fail
    In the daytime it is light; at night it is  _____ Pass     ____ Fail</t>
  </si>
  <si>
    <t>RA-18</t>
  </si>
  <si>
    <t>Identifies the missing parts of objects
     Wheel          _____ Pass     _____ Fail
     Eye                _____ Pass     _____ Fail
     Thumb        _____ Pass     _____ Fail</t>
  </si>
  <si>
    <t>Perception and Concpts (PC)</t>
  </si>
  <si>
    <t>PC-1</t>
  </si>
  <si>
    <t>Responds positively to physical contact and tactile stimulation</t>
  </si>
  <si>
    <t>PC-2</t>
  </si>
  <si>
    <t>Visually explores the environment</t>
  </si>
  <si>
    <t>PC-3</t>
  </si>
  <si>
    <t>Shows awareness of new situations</t>
  </si>
  <si>
    <t>PC-4</t>
  </si>
  <si>
    <t>Feels and explores objects</t>
  </si>
  <si>
    <t>PC-5</t>
  </si>
  <si>
    <t>Physically explores or investigates their surroundings</t>
  </si>
  <si>
    <t>PC-6</t>
  </si>
  <si>
    <t>Imitates simple factial gestures</t>
  </si>
  <si>
    <t>PC-7</t>
  </si>
  <si>
    <t>Places a circle and a square in a foam board</t>
  </si>
  <si>
    <t>PC-8</t>
  </si>
  <si>
    <t>Matches a circle, square, and triangle
     Circle          _____ Pass     _____ Fail
     Square       _____ Pass     _____ Fail
     Triangle    _____ Pass     _____ Fail</t>
  </si>
  <si>
    <t>PC-9</t>
  </si>
  <si>
    <t>Identifies familiar objects by their use
     Shoe          _____ Pass     _____ Fail
     Cup            _____ Pass     _____ Fail
     Ball            _____ Pass     _____ Fail</t>
  </si>
  <si>
    <t>PC-10</t>
  </si>
  <si>
    <t>Sorts by color with demonstration</t>
  </si>
  <si>
    <t>PC-11</t>
  </si>
  <si>
    <t>Identifies big and little shapes</t>
  </si>
  <si>
    <t>PC-12</t>
  </si>
  <si>
    <t>Sorts by size with demonstration</t>
  </si>
  <si>
    <t>PC-13</t>
  </si>
  <si>
    <t>Sorts forms by shapes
     Squares            _____ Pass     _____ Fail
     Circles               _____ Pass     _____ Fail
     Rectangles      _____ Pass     _____ Fail</t>
  </si>
  <si>
    <t>PC-14</t>
  </si>
  <si>
    <t>Identifies the longer of 2 plastic strips</t>
  </si>
  <si>
    <t>4 years (continued)</t>
  </si>
  <si>
    <t>PC-15</t>
  </si>
  <si>
    <t>Identifies colors of familiar objects not in view
     Orange                         _____ Pass     _____ Fail
     Green or Yellow         _____ Pass     _____ Fail</t>
  </si>
  <si>
    <t>PC-16</t>
  </si>
  <si>
    <t>Recognizes visual differences among similar shapes
     Set A        _____ Pass     _____ Fail
     Set B        _____ Pass     _____ Fail
     Set C        _____ Pass     _____ Fail</t>
  </si>
  <si>
    <t>PC-17</t>
  </si>
  <si>
    <t>Identifies simple objects by touch
     Bead               _____ Pass     _____ Fail
     Square           _____ Pass     _____ Fail</t>
  </si>
  <si>
    <t>PC-18</t>
  </si>
  <si>
    <t>Recognizes visual differences among similar numerals and letters
     Set A        _____ Pass     _____ Fail
     Set B        _____ Pass     _____ Fail
     Set C        _____ Pass     _____ Fail</t>
  </si>
  <si>
    <t>PC-19</t>
  </si>
  <si>
    <t>Identifies soft, rough, and smooth textures
     Soft               _____ Pass     _____ Fail
     Rough          _____ Pass    _____ Fail
     Smooth       _____ Pass     _____ Fail</t>
  </si>
  <si>
    <t>PC-20</t>
  </si>
  <si>
    <t>Compares the sizes of familir objects not in view
     Dog               _____ Pass     _____ Fail
     Tree              _____ Pass     _____ Fail
     Room           _____ Pass     _____ Fail</t>
  </si>
  <si>
    <t>PC-21</t>
  </si>
  <si>
    <t>assemples a 6-piece puzzle of a person</t>
  </si>
  <si>
    <t>PC-22</t>
  </si>
  <si>
    <t>Identiifes the picture that is different -- Level 1
     Tree          _____ Pass     _____ Fail
     Dog           _____ Pass     _____ Fail</t>
  </si>
  <si>
    <t>PC-23</t>
  </si>
  <si>
    <t>Understands relative time
     Every year          _____ Pass     _____ Fail
     Minutes              _____ Pass     _____ Fail
     Every Week        _____ Pass     _____ Fail
     One Week          _____ Pass     _____ Faile</t>
  </si>
  <si>
    <t>Identifies past and present activites</t>
  </si>
  <si>
    <t>PC-24</t>
  </si>
  <si>
    <t>Answers "what-to-do" questions
     You friend broke a leg          _____ Pass     _____ Fail
     You want to play longer       _____ Pass     _____ Fail</t>
  </si>
  <si>
    <t>Date of Testing (mm/dd/yyyy)</t>
  </si>
  <si>
    <t>Date of Birth (mm/dd/yyyy)</t>
  </si>
  <si>
    <t>ADP - SC</t>
  </si>
  <si>
    <t>Age Eq</t>
  </si>
  <si>
    <t>ADP - PR</t>
  </si>
  <si>
    <t>Subdomain
Scaled Score</t>
  </si>
  <si>
    <t>Sums of Subdomains
and Scaled Scores</t>
  </si>
  <si>
    <t>P-S - AI</t>
  </si>
  <si>
    <t>P-S - PI</t>
  </si>
  <si>
    <t>P-S - SR</t>
  </si>
  <si>
    <t>Age Eq.</t>
  </si>
  <si>
    <t>COM - RC</t>
  </si>
  <si>
    <t>Eq Age</t>
  </si>
  <si>
    <t>COM-EC</t>
  </si>
  <si>
    <t>MOT - GM</t>
  </si>
  <si>
    <t>MOT - FM</t>
  </si>
  <si>
    <t>MOT - PM</t>
  </si>
  <si>
    <t>COG - AM</t>
  </si>
  <si>
    <t>COM - RA</t>
  </si>
  <si>
    <t xml:space="preserve">COG - PC </t>
  </si>
  <si>
    <t>Scaled Scores - Adaptive - Self-Care</t>
  </si>
  <si>
    <t>&lt;1</t>
  </si>
  <si>
    <t>2</t>
  </si>
  <si>
    <t>9</t>
  </si>
  <si>
    <t>25</t>
  </si>
  <si>
    <t>50</t>
  </si>
  <si>
    <t>63</t>
  </si>
  <si>
    <t>75</t>
  </si>
  <si>
    <t>84</t>
  </si>
  <si>
    <t>91</t>
  </si>
  <si>
    <t>95</t>
  </si>
  <si>
    <t>98</t>
  </si>
  <si>
    <t>99</t>
  </si>
  <si>
    <t>&gt;99</t>
  </si>
  <si>
    <t>18</t>
  </si>
  <si>
    <t>1</t>
  </si>
  <si>
    <t>5</t>
  </si>
  <si>
    <t>16</t>
  </si>
  <si>
    <t>37</t>
  </si>
  <si>
    <t>15</t>
  </si>
  <si>
    <t>62</t>
  </si>
  <si>
    <t>10</t>
  </si>
  <si>
    <t xml:space="preserve"> &lt;1</t>
  </si>
  <si>
    <t xml:space="preserve"> &gt;99</t>
  </si>
  <si>
    <t>Self Care (SC)</t>
  </si>
  <si>
    <t>Index</t>
  </si>
  <si>
    <t>Sscore</t>
  </si>
  <si>
    <t>Pct'tile</t>
  </si>
  <si>
    <t>Personal Responsibility</t>
  </si>
  <si>
    <t>Ind</t>
  </si>
  <si>
    <t>Adult Interaction</t>
  </si>
  <si>
    <t>Self Concept - Social Role</t>
  </si>
  <si>
    <t>Receptive Communication</t>
  </si>
  <si>
    <t>Expressive Communication</t>
  </si>
  <si>
    <t>Perceptive Motoe (PM)</t>
  </si>
  <si>
    <t>Gross Motor</t>
  </si>
  <si>
    <t>Fine Motor</t>
  </si>
  <si>
    <t>Perceptiual Motor</t>
  </si>
  <si>
    <t>Attention and Memory</t>
  </si>
  <si>
    <t>Reasoning and Academic Skills</t>
  </si>
  <si>
    <t>Perception and Concepts</t>
  </si>
  <si>
    <t>Standard Score
for BDI-2</t>
  </si>
  <si>
    <t>Pct Rank
for BDI-2</t>
  </si>
  <si>
    <t>NCE for
BDI-2</t>
  </si>
  <si>
    <t>Scaled Score
for BDI-2</t>
  </si>
  <si>
    <t>z-Score
Values</t>
  </si>
  <si>
    <t>T-Score
Values</t>
  </si>
  <si>
    <t>0.1</t>
  </si>
  <si>
    <t>0.2</t>
  </si>
  <si>
    <t>0.3</t>
  </si>
  <si>
    <t>0.4</t>
  </si>
  <si>
    <t>0.5</t>
  </si>
  <si>
    <t>3</t>
  </si>
  <si>
    <t>4</t>
  </si>
  <si>
    <t>6</t>
  </si>
  <si>
    <t>7</t>
  </si>
  <si>
    <t>8</t>
  </si>
  <si>
    <t>12</t>
  </si>
  <si>
    <t>13</t>
  </si>
  <si>
    <t>14</t>
  </si>
  <si>
    <t>19</t>
  </si>
  <si>
    <t>21</t>
  </si>
  <si>
    <t>23</t>
  </si>
  <si>
    <t>27</t>
  </si>
  <si>
    <t>30</t>
  </si>
  <si>
    <t>32</t>
  </si>
  <si>
    <t>34</t>
  </si>
  <si>
    <t>39</t>
  </si>
  <si>
    <t>42</t>
  </si>
  <si>
    <t>45</t>
  </si>
  <si>
    <t>47</t>
  </si>
  <si>
    <t>53</t>
  </si>
  <si>
    <t>55</t>
  </si>
  <si>
    <t>58</t>
  </si>
  <si>
    <t>61</t>
  </si>
  <si>
    <t>66</t>
  </si>
  <si>
    <t>68</t>
  </si>
  <si>
    <t>70</t>
  </si>
  <si>
    <t>73</t>
  </si>
  <si>
    <t>77</t>
  </si>
  <si>
    <t>79</t>
  </si>
  <si>
    <t>81</t>
  </si>
  <si>
    <t>82</t>
  </si>
  <si>
    <t>86</t>
  </si>
  <si>
    <t>87</t>
  </si>
  <si>
    <t>88</t>
  </si>
  <si>
    <t>90</t>
  </si>
  <si>
    <t>92</t>
  </si>
  <si>
    <t>93</t>
  </si>
  <si>
    <t>94</t>
  </si>
  <si>
    <t>96</t>
  </si>
  <si>
    <t>97</t>
  </si>
  <si>
    <t>99.5</t>
  </si>
  <si>
    <t>99.6</t>
  </si>
  <si>
    <t>99.7</t>
  </si>
  <si>
    <t>99.8</t>
  </si>
  <si>
    <t>99.9</t>
  </si>
  <si>
    <t>&gt;99.9</t>
  </si>
  <si>
    <t>11</t>
  </si>
  <si>
    <t>22</t>
  </si>
  <si>
    <t>26</t>
  </si>
  <si>
    <t>28</t>
  </si>
  <si>
    <t>29</t>
  </si>
  <si>
    <t>33</t>
  </si>
  <si>
    <t>35</t>
  </si>
  <si>
    <t>36</t>
  </si>
  <si>
    <t>40</t>
  </si>
  <si>
    <t>43</t>
  </si>
  <si>
    <t>44</t>
  </si>
  <si>
    <t>46</t>
  </si>
  <si>
    <t>49</t>
  </si>
  <si>
    <t>51</t>
  </si>
  <si>
    <t>54</t>
  </si>
  <si>
    <t>56</t>
  </si>
  <si>
    <t>57</t>
  </si>
  <si>
    <t>60</t>
  </si>
  <si>
    <t>64</t>
  </si>
  <si>
    <t>65</t>
  </si>
  <si>
    <t>67</t>
  </si>
  <si>
    <t>71</t>
  </si>
  <si>
    <t>72</t>
  </si>
  <si>
    <t>74</t>
  </si>
  <si>
    <t>78</t>
  </si>
  <si>
    <t>85</t>
  </si>
  <si>
    <t>89</t>
  </si>
  <si>
    <t>.0.07</t>
  </si>
  <si>
    <t>Sum of SS</t>
  </si>
  <si>
    <t>DQ</t>
  </si>
  <si>
    <t>52-70</t>
  </si>
  <si>
    <t>56-74</t>
  </si>
  <si>
    <t>61-79</t>
  </si>
  <si>
    <t>65-83</t>
  </si>
  <si>
    <t>69-87</t>
  </si>
  <si>
    <t>74-92</t>
  </si>
  <si>
    <t>78-96</t>
  </si>
  <si>
    <t>82-100</t>
  </si>
  <si>
    <t>87-105</t>
  </si>
  <si>
    <t>91-109</t>
  </si>
  <si>
    <t>95-113</t>
  </si>
  <si>
    <t>100-118</t>
  </si>
  <si>
    <t>104-122</t>
  </si>
  <si>
    <t>108-126</t>
  </si>
  <si>
    <t>113-131</t>
  </si>
  <si>
    <t>117-135</t>
  </si>
  <si>
    <t>121-139</t>
  </si>
  <si>
    <t>126-144</t>
  </si>
  <si>
    <t>130-148</t>
  </si>
  <si>
    <t>95% CI</t>
  </si>
  <si>
    <t>0-23 Months</t>
  </si>
  <si>
    <t>51-67</t>
  </si>
  <si>
    <t>53-69</t>
  </si>
  <si>
    <t>56-72</t>
  </si>
  <si>
    <t>59-75</t>
  </si>
  <si>
    <t>62-78</t>
  </si>
  <si>
    <t>64-80</t>
  </si>
  <si>
    <t>67-83</t>
  </si>
  <si>
    <t>70-86</t>
  </si>
  <si>
    <t>72-88</t>
  </si>
  <si>
    <t>74-90</t>
  </si>
  <si>
    <t>75-91</t>
  </si>
  <si>
    <t>77-93</t>
  </si>
  <si>
    <t>80-96</t>
  </si>
  <si>
    <t>82-98</t>
  </si>
  <si>
    <t>84-100</t>
  </si>
  <si>
    <t>86-102</t>
  </si>
  <si>
    <t>88-104</t>
  </si>
  <si>
    <t>60-106</t>
  </si>
  <si>
    <t>92-108</t>
  </si>
  <si>
    <t>94-110</t>
  </si>
  <si>
    <t>96-112</t>
  </si>
  <si>
    <t>98-114</t>
  </si>
  <si>
    <t>100-116</t>
  </si>
  <si>
    <t>102-118</t>
  </si>
  <si>
    <t>104-120</t>
  </si>
  <si>
    <t>107-123</t>
  </si>
  <si>
    <t>109-125</t>
  </si>
  <si>
    <t>110-126</t>
  </si>
  <si>
    <t>112-128</t>
  </si>
  <si>
    <t>114-130</t>
  </si>
  <si>
    <t>117-133</t>
  </si>
  <si>
    <t>120-136</t>
  </si>
  <si>
    <t>122-138</t>
  </si>
  <si>
    <t>125-141</t>
  </si>
  <si>
    <t>128-144</t>
  </si>
  <si>
    <t>131-147</t>
  </si>
  <si>
    <t>133-149</t>
  </si>
  <si>
    <t>% Rank</t>
  </si>
  <si>
    <t>24-71 Months</t>
  </si>
  <si>
    <t>58-70</t>
  </si>
  <si>
    <t>52*65</t>
  </si>
  <si>
    <t>55-67</t>
  </si>
  <si>
    <t>61-73</t>
  </si>
  <si>
    <t>66-78</t>
  </si>
  <si>
    <t>63-75</t>
  </si>
  <si>
    <t>67-79</t>
  </si>
  <si>
    <t>70-82</t>
  </si>
  <si>
    <t>72-84</t>
  </si>
  <si>
    <t>75-87</t>
  </si>
  <si>
    <t>77-89</t>
  </si>
  <si>
    <t>80-92</t>
  </si>
  <si>
    <t>82-94</t>
  </si>
  <si>
    <t>85-97</t>
  </si>
  <si>
    <t>86-98</t>
  </si>
  <si>
    <t>89-101</t>
  </si>
  <si>
    <t>91-103</t>
  </si>
  <si>
    <t>94-106</t>
  </si>
  <si>
    <t>97-109</t>
  </si>
  <si>
    <t>99-111</t>
  </si>
  <si>
    <t>102-114</t>
  </si>
  <si>
    <t>104-116</t>
  </si>
  <si>
    <t>106-118</t>
  </si>
  <si>
    <t>108-120</t>
  </si>
  <si>
    <t>111-123</t>
  </si>
  <si>
    <t>113-125</t>
  </si>
  <si>
    <t>116-128</t>
  </si>
  <si>
    <t>118-130</t>
  </si>
  <si>
    <t>121-133</t>
  </si>
  <si>
    <t>123-135</t>
  </si>
  <si>
    <t>125-137</t>
  </si>
  <si>
    <t>127-139</t>
  </si>
  <si>
    <t>130-142</t>
  </si>
  <si>
    <t>132-144</t>
  </si>
  <si>
    <t>135-147</t>
  </si>
  <si>
    <t>137-149</t>
  </si>
  <si>
    <t>51-61</t>
  </si>
  <si>
    <t>54-64</t>
  </si>
  <si>
    <t>57-67</t>
  </si>
  <si>
    <t>60-70</t>
  </si>
  <si>
    <t>63-73</t>
  </si>
  <si>
    <t>75-85</t>
  </si>
  <si>
    <t>99-109</t>
  </si>
  <si>
    <t>139-149</t>
  </si>
  <si>
    <t>66-76</t>
  </si>
  <si>
    <t>77-87</t>
  </si>
  <si>
    <t>69-79</t>
  </si>
  <si>
    <t>70-80</t>
  </si>
  <si>
    <t>72-82</t>
  </si>
  <si>
    <t>74-84</t>
  </si>
  <si>
    <t>82-92</t>
  </si>
  <si>
    <t>73-83</t>
  </si>
  <si>
    <t>78-88</t>
  </si>
  <si>
    <t>79-89</t>
  </si>
  <si>
    <t>80-90</t>
  </si>
  <si>
    <t>87-97</t>
  </si>
  <si>
    <t>81-91</t>
  </si>
  <si>
    <t>83-93</t>
  </si>
  <si>
    <t>85-95</t>
  </si>
  <si>
    <t>86-96</t>
  </si>
  <si>
    <t>89-99</t>
  </si>
  <si>
    <t>90-100</t>
  </si>
  <si>
    <t>91-101</t>
  </si>
  <si>
    <t>92-102</t>
  </si>
  <si>
    <t>94-104</t>
  </si>
  <si>
    <t>95-105</t>
  </si>
  <si>
    <t>96-106</t>
  </si>
  <si>
    <t>98-108</t>
  </si>
  <si>
    <t>100-110</t>
  </si>
  <si>
    <t>101-111</t>
  </si>
  <si>
    <t>103-113</t>
  </si>
  <si>
    <t>104-114</t>
  </si>
  <si>
    <t>105-115</t>
  </si>
  <si>
    <t>107-117</t>
  </si>
  <si>
    <t>108-118</t>
  </si>
  <si>
    <t>109-119</t>
  </si>
  <si>
    <t>110-120</t>
  </si>
  <si>
    <t>111-121</t>
  </si>
  <si>
    <t>112-122</t>
  </si>
  <si>
    <t>113-123</t>
  </si>
  <si>
    <t>115-125</t>
  </si>
  <si>
    <t>116-126</t>
  </si>
  <si>
    <t>117-127</t>
  </si>
  <si>
    <t>118-128</t>
  </si>
  <si>
    <t>120-130</t>
  </si>
  <si>
    <t>122-132</t>
  </si>
  <si>
    <t>125-135</t>
  </si>
  <si>
    <t>128-138</t>
  </si>
  <si>
    <t>131-141</t>
  </si>
  <si>
    <t>134-144</t>
  </si>
  <si>
    <t>137-147</t>
  </si>
  <si>
    <t>Commuication (COM)</t>
  </si>
  <si>
    <t>51-65</t>
  </si>
  <si>
    <t>53-67</t>
  </si>
  <si>
    <t>55-69</t>
  </si>
  <si>
    <t>57-71</t>
  </si>
  <si>
    <t>59-73</t>
  </si>
  <si>
    <t>60-74</t>
  </si>
  <si>
    <t>62-76</t>
  </si>
  <si>
    <t>65-79</t>
  </si>
  <si>
    <t>68-82</t>
  </si>
  <si>
    <t>71-85</t>
  </si>
  <si>
    <t>73-87</t>
  </si>
  <si>
    <t>75-89</t>
  </si>
  <si>
    <t>78-92</t>
  </si>
  <si>
    <t>80-94</t>
  </si>
  <si>
    <t>83-97</t>
  </si>
  <si>
    <t>86-100</t>
  </si>
  <si>
    <t>88-102</t>
  </si>
  <si>
    <t>90-104</t>
  </si>
  <si>
    <t>93-107</t>
  </si>
  <si>
    <t>96-110</t>
  </si>
  <si>
    <t>98-112</t>
  </si>
  <si>
    <t>100-114</t>
  </si>
  <si>
    <t>103-117</t>
  </si>
  <si>
    <t>106-120</t>
  </si>
  <si>
    <t>108-122</t>
  </si>
  <si>
    <t>111-125</t>
  </si>
  <si>
    <t>113-127</t>
  </si>
  <si>
    <t>115-129</t>
  </si>
  <si>
    <t>118-132</t>
  </si>
  <si>
    <t>121-135</t>
  </si>
  <si>
    <t>124-138</t>
  </si>
  <si>
    <t>126-140</t>
  </si>
  <si>
    <t>128-142</t>
  </si>
  <si>
    <t>131-145</t>
  </si>
  <si>
    <t>133-147</t>
  </si>
  <si>
    <t>134-148</t>
  </si>
  <si>
    <t>136-149</t>
  </si>
  <si>
    <t>51-63</t>
  </si>
  <si>
    <t>54-66</t>
  </si>
  <si>
    <t>57-69</t>
  </si>
  <si>
    <t>64-76</t>
  </si>
  <si>
    <t>73-85</t>
  </si>
  <si>
    <t>76-88</t>
  </si>
  <si>
    <t>78-90</t>
  </si>
  <si>
    <t>84-96</t>
  </si>
  <si>
    <t>88-100</t>
  </si>
  <si>
    <t>90-102</t>
  </si>
  <si>
    <t>92-104</t>
  </si>
  <si>
    <t>96-108</t>
  </si>
  <si>
    <t>98-110</t>
  </si>
  <si>
    <t>100-112</t>
  </si>
  <si>
    <t>110-122</t>
  </si>
  <si>
    <t>112-124</t>
  </si>
  <si>
    <t>114-126</t>
  </si>
  <si>
    <t>117-129</t>
  </si>
  <si>
    <t>120-132</t>
  </si>
  <si>
    <t>123-125</t>
  </si>
  <si>
    <t>126-138</t>
  </si>
  <si>
    <t>129-141</t>
  </si>
  <si>
    <t>131-143</t>
  </si>
  <si>
    <t>134-146</t>
  </si>
  <si>
    <t>53-65</t>
  </si>
  <si>
    <t>60-72</t>
  </si>
  <si>
    <t>62-74</t>
  </si>
  <si>
    <t>65-77</t>
  </si>
  <si>
    <t>69-81</t>
  </si>
  <si>
    <t>DQ.ADP_0_11_Months</t>
  </si>
  <si>
    <t>DQ.ADP_24_71_Months</t>
  </si>
  <si>
    <t>DQ.COM_0_23_Months</t>
  </si>
  <si>
    <t>DQ.COM_24_71_Months</t>
  </si>
  <si>
    <t>79-91</t>
  </si>
  <si>
    <t>109-121</t>
  </si>
  <si>
    <t>119-131</t>
  </si>
  <si>
    <t>122-134</t>
  </si>
  <si>
    <t>128-140</t>
  </si>
  <si>
    <t>133-145</t>
  </si>
  <si>
    <t>79-97</t>
  </si>
  <si>
    <t>52-68</t>
  </si>
  <si>
    <t>54-70</t>
  </si>
  <si>
    <t>57-73</t>
  </si>
  <si>
    <t>61-77</t>
  </si>
  <si>
    <t>63-79</t>
  </si>
  <si>
    <t>65-81</t>
  </si>
  <si>
    <t>69-85</t>
  </si>
  <si>
    <t>71-87</t>
  </si>
  <si>
    <t>73-89</t>
  </si>
  <si>
    <t>79-95</t>
  </si>
  <si>
    <t>87-103</t>
  </si>
  <si>
    <t>90-106</t>
  </si>
  <si>
    <t>97-113</t>
  </si>
  <si>
    <t>105-121</t>
  </si>
  <si>
    <t>111-127</t>
  </si>
  <si>
    <t>113-129</t>
  </si>
  <si>
    <t>115-131</t>
  </si>
  <si>
    <t>119-135</t>
  </si>
  <si>
    <t>121-137</t>
  </si>
  <si>
    <t>123-139</t>
  </si>
  <si>
    <t>127-143</t>
  </si>
  <si>
    <t>130-146</t>
  </si>
  <si>
    <t>132-148</t>
  </si>
  <si>
    <t>139-145</t>
  </si>
  <si>
    <t>DQ.MOT_0_23_Months</t>
  </si>
  <si>
    <t>DQ.MOT_24_71_Months</t>
  </si>
  <si>
    <t>Cognative (COG)</t>
  </si>
  <si>
    <t>DQ.COG_0_23_Months</t>
  </si>
  <si>
    <t>DQ.COG_24_71_Months</t>
  </si>
  <si>
    <t>51-69</t>
  </si>
  <si>
    <t>51-36</t>
  </si>
  <si>
    <t>53-71</t>
  </si>
  <si>
    <t>54-72</t>
  </si>
  <si>
    <t>55-73</t>
  </si>
  <si>
    <t>62-80</t>
  </si>
  <si>
    <t>68-86</t>
  </si>
  <si>
    <t>71-89</t>
  </si>
  <si>
    <t>73-91</t>
  </si>
  <si>
    <t>77-95</t>
  </si>
  <si>
    <t>85-103</t>
  </si>
  <si>
    <t>88-106</t>
  </si>
  <si>
    <t>91-106</t>
  </si>
  <si>
    <t>94-112</t>
  </si>
  <si>
    <t>97-115</t>
  </si>
  <si>
    <t>105-123</t>
  </si>
  <si>
    <t>109-127</t>
  </si>
  <si>
    <t>111-128</t>
  </si>
  <si>
    <t>114-132</t>
  </si>
  <si>
    <t>120-138</t>
  </si>
  <si>
    <t>123-141</t>
  </si>
  <si>
    <t>127-145</t>
  </si>
  <si>
    <t>129-147</t>
  </si>
  <si>
    <t>128-146</t>
  </si>
  <si>
    <t>131-149</t>
  </si>
  <si>
    <t>54-68</t>
  </si>
  <si>
    <t>56-70</t>
  </si>
  <si>
    <t>61-75</t>
  </si>
  <si>
    <t>63-77</t>
  </si>
  <si>
    <t>66-80</t>
  </si>
  <si>
    <t>70-84</t>
  </si>
  <si>
    <t>72-86</t>
  </si>
  <si>
    <t>74-88</t>
  </si>
  <si>
    <t>76-90</t>
  </si>
  <si>
    <t>81-95</t>
  </si>
  <si>
    <t>85-99</t>
  </si>
  <si>
    <t>89-103</t>
  </si>
  <si>
    <t>91-105</t>
  </si>
  <si>
    <t>95-109</t>
  </si>
  <si>
    <t>97-111</t>
  </si>
  <si>
    <t>101-115</t>
  </si>
  <si>
    <t>105-119</t>
  </si>
  <si>
    <t>110-124</t>
  </si>
  <si>
    <t>112-126</t>
  </si>
  <si>
    <t>114-128</t>
  </si>
  <si>
    <t>117-131</t>
  </si>
  <si>
    <t>123-137</t>
  </si>
  <si>
    <t>125-139</t>
  </si>
  <si>
    <t>127-141</t>
  </si>
  <si>
    <t>130-144</t>
  </si>
  <si>
    <t>132-146</t>
  </si>
  <si>
    <t>135-149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</si>
</sst>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1" fillId="4" borderId="1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3" xfId="0" applyFont="1" applyBorder="1"/>
    <xf numFmtId="0" fontId="1" fillId="2" borderId="14" xfId="0" applyFont="1" applyFill="1" applyBorder="1" applyAlignment="1">
      <alignment horizontal="center"/>
    </xf>
    <xf numFmtId="49" fontId="0" fillId="0" borderId="5" xfId="0" applyNumberFormat="1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 wrapText="1"/>
    </xf>
    <xf numFmtId="0" fontId="0" fillId="2" borderId="17" xfId="0" applyFill="1" applyBorder="1" applyAlignment="1">
      <alignment horizontal="center"/>
    </xf>
    <xf numFmtId="0" fontId="0" fillId="2" borderId="17" xfId="0" applyFill="1" applyBorder="1"/>
    <xf numFmtId="0" fontId="0" fillId="2" borderId="26" xfId="0" applyFill="1" applyBorder="1"/>
    <xf numFmtId="0" fontId="0" fillId="0" borderId="27" xfId="0" applyBorder="1"/>
    <xf numFmtId="0" fontId="0" fillId="0" borderId="28" xfId="0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0" fillId="0" borderId="29" xfId="0" applyBorder="1"/>
    <xf numFmtId="0" fontId="1" fillId="2" borderId="24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wrapText="1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30" xfId="0" applyBorder="1" applyAlignment="1">
      <alignment horizontal="center" vertical="top"/>
    </xf>
    <xf numFmtId="0" fontId="0" fillId="0" borderId="14" xfId="0" applyBorder="1"/>
    <xf numFmtId="0" fontId="0" fillId="0" borderId="31" xfId="0" applyBorder="1"/>
    <xf numFmtId="1" fontId="0" fillId="0" borderId="28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0" fillId="0" borderId="40" xfId="0" applyBorder="1"/>
    <xf numFmtId="0" fontId="0" fillId="0" borderId="7" xfId="0" applyBorder="1" applyAlignment="1">
      <alignment horizontal="center" vertical="top"/>
    </xf>
    <xf numFmtId="0" fontId="1" fillId="2" borderId="2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49" fontId="0" fillId="0" borderId="5" xfId="0" applyNumberForma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49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1" fillId="2" borderId="39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2" borderId="38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0" borderId="42" xfId="0" applyBorder="1" applyAlignment="1">
      <alignment horizontal="center" vertical="top"/>
    </xf>
    <xf numFmtId="0" fontId="0" fillId="0" borderId="4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4" xfId="0" applyBorder="1"/>
    <xf numFmtId="0" fontId="0" fillId="0" borderId="39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45" xfId="0" applyBorder="1"/>
    <xf numFmtId="0" fontId="0" fillId="0" borderId="10" xfId="0" applyBorder="1" applyAlignment="1">
      <alignment horizontal="center"/>
    </xf>
    <xf numFmtId="0" fontId="0" fillId="0" borderId="5" xfId="0" applyBorder="1" applyAlignment="1">
      <alignment vertical="top" wrapText="1"/>
    </xf>
    <xf numFmtId="0" fontId="0" fillId="2" borderId="25" xfId="0" applyFill="1" applyBorder="1" applyAlignment="1">
      <alignment horizontal="right"/>
    </xf>
    <xf numFmtId="1" fontId="0" fillId="0" borderId="8" xfId="0" applyNumberFormat="1" applyBorder="1" applyAlignment="1" applyProtection="1">
      <alignment horizontal="center"/>
      <protection locked="0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9" xfId="0" applyNumberFormat="1" applyBorder="1" applyAlignment="1" applyProtection="1">
      <alignment horizontal="center"/>
      <protection locked="0"/>
    </xf>
    <xf numFmtId="1" fontId="0" fillId="0" borderId="15" xfId="0" applyNumberFormat="1" applyBorder="1" applyAlignment="1" applyProtection="1">
      <alignment horizontal="center"/>
      <protection locked="0"/>
    </xf>
    <xf numFmtId="1" fontId="0" fillId="0" borderId="12" xfId="0" applyNumberFormat="1" applyBorder="1" applyAlignment="1" applyProtection="1">
      <alignment horizont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1" fontId="0" fillId="0" borderId="12" xfId="0" applyNumberFormat="1" applyBorder="1" applyAlignment="1" applyProtection="1">
      <alignment horizontal="center" vertical="center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top"/>
      <protection locked="0"/>
    </xf>
    <xf numFmtId="1" fontId="0" fillId="0" borderId="8" xfId="0" applyNumberFormat="1" applyBorder="1" applyAlignment="1" applyProtection="1">
      <alignment horizontal="center" vertical="top"/>
      <protection locked="0"/>
    </xf>
    <xf numFmtId="1" fontId="0" fillId="0" borderId="9" xfId="0" applyNumberFormat="1" applyBorder="1" applyAlignment="1" applyProtection="1">
      <alignment horizontal="center" vertical="top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1" fontId="0" fillId="0" borderId="43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2" fontId="5" fillId="2" borderId="58" xfId="0" applyNumberFormat="1" applyFont="1" applyFill="1" applyBorder="1" applyAlignment="1">
      <alignment horizontal="center"/>
    </xf>
    <xf numFmtId="1" fontId="5" fillId="2" borderId="58" xfId="0" applyNumberFormat="1" applyFont="1" applyFill="1" applyBorder="1" applyAlignment="1">
      <alignment horizontal="center"/>
    </xf>
    <xf numFmtId="49" fontId="5" fillId="2" borderId="59" xfId="0" applyNumberFormat="1" applyFont="1" applyFill="1" applyBorder="1" applyAlignment="1">
      <alignment horizontal="center"/>
    </xf>
    <xf numFmtId="2" fontId="5" fillId="0" borderId="33" xfId="0" applyNumberFormat="1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49" fontId="5" fillId="0" borderId="12" xfId="0" quotePrefix="1" applyNumberFormat="1" applyFont="1" applyBorder="1" applyAlignment="1">
      <alignment horizontal="center"/>
    </xf>
    <xf numFmtId="2" fontId="5" fillId="0" borderId="21" xfId="0" applyNumberFormat="1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49" fontId="5" fillId="0" borderId="8" xfId="0" quotePrefix="1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2" fontId="5" fillId="0" borderId="0" xfId="0" quotePrefix="1" applyNumberFormat="1" applyFont="1" applyAlignment="1">
      <alignment horizontal="center"/>
    </xf>
    <xf numFmtId="2" fontId="5" fillId="0" borderId="55" xfId="0" applyNumberFormat="1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0" xfId="0" quotePrefix="1" applyNumberFormat="1" applyFont="1" applyAlignment="1">
      <alignment horizontal="center"/>
    </xf>
    <xf numFmtId="2" fontId="5" fillId="0" borderId="0" xfId="0" applyNumberFormat="1" applyFont="1"/>
    <xf numFmtId="0" fontId="0" fillId="2" borderId="60" xfId="0" applyFill="1" applyBorder="1" applyAlignment="1">
      <alignment horizontal="center" wrapText="1"/>
    </xf>
    <xf numFmtId="0" fontId="0" fillId="2" borderId="61" xfId="0" applyFill="1" applyBorder="1" applyAlignment="1">
      <alignment horizontal="center" wrapText="1"/>
    </xf>
    <xf numFmtId="49" fontId="0" fillId="2" borderId="61" xfId="0" applyNumberFormat="1" applyFill="1" applyBorder="1" applyAlignment="1">
      <alignment horizontal="center" wrapText="1"/>
    </xf>
    <xf numFmtId="49" fontId="0" fillId="0" borderId="11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4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2" borderId="62" xfId="0" applyFill="1" applyBorder="1" applyAlignment="1">
      <alignment horizontal="center" wrapText="1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49" fontId="0" fillId="0" borderId="14" xfId="0" applyNumberFormat="1" applyBorder="1" applyAlignment="1">
      <alignment horizontal="left" vertical="center" wrapText="1"/>
    </xf>
    <xf numFmtId="1" fontId="0" fillId="2" borderId="17" xfId="0" applyNumberForma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2" borderId="64" xfId="0" applyFill="1" applyBorder="1"/>
    <xf numFmtId="0" fontId="0" fillId="0" borderId="50" xfId="0" applyBorder="1"/>
    <xf numFmtId="0" fontId="0" fillId="0" borderId="65" xfId="0" applyBorder="1"/>
    <xf numFmtId="2" fontId="0" fillId="0" borderId="43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2" borderId="67" xfId="0" applyFill="1" applyBorder="1"/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49" fontId="0" fillId="0" borderId="43" xfId="0" applyNumberFormat="1" applyBorder="1" applyAlignment="1">
      <alignment horizontal="center"/>
    </xf>
    <xf numFmtId="49" fontId="0" fillId="0" borderId="65" xfId="0" applyNumberFormat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2" borderId="68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/>
    </xf>
    <xf numFmtId="0" fontId="6" fillId="2" borderId="57" xfId="0" applyFont="1" applyFill="1" applyBorder="1" applyAlignment="1">
      <alignment horizontal="center"/>
    </xf>
    <xf numFmtId="0" fontId="6" fillId="2" borderId="58" xfId="0" applyFont="1" applyFill="1" applyBorder="1" applyAlignment="1">
      <alignment horizontal="center"/>
    </xf>
    <xf numFmtId="0" fontId="6" fillId="2" borderId="59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69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 wrapText="1"/>
    </xf>
    <xf numFmtId="0" fontId="1" fillId="3" borderId="6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6" xfId="0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14" fontId="0" fillId="0" borderId="49" xfId="0" applyNumberFormat="1" applyBorder="1" applyAlignment="1" applyProtection="1">
      <alignment horizontal="center"/>
      <protection locked="0"/>
    </xf>
    <xf numFmtId="14" fontId="0" fillId="0" borderId="47" xfId="0" applyNumberFormat="1" applyBorder="1" applyAlignment="1" applyProtection="1">
      <alignment horizontal="center"/>
      <protection locked="0"/>
    </xf>
    <xf numFmtId="14" fontId="0" fillId="0" borderId="50" xfId="0" applyNumberFormat="1" applyBorder="1" applyAlignment="1" applyProtection="1">
      <alignment horizontal="center"/>
      <protection locked="0"/>
    </xf>
    <xf numFmtId="14" fontId="0" fillId="0" borderId="48" xfId="0" applyNumberFormat="1" applyBorder="1" applyAlignment="1" applyProtection="1">
      <alignment horizontal="center"/>
      <protection locked="0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left" wrapText="1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center"/>
      <protection locked="0"/>
    </xf>
    <xf numFmtId="1" fontId="0" fillId="0" borderId="12" xfId="0" applyNumberFormat="1" applyBorder="1" applyAlignment="1" applyProtection="1">
      <alignment horizontal="center" vertical="center"/>
      <protection locked="0"/>
    </xf>
    <xf numFmtId="49" fontId="0" fillId="0" borderId="14" xfId="0" applyNumberFormat="1" applyBorder="1" applyAlignment="1">
      <alignment horizontal="left" vertical="center" wrapText="1"/>
    </xf>
    <xf numFmtId="49" fontId="0" fillId="0" borderId="11" xfId="0" applyNumberForma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5" borderId="21" xfId="0" applyFon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6" xfId="0" applyBorder="1" applyAlignment="1">
      <alignment horizontal="left" vertical="top" wrapText="1"/>
    </xf>
    <xf numFmtId="0" fontId="0" fillId="0" borderId="31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1" fontId="0" fillId="0" borderId="26" xfId="0" applyNumberFormat="1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2" borderId="3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1" fontId="0" fillId="0" borderId="37" xfId="0" applyNumberFormat="1" applyBorder="1" applyAlignment="1" applyProtection="1">
      <alignment horizontal="center" vertical="top"/>
      <protection locked="0"/>
    </xf>
    <xf numFmtId="1" fontId="0" fillId="0" borderId="12" xfId="0" applyNumberFormat="1" applyBorder="1" applyAlignment="1" applyProtection="1">
      <alignment horizontal="center" vertical="top"/>
      <protection locked="0"/>
    </xf>
    <xf numFmtId="0" fontId="0" fillId="0" borderId="36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1" fontId="0" fillId="0" borderId="32" xfId="0" applyNumberFormat="1" applyBorder="1" applyAlignment="1" applyProtection="1">
      <alignment horizontal="center" vertical="top"/>
      <protection locked="0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0" fillId="0" borderId="31" xfId="0" applyNumberFormat="1" applyBorder="1" applyAlignment="1">
      <alignment horizontal="left" vertical="center" wrapText="1"/>
    </xf>
    <xf numFmtId="49" fontId="0" fillId="0" borderId="17" xfId="0" applyNumberFormat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>
      <alignment horizontal="left" vertical="top" wrapText="1"/>
    </xf>
    <xf numFmtId="0" fontId="1" fillId="2" borderId="2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1" fontId="0" fillId="0" borderId="15" xfId="0" applyNumberFormat="1" applyBorder="1" applyAlignment="1" applyProtection="1">
      <alignment horizontal="center" vertical="top"/>
      <protection locked="0"/>
    </xf>
    <xf numFmtId="1" fontId="0" fillId="0" borderId="26" xfId="0" applyNumberFormat="1" applyBorder="1" applyAlignment="1" applyProtection="1">
      <alignment horizontal="center" vertical="top"/>
      <protection locked="0"/>
    </xf>
    <xf numFmtId="0" fontId="0" fillId="2" borderId="21" xfId="0" applyFill="1" applyBorder="1" applyAlignment="1">
      <alignment horizontal="center" vertical="top"/>
    </xf>
    <xf numFmtId="0" fontId="0" fillId="2" borderId="22" xfId="0" applyFill="1" applyBorder="1" applyAlignment="1">
      <alignment horizontal="center" vertical="top"/>
    </xf>
    <xf numFmtId="0" fontId="0" fillId="2" borderId="23" xfId="0" applyFill="1" applyBorder="1" applyAlignment="1">
      <alignment horizontal="center" vertical="top"/>
    </xf>
    <xf numFmtId="0" fontId="0" fillId="2" borderId="21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49" fontId="0" fillId="0" borderId="14" xfId="0" applyNumberFormat="1" applyBorder="1" applyAlignment="1">
      <alignment horizontal="left" vertical="top" wrapText="1"/>
    </xf>
    <xf numFmtId="49" fontId="0" fillId="0" borderId="11" xfId="0" applyNumberFormat="1" applyBorder="1" applyAlignment="1">
      <alignment horizontal="left" vertical="top" wrapText="1"/>
    </xf>
    <xf numFmtId="0" fontId="0" fillId="0" borderId="15" xfId="0" applyBorder="1" applyAlignment="1" applyProtection="1">
      <alignment horizontal="center" vertical="top"/>
      <protection locked="0"/>
    </xf>
    <xf numFmtId="0" fontId="0" fillId="0" borderId="32" xfId="0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 vertical="top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top"/>
      <protection locked="0"/>
    </xf>
    <xf numFmtId="0" fontId="0" fillId="2" borderId="21" xfId="0" applyFill="1" applyBorder="1" applyAlignment="1">
      <alignment horizontal="center"/>
    </xf>
    <xf numFmtId="0" fontId="0" fillId="0" borderId="26" xfId="0" applyBorder="1" applyAlignment="1" applyProtection="1">
      <alignment horizontal="center" vertical="center"/>
      <protection locked="0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1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49" fontId="0" fillId="0" borderId="31" xfId="0" applyNumberForma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71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3" xfId="0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</cellXfs>
  <cellStyles count="1">
    <cellStyle name="Normal" xfId="0" builtinId="0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76C9-7DCB-4EBC-BCE8-448B286C76D1}">
  <sheetPr codeName="Sheet1"/>
  <dimension ref="B1:N28"/>
  <sheetViews>
    <sheetView tabSelected="1" workbookViewId="0">
      <selection activeCell="M15" sqref="M15:M19"/>
    </sheetView>
  </sheetViews>
  <sheetFormatPr defaultRowHeight="15" x14ac:dyDescent="0.25"/>
  <cols>
    <col min="1" max="1" width="3.42578125" customWidth="1"/>
    <col min="2" max="2" width="32.5703125" customWidth="1"/>
    <col min="3" max="3" width="16.5703125" style="2" customWidth="1"/>
    <col min="4" max="4" width="15.28515625" customWidth="1"/>
    <col min="5" max="5" width="14.85546875" style="2" customWidth="1"/>
    <col min="6" max="6" width="7.140625" customWidth="1"/>
    <col min="7" max="7" width="7.28515625" customWidth="1"/>
    <col min="8" max="8" width="21.140625" customWidth="1"/>
    <col min="9" max="9" width="5.140625" customWidth="1"/>
    <col min="10" max="10" width="21.5703125" customWidth="1"/>
    <col min="13" max="13" width="10.28515625" customWidth="1"/>
    <col min="14" max="14" width="11.28515625" customWidth="1"/>
  </cols>
  <sheetData>
    <row r="1" spans="2:14" ht="18.75" x14ac:dyDescent="0.3">
      <c r="B1" s="6" t="s">
        <v>30</v>
      </c>
    </row>
    <row r="2" spans="2:14" ht="15.75" thickBot="1" x14ac:dyDescent="0.3"/>
    <row r="3" spans="2:14" s="7" customFormat="1" ht="36" customHeight="1" thickBot="1" x14ac:dyDescent="0.3">
      <c r="B3" s="10" t="s">
        <v>31</v>
      </c>
      <c r="C3" s="11" t="s">
        <v>32</v>
      </c>
      <c r="D3" s="11" t="s">
        <v>33</v>
      </c>
      <c r="E3" s="11" t="s">
        <v>34</v>
      </c>
      <c r="F3" s="230" t="s">
        <v>846</v>
      </c>
      <c r="G3" s="231"/>
      <c r="H3" s="12" t="s">
        <v>847</v>
      </c>
    </row>
    <row r="4" spans="2:14" x14ac:dyDescent="0.25">
      <c r="B4" s="13" t="s">
        <v>0</v>
      </c>
      <c r="C4" s="8"/>
      <c r="D4" s="8"/>
      <c r="E4" s="8"/>
      <c r="F4" s="8"/>
      <c r="G4" s="185"/>
      <c r="H4" s="14"/>
      <c r="I4" t="s">
        <v>4</v>
      </c>
      <c r="J4" s="25"/>
      <c r="K4" s="26" t="s">
        <v>52</v>
      </c>
      <c r="L4" s="26" t="s">
        <v>53</v>
      </c>
      <c r="M4" s="27" t="s">
        <v>54</v>
      </c>
    </row>
    <row r="5" spans="2:14" x14ac:dyDescent="0.25">
      <c r="B5" s="15" t="s">
        <v>1</v>
      </c>
      <c r="C5" s="41">
        <f>IF(D5&gt;0,LOOKUP(D5,'Age Equivalent'!B4:B66,'Age Equivalent'!C4:C66),"")</f>
        <v>13</v>
      </c>
      <c r="D5" s="41">
        <f>SUM(SC!D6:D15,SC!D17:D19,SC!D21:D26,SC!H6:H11,SC!H13:H18,SC!H20:H27)</f>
        <v>25</v>
      </c>
      <c r="E5" s="8" t="str">
        <f>IF(D5&gt;0,LOOKUP('Scaled Scores'!D5,'Scaled Scores'!E5:E1104,'Scaled Scores'!G5:G1104),"")</f>
        <v>&lt;1</v>
      </c>
      <c r="F5" s="8">
        <f>IF(D5&gt;0,LOOKUP('Scaled Scores'!D5,'Scaled Scores'!E5:E1104,'Scaled Scores'!F5:F1104),"")</f>
        <v>1</v>
      </c>
      <c r="G5" s="185">
        <f>IFERROR(LOOKUP(F5,'Other Metrics'!E2:E112,'Other Metrics'!F2:F112),"")</f>
        <v>-3</v>
      </c>
      <c r="H5" s="14"/>
      <c r="J5" s="234" t="s">
        <v>841</v>
      </c>
      <c r="K5" s="235"/>
      <c r="L5" s="238">
        <v>46250</v>
      </c>
      <c r="M5" s="239"/>
    </row>
    <row r="6" spans="2:14" ht="15.75" thickBot="1" x14ac:dyDescent="0.3">
      <c r="B6" s="48" t="s">
        <v>35</v>
      </c>
      <c r="C6" s="49">
        <f>IF(L8&lt;24,"",IF(D6&gt;6,LOOKUP(D6,'Age Equivalent'!E4:E52,'Age Equivalent'!F4:F52),"&lt;2"))</f>
        <v>42</v>
      </c>
      <c r="D6" s="50">
        <f>IF(L8&lt;24,"n/a",SUM(PR!D6:D9,PR!D11:D15,PR!D17:D19,PR!D21:D25,PR!H5,PR!H8:H18))</f>
        <v>16</v>
      </c>
      <c r="E6" s="49">
        <f>IF(L8&lt;24,"",IF(D6&gt;0,LOOKUP('Scaled Scores'!H5,'Scaled Scores'!I5:I682,'Scaled Scores'!K5:K682),""))</f>
        <v>75</v>
      </c>
      <c r="F6" s="49">
        <f>IF(L8&lt;24,"",IF(D6&gt;0,LOOKUP('Scaled Scores'!H5,'Scaled Scores'!I5:I682,'Scaled Scores'!J5:J682),""))</f>
        <v>12</v>
      </c>
      <c r="G6" s="186">
        <f>IF(L8&lt;24,"",LOOKUP(F6,'Other Metrics'!E2:E112,'Other Metrics'!G2:G112))</f>
        <v>57</v>
      </c>
      <c r="H6" s="51"/>
      <c r="J6" s="236" t="s">
        <v>842</v>
      </c>
      <c r="K6" s="237"/>
      <c r="L6" s="240">
        <v>45154</v>
      </c>
      <c r="M6" s="241"/>
    </row>
    <row r="7" spans="2:14" ht="16.5" thickTop="1" thickBot="1" x14ac:dyDescent="0.3">
      <c r="B7" s="107" t="s">
        <v>36</v>
      </c>
      <c r="C7" s="184">
        <f>IF(SUM(C5:C6)&gt;0,SUM(C5:C6),"")</f>
        <v>55</v>
      </c>
      <c r="D7" s="184">
        <f>IF(SUM(D5:D6)&gt;0,SUM(D5:D6),"")</f>
        <v>41</v>
      </c>
      <c r="E7" s="45"/>
      <c r="F7" s="46"/>
      <c r="G7" s="187"/>
      <c r="H7" s="47">
        <f>IFERROR(IF(SUM(F5:F6)&gt;0,SUM(F5:F6),""),"")</f>
        <v>13</v>
      </c>
      <c r="J7" s="13" t="s">
        <v>55</v>
      </c>
      <c r="K7" s="8">
        <f>INT(DATEDIF(L6,L5,"y"))</f>
        <v>3</v>
      </c>
      <c r="L7" s="8">
        <f>MOD(INT(DATEDIF(L6,L5,"m")),12)</f>
        <v>0</v>
      </c>
      <c r="M7" s="36">
        <f>MOD(DATEDIF(L6,L5,"d"),365)</f>
        <v>1</v>
      </c>
    </row>
    <row r="8" spans="2:14" ht="15.75" thickBot="1" x14ac:dyDescent="0.3">
      <c r="B8" s="20" t="s">
        <v>37</v>
      </c>
      <c r="C8" s="21"/>
      <c r="D8" s="21"/>
      <c r="E8" s="21"/>
      <c r="F8" s="22"/>
      <c r="G8" s="188"/>
      <c r="H8" s="23"/>
      <c r="J8" s="28" t="s">
        <v>56</v>
      </c>
      <c r="K8" s="124"/>
      <c r="L8" s="17">
        <f>DATEDIF(L6,L5,"M")</f>
        <v>36</v>
      </c>
      <c r="M8" s="125"/>
    </row>
    <row r="9" spans="2:14" x14ac:dyDescent="0.25">
      <c r="B9" s="15" t="s">
        <v>38</v>
      </c>
      <c r="C9" s="8">
        <f>IF(D9&gt;0,LOOKUP(D9,'Age Equivalent'!H4:H60,'Age Equivalent'!I4:I60),"")</f>
        <v>7</v>
      </c>
      <c r="D9" s="64">
        <f>SUM(AI!D6:D9,AI!D11:D18,AI!D20:D22,AI!D24:D27,AI!H6:H11,AI!H13:H15,AI!H17:H25)</f>
        <v>16</v>
      </c>
      <c r="E9" s="174" t="str">
        <f>IF(D9&gt;0,LOOKUP('Scaled Scores'!L5,'Scaled Scores'!M5:M1086,'Scaled Scores'!O5:O1086),"")</f>
        <v xml:space="preserve"> &lt;1</v>
      </c>
      <c r="F9" s="8">
        <f>IF(D9&gt;0,LOOKUP('Scaled Scores'!L5,'Scaled Scores'!M5:M1086,'Scaled Scores'!N5:N1086),"")</f>
        <v>1</v>
      </c>
      <c r="G9" s="190">
        <f>IFERROR(LOOKUP(F9,'Other Metrics'!E2:E112,'Other Metrics'!F2:F112),"")</f>
        <v>-3</v>
      </c>
      <c r="H9" s="14"/>
    </row>
    <row r="10" spans="2:14" x14ac:dyDescent="0.25">
      <c r="B10" s="15" t="s">
        <v>39</v>
      </c>
      <c r="C10" s="8">
        <f>IF(L8&lt;24,"",LOOKUP(D10,'Age Equivalent'!K4:K54,'Age Equivalent'!L4:L54))</f>
        <v>0</v>
      </c>
      <c r="D10" s="64">
        <f>IF(L8&lt;24,"n/a",SUM(PI!D6:D7,PI!D9:D11,PI!D13:D15,PI!D21,PI!H6:H21))</f>
        <v>6</v>
      </c>
      <c r="E10" s="8" t="str">
        <f>IF(L8&lt;24,"",IF(D10&gt;0,LOOKUP('Scaled Scores'!P5,'Scaled Scores'!Q5:Q669,'Scaled Scores'!S5:S669),""))</f>
        <v xml:space="preserve"> &lt;1</v>
      </c>
      <c r="F10" s="8">
        <f>IF(L8&lt;24,"",IF(D10&gt;0,LOOKUP('Scaled Scores'!P5,'Scaled Scores'!Q5:Q669,'Scaled Scores'!R5:R669),""))</f>
        <v>2</v>
      </c>
      <c r="G10" s="185">
        <f>IF(L8&lt;24,"",LOOKUP(F10,'Other Metrics'!$E$2:$E$112,'Other Metrics'!$F$2:$F$112))</f>
        <v>-3.67</v>
      </c>
      <c r="H10" s="14"/>
    </row>
    <row r="11" spans="2:14" ht="15.75" thickBot="1" x14ac:dyDescent="0.3">
      <c r="B11" s="48" t="s">
        <v>40</v>
      </c>
      <c r="C11" s="49" t="str">
        <f>IF(D11&gt;0,LOOKUP(D11,'Age Equivalent'!N4:N92,'Age Equivalent'!O4:O92),"")</f>
        <v/>
      </c>
      <c r="D11" s="71">
        <f>SUM(SR!D6:D7,SR!D9:D10,SR!D12:D13,SR!D15:D24,SR!D26:D31,SR!D33:D35,SR!H5:H6,SR!H8:H13,SR!H15:H18,SR!H20:H33)</f>
        <v>0</v>
      </c>
      <c r="E11" s="49" t="str">
        <f>IF(D11&gt;0,LOOKUP('Scaled Scores'!T5,'Scaled Scores'!U5:U1113,'Scaled Scores'!W5:W1113),"")</f>
        <v/>
      </c>
      <c r="F11" s="49" t="str">
        <f>IF(D11&gt;0,LOOKUP('Scaled Scores'!T5,'Scaled Scores'!U5:U1113,'Scaled Scores'!V5:V1113),"")</f>
        <v/>
      </c>
      <c r="G11" s="191" t="str">
        <f>IFERROR(LOOKUP(F11,'Other Metrics'!$E$2:$E$112,'Other Metrics'!$F$2:$F$112),"")</f>
        <v/>
      </c>
      <c r="H11" s="51"/>
      <c r="J11" s="4" t="s">
        <v>57</v>
      </c>
    </row>
    <row r="12" spans="2:14" ht="16.5" thickTop="1" thickBot="1" x14ac:dyDescent="0.3">
      <c r="B12" s="107" t="s">
        <v>36</v>
      </c>
      <c r="C12" s="45">
        <f>IF(SUM(C9:C11)&gt;0,SUM(C9:C11),"")</f>
        <v>7</v>
      </c>
      <c r="D12" s="184">
        <f>IF(SUM(D9:D11)&gt;0,SUM(D9:D11),"")</f>
        <v>22</v>
      </c>
      <c r="E12" s="45"/>
      <c r="F12" s="46"/>
      <c r="G12" s="192"/>
      <c r="H12" s="47">
        <f>IFERROR(IF(SUM(F9:F11)&gt;0,SUM(F9:F11),""),"")</f>
        <v>3</v>
      </c>
      <c r="K12" s="232" t="s">
        <v>58</v>
      </c>
      <c r="L12" s="232" t="s">
        <v>59</v>
      </c>
      <c r="M12" s="232" t="s">
        <v>60</v>
      </c>
    </row>
    <row r="13" spans="2:14" x14ac:dyDescent="0.25">
      <c r="B13" s="20" t="s">
        <v>41</v>
      </c>
      <c r="C13" s="21"/>
      <c r="D13" s="21"/>
      <c r="E13" s="21"/>
      <c r="F13" s="22"/>
      <c r="G13" s="188"/>
      <c r="H13" s="23"/>
      <c r="K13" s="233"/>
      <c r="L13" s="233"/>
      <c r="M13" s="233"/>
      <c r="N13" s="232" t="s">
        <v>61</v>
      </c>
    </row>
    <row r="14" spans="2:14" ht="15.75" thickBot="1" x14ac:dyDescent="0.3">
      <c r="B14" s="15" t="s">
        <v>42</v>
      </c>
      <c r="C14" s="8">
        <f>IF(D14&gt;0,LOOKUP(D14,'Age Equivalent'!Q4:Q56,'Age Equivalent'!R4:R56),"")</f>
        <v>3</v>
      </c>
      <c r="D14" s="41">
        <f>SUM('RC'!D6:D11,'RC'!D13:D19,'RC'!D21:D24,'RC'!D26:D38,'RC'!H6:H17,'RC'!H19:H26)</f>
        <v>10</v>
      </c>
      <c r="E14" s="8" t="str">
        <f>IF(D14&gt;0,LOOKUP('Scaled Scores'!X5,'Scaled Scores'!Y5:Y1120,'Scaled Scores'!AA5:AA1120),"")</f>
        <v xml:space="preserve"> &lt;1</v>
      </c>
      <c r="F14" s="8">
        <f>IF(D14&gt;0,LOOKUP('Scaled Scores'!X5,'Scaled Scores'!Y5:Y1120,'Scaled Scores'!Z5:Z1120),"")</f>
        <v>1</v>
      </c>
      <c r="G14" s="190">
        <f>IFERROR(LOOKUP(F14,'Other Metrics'!$E$2:$E$112,'Other Metrics'!$F$2:$F$112),"")</f>
        <v>-3</v>
      </c>
      <c r="H14" s="14"/>
      <c r="K14" s="233"/>
      <c r="L14" s="233"/>
      <c r="M14" s="233"/>
      <c r="N14" s="233"/>
    </row>
    <row r="15" spans="2:14" ht="15.75" thickBot="1" x14ac:dyDescent="0.3">
      <c r="B15" s="48" t="s">
        <v>43</v>
      </c>
      <c r="C15" s="49">
        <f>IF(D15&gt;0,LOOKUP(D15,'Age Equivalent'!T4:T69,'Age Equivalent'!U4:U69),"")</f>
        <v>9</v>
      </c>
      <c r="D15" s="50">
        <f>SUM(EC!D6:D9,EC!D11:D17,EC!D19:D25,EC!D27:D40,EC!H6:H14,EC!H16:H35)</f>
        <v>14</v>
      </c>
      <c r="E15" s="49" t="str">
        <f>IF(D15&gt;0,LOOKUP('Scaled Scores'!AB5,'Scaled Scores'!AC5:AC1110,'Scaled Scores'!AE5:AE1110),"")</f>
        <v xml:space="preserve"> &lt;1</v>
      </c>
      <c r="F15" s="49">
        <f>IF(D15&gt;0,LOOKUP('Scaled Scores'!AB5,'Scaled Scores'!AC5:AC1110,'Scaled Scores'!AD5:AD1110),"")</f>
        <v>1</v>
      </c>
      <c r="G15" s="191">
        <f>IFERROR(LOOKUP(F15,'Other Metrics'!$E$2:$E$112,'Other Metrics'!$F$2:$F$112),"")</f>
        <v>-3</v>
      </c>
      <c r="H15" s="51"/>
      <c r="J15" s="4" t="s">
        <v>0</v>
      </c>
      <c r="K15" s="360">
        <f>IF(H7&gt;0,H7,"")</f>
        <v>13</v>
      </c>
      <c r="L15" s="357">
        <f ca="1">IFERROR(VLOOKUP($K$15,INDIRECT(DQs!$C$1),2,0),"")</f>
        <v>84</v>
      </c>
      <c r="M15" s="203">
        <f ca="1">IFERROR(VLOOKUP($K$15,INDIRECT(DQs!$C$1),4,0),"")</f>
        <v>14</v>
      </c>
      <c r="N15" s="209" t="str">
        <f ca="1">IFERROR(VLOOKUP($K$15,INDIRECT(DQs!$C$1),3,0),"")</f>
        <v>77-93</v>
      </c>
    </row>
    <row r="16" spans="2:14" ht="16.5" thickTop="1" thickBot="1" x14ac:dyDescent="0.3">
      <c r="B16" s="107" t="s">
        <v>36</v>
      </c>
      <c r="C16" s="184">
        <f>IF(SUM(C14:C15)&gt;0,SUM(C14:C15),"")</f>
        <v>12</v>
      </c>
      <c r="D16" s="184">
        <f>IF(SUM(D14:D15)&gt;0,SUM(D14:D15),"")</f>
        <v>24</v>
      </c>
      <c r="E16" s="45"/>
      <c r="F16" s="46"/>
      <c r="G16" s="192"/>
      <c r="H16" s="47">
        <f>IFERROR(IF(SUM(F14:F15)&gt;0,SUM(F14:F15),""),"")</f>
        <v>2</v>
      </c>
      <c r="J16" s="4" t="str">
        <f>B8</f>
        <v>Personal Social (P-S)</v>
      </c>
      <c r="K16" s="361">
        <f>+IF(SUM(F9:F11)&gt;0,SUM(F9:F11),"")</f>
        <v>3</v>
      </c>
      <c r="L16" s="358">
        <f ca="1">IFERROR(VLOOKUP($K$16,INDIRECT(DQs!$L$1),2,0),"")</f>
        <v>55</v>
      </c>
      <c r="M16" s="8">
        <f ca="1">IFERROR(VLOOKUP($K$16,INDIRECT(DQs!$L$1),4,0),"")</f>
        <v>0.1</v>
      </c>
      <c r="N16" s="36" t="str">
        <f ca="1">IFERROR(VLOOKUP($K$16,INDIRECT(DQs!$L$1),3,0),"")</f>
        <v>51-61</v>
      </c>
    </row>
    <row r="17" spans="2:14" x14ac:dyDescent="0.25">
      <c r="B17" s="20" t="s">
        <v>44</v>
      </c>
      <c r="C17" s="21"/>
      <c r="D17" s="22"/>
      <c r="E17" s="21"/>
      <c r="F17" s="22"/>
      <c r="G17" s="188"/>
      <c r="H17" s="23"/>
      <c r="J17" s="4" t="str">
        <f>B13</f>
        <v>Communication (COM)</v>
      </c>
      <c r="K17" s="361">
        <f>IF(H16&gt;0,H16,"")</f>
        <v>2</v>
      </c>
      <c r="L17" s="358">
        <f ca="1">IFERROR(VLOOKUP($K$17,INDIRECT(DQs!$U$1),2,0),"")</f>
        <v>55</v>
      </c>
      <c r="M17" s="8">
        <f ca="1">IFERROR(VLOOKUP($K$17,INDIRECT(DQs!$U$1),4,0),"")</f>
        <v>0.1</v>
      </c>
      <c r="N17" s="36" t="str">
        <f ca="1">IFERROR(VLOOKUP($K$17,INDIRECT(DQs!$U$1),3,0),"")</f>
        <v>51-63</v>
      </c>
    </row>
    <row r="18" spans="2:14" x14ac:dyDescent="0.25">
      <c r="B18" s="15" t="s">
        <v>45</v>
      </c>
      <c r="C18" s="8">
        <f>IF(D18&gt;0,LOOKUP(D18,'Age Equivalent'!W4:W96,'Age Equivalent'!X4:X96),"")</f>
        <v>9</v>
      </c>
      <c r="D18" s="41">
        <f>SUM(GM!D6:D13,GM!D15:D26,GM!D28:D35,GM!H6:H10,GM!H12:H15,GM!H17:H22,GM!H24:H27,GM!H29:H38)</f>
        <v>30</v>
      </c>
      <c r="E18" s="8" t="str">
        <f>IF(D18&gt;0,LOOKUP('Scaled Scores'!AF5,'Scaled Scores'!AG5:AG1118,'Scaled Scores'!AI5:AI1118),"")</f>
        <v xml:space="preserve"> &lt;1</v>
      </c>
      <c r="F18" s="8">
        <f>IF(D18&gt;0,LOOKUP('Scaled Scores'!AF5,'Scaled Scores'!AG5:AG1118,'Scaled Scores'!AH5:AH1118),"")</f>
        <v>1</v>
      </c>
      <c r="G18" s="185">
        <f>IFERROR(LOOKUP(F18,'Other Metrics'!$E$2:$E$112,'Other Metrics'!$F$2:$F$112),"")</f>
        <v>-3</v>
      </c>
      <c r="H18" s="14"/>
      <c r="J18" s="4" t="str">
        <f>B17</f>
        <v>Motor (MOT)</v>
      </c>
      <c r="K18" s="361">
        <f>IF(H21&gt;0,H21,"")</f>
        <v>9</v>
      </c>
      <c r="L18" s="358">
        <f ca="1">IFERROR(VLOOKUP($K$18,INDIRECT(DQs!$AD$1),2,0),"")</f>
        <v>62</v>
      </c>
      <c r="M18" s="8">
        <f ca="1">IFERROR(VLOOKUP($K$18,INDIRECT(DQs!$AD$1),4,0),"")</f>
        <v>1</v>
      </c>
      <c r="N18" s="36" t="str">
        <f ca="1">IFERROR(VLOOKUP($K$18,INDIRECT(DQs!$AD$1),3,0),"")</f>
        <v>57-73</v>
      </c>
    </row>
    <row r="19" spans="2:14" x14ac:dyDescent="0.25">
      <c r="B19" s="15" t="s">
        <v>46</v>
      </c>
      <c r="C19" s="8">
        <f>IF(D19&gt;0,LOOKUP(D19,'Age Equivalent'!Z4:Z64,'Age Equivalent'!AA4:AA64),"")</f>
        <v>19</v>
      </c>
      <c r="D19" s="41">
        <f>SUM(FM!D6:D12,FM!D14:D18,FM!D20:D22,FM!D24:D25,FM!D27:D31,FM!H6:H12,FM!H14:H24)</f>
        <v>28</v>
      </c>
      <c r="E19" s="8">
        <f>IF(D19&gt;0,LOOKUP('Scaled Scores'!AJ5,'Scaled Scores'!AK5:AK1107,'Scaled Scores'!AM5:AM1107),"")</f>
        <v>1</v>
      </c>
      <c r="F19" s="8">
        <f>IF(D19&gt;0,LOOKUP('Scaled Scores'!AJ5,'Scaled Scores'!AK5:AK1107,'Scaled Scores'!AL5:AL1107),"")</f>
        <v>3</v>
      </c>
      <c r="G19" s="185">
        <f>IFERROR(LOOKUP(F19,'Other Metrics'!$E$2:$E$112,'Other Metrics'!$F$2:$F$112),"")</f>
        <v>-2.33</v>
      </c>
      <c r="H19" s="14"/>
      <c r="J19" s="4" t="str">
        <f>B22</f>
        <v>Cognitive (COG)</v>
      </c>
      <c r="K19" s="361">
        <f>IF(H26&gt;0,H26,"")</f>
        <v>11</v>
      </c>
      <c r="L19" s="358">
        <f ca="1">IFERROR(VLOOKUP($K$19,INDIRECT(DQs!$AM$1),2,0),"")</f>
        <v>66</v>
      </c>
      <c r="M19" s="8">
        <f ca="1">IFERROR(VLOOKUP($K$19,INDIRECT(DQs!$AM$1),4,0),"")</f>
        <v>1</v>
      </c>
      <c r="N19" s="36" t="str">
        <f ca="1">IFERROR(VLOOKUP($K$19,INDIRECT(DQs!$AM$1),3,0),"")</f>
        <v>61-75</v>
      </c>
    </row>
    <row r="20" spans="2:14" ht="15.75" thickBot="1" x14ac:dyDescent="0.3">
      <c r="B20" s="48" t="s">
        <v>895</v>
      </c>
      <c r="C20" s="49">
        <f>IF(L8&lt;24,"",IF(D20&gt;0,LOOKUP(D20,'Age Equivalent'!AC4:AC34,'Age Equivalent'!AD4:AD34),""))</f>
        <v>0</v>
      </c>
      <c r="D20" s="50">
        <f>IF(L8&lt;24,"n/a",SUM(PM!D6:D7,PM!D9:D10,PM!D12:D13,PM!D15:D17,PM!D19:D20,PM!H6:H8,PM!H10:H20))</f>
        <v>12</v>
      </c>
      <c r="E20" s="49">
        <f>IF(L8&lt;24,"",IF(D20&gt;0,LOOKUP('Scaled Scores'!AN5,'Scaled Scores'!AO5:AO688,'Scaled Scores'!AQ5:AQ688),""))</f>
        <v>5</v>
      </c>
      <c r="F20" s="49">
        <f>IF(L8&lt;24,"",IF(D20&gt;0,LOOKUP('Scaled Scores'!AN5,'Scaled Scores'!AO5:AO688,'Scaled Scores'!AQ5:AQ688),""))</f>
        <v>5</v>
      </c>
      <c r="G20" s="191">
        <f>IF(L8&lt;24,"",LOOKUP(F20,'Other Metrics'!$E$2:$E$112,'Other Metrics'!$F$2:$F$112))</f>
        <v>-1.67</v>
      </c>
      <c r="H20" s="51"/>
      <c r="J20" s="4" t="str">
        <f>B28</f>
        <v>DDI-2 Total</v>
      </c>
      <c r="K20" s="362">
        <f>IF(SUM(K15:K19)&gt;0,SUM(K15:K19),"")</f>
        <v>38</v>
      </c>
      <c r="L20" s="359"/>
      <c r="M20" s="17"/>
      <c r="N20" s="128"/>
    </row>
    <row r="21" spans="2:14" ht="16.5" thickTop="1" thickBot="1" x14ac:dyDescent="0.3">
      <c r="B21" s="107" t="s">
        <v>36</v>
      </c>
      <c r="C21" s="45">
        <f>IF(SUM(C18:C20)&gt;0,SUM(C18:C20),"")</f>
        <v>28</v>
      </c>
      <c r="D21" s="45">
        <f>IF(SUM(D18:D20)&gt;0,SUM(D18:D20),"")</f>
        <v>70</v>
      </c>
      <c r="E21" s="45"/>
      <c r="F21" s="46"/>
      <c r="G21" s="192"/>
      <c r="H21" s="47">
        <f>IFERROR(IF(SUM(F18:F20)&gt;0,SUM(F18:F20),""),"")</f>
        <v>9</v>
      </c>
    </row>
    <row r="22" spans="2:14" x14ac:dyDescent="0.25">
      <c r="B22" s="20" t="s">
        <v>47</v>
      </c>
      <c r="C22" s="21"/>
      <c r="D22" s="22"/>
      <c r="E22" s="21"/>
      <c r="F22" s="22"/>
      <c r="G22" s="188"/>
      <c r="H22" s="23"/>
    </row>
    <row r="23" spans="2:14" x14ac:dyDescent="0.25">
      <c r="B23" s="15" t="s">
        <v>48</v>
      </c>
      <c r="C23" s="8">
        <f>IF(D23&gt;0,LOOKUP(D23,'Age Equivalent'!AF4:AF64,'Age Equivalent'!AG4:AG64),"")</f>
        <v>16</v>
      </c>
      <c r="D23" s="41">
        <f>SUM(AM!D6:D10,AM!D12:D13,AM!D15:D17,AM!D19:D23,AM!D25:D26,AM!D28:D29,AM!D31:D43,AM!H6:H30)</f>
        <v>28</v>
      </c>
      <c r="E23" s="8" t="str">
        <f>IF(D23&gt;0,LOOKUP('Scaled Scores'!AR5,'Scaled Scores'!AS5:AS1100,'Scaled Scores'!AU5:AU1100),"")</f>
        <v xml:space="preserve"> &lt;1</v>
      </c>
      <c r="F23" s="8">
        <f>IF(D23&gt;0,LOOKUP('Scaled Scores'!AR5,'Scaled Scores'!AS5:AS1100,'Scaled Scores'!AT5:AT1100),"")</f>
        <v>2</v>
      </c>
      <c r="G23" s="185">
        <f>IFERROR(LOOKUP(F23,'Other Metrics'!$E$2:$E$112,'Other Metrics'!$F$2:$F$112),"")</f>
        <v>-3.67</v>
      </c>
      <c r="H23" s="14"/>
    </row>
    <row r="24" spans="2:14" x14ac:dyDescent="0.25">
      <c r="B24" s="15" t="s">
        <v>49</v>
      </c>
      <c r="C24" s="8">
        <f>IF(D24&gt;0,LOOKUP(D24,'Age Equivalent'!AI4:AI40,'Age Equivalent'!AJ4:AJ40),"")</f>
        <v>30</v>
      </c>
      <c r="D24" s="41">
        <f>SUM(RA!D6:D8,RA!D10:D16,RA!D18:D26,RA!H6:H26)</f>
        <v>16</v>
      </c>
      <c r="E24" s="8">
        <f>IF(D24&gt;0,LOOKUP('Scaled Scores'!AV5,'Scaled Scores'!AW5:AW688,'Scaled Scores'!AY5:AY688),"")</f>
        <v>25</v>
      </c>
      <c r="F24" s="8">
        <f>IF(D24&gt;0,LOOKUP('Scaled Scores'!AV5,'Scaled Scores'!AW5:AW688,'Scaled Scores'!AX5:AX688),"")</f>
        <v>8</v>
      </c>
      <c r="G24" s="185">
        <f>IF(L8&lt;24,"",LOOKUP(F24,'Other Metrics'!$E$2:$E$112,'Other Metrics'!$F$2:$F$112))</f>
        <v>-0.67</v>
      </c>
      <c r="H24" s="14"/>
    </row>
    <row r="25" spans="2:14" ht="15.75" thickBot="1" x14ac:dyDescent="0.3">
      <c r="B25" s="48" t="s">
        <v>50</v>
      </c>
      <c r="C25" s="49">
        <f>IF(D25&gt;0,LOOKUP(D25,'Age Equivalent'!AL4:AL52,'Age Equivalent'!AM4:AM52),"")</f>
        <v>9</v>
      </c>
      <c r="D25" s="50">
        <f>SUM(PC!D6:D8,PC!D10:D11,PC!D13:D14,PC!D16:D25,PC!D27:D33,PC!H6:H20,PC!H22:H39)</f>
        <v>10</v>
      </c>
      <c r="E25" s="49" t="str">
        <f>IF(D25&gt;0,LOOKUP('Scaled Scores'!AZ5,'Scaled Scores'!BA5:BA1082,'Scaled Scores'!BC5:BC1082),"")</f>
        <v xml:space="preserve"> &lt;1</v>
      </c>
      <c r="F25" s="49">
        <f>IF(D25&gt;0,LOOKUP('Scaled Scores'!AZ5,'Scaled Scores'!BA5:BA1082,'Scaled Scores'!BB5:BB1082),"")</f>
        <v>1</v>
      </c>
      <c r="G25" s="191">
        <f>IFERROR(LOOKUP(F25,'Other Metrics'!$E$2:$E$112,'Other Metrics'!$F$2:$F$112),"")</f>
        <v>-3</v>
      </c>
      <c r="H25" s="51"/>
    </row>
    <row r="26" spans="2:14" ht="16.5" thickTop="1" thickBot="1" x14ac:dyDescent="0.3">
      <c r="B26" s="107" t="s">
        <v>36</v>
      </c>
      <c r="C26" s="45">
        <f>IF(SUM(C23:C25)&gt;0,SUM(C23:C25),"")</f>
        <v>55</v>
      </c>
      <c r="D26" s="45">
        <f>IF(SUM(D23:D25)&gt;0,SUM(D23:D25),"")</f>
        <v>54</v>
      </c>
      <c r="E26" s="45"/>
      <c r="F26" s="46"/>
      <c r="G26" s="192"/>
      <c r="H26" s="47">
        <f>IFERROR(IF(SUM(F23:F25)&gt;0,SUM(F23:F25),""),"")</f>
        <v>11</v>
      </c>
    </row>
    <row r="27" spans="2:14" x14ac:dyDescent="0.25">
      <c r="B27" s="24"/>
      <c r="C27" s="21"/>
      <c r="D27" s="22"/>
      <c r="E27" s="21"/>
      <c r="F27" s="22"/>
      <c r="G27" s="188"/>
      <c r="H27" s="23"/>
    </row>
    <row r="28" spans="2:14" ht="15.75" thickBot="1" x14ac:dyDescent="0.3">
      <c r="B28" s="16" t="s">
        <v>51</v>
      </c>
      <c r="C28" s="17"/>
      <c r="D28" s="18"/>
      <c r="E28" s="17"/>
      <c r="F28" s="18"/>
      <c r="G28" s="189"/>
      <c r="H28" s="19"/>
    </row>
  </sheetData>
  <sheetProtection algorithmName="SHA-512" hashValue="Obe2ZM5xkv6zwg8j1zuk3UFhthPOpx578FHQqNmEvb8GWmocVfLfOsXehBczgli+JASuEfe6KEBflO/A9nTDGA==" saltValue="9YvYxXCJBr3VsaEVJZLYIw==" spinCount="100000" sheet="1" objects="1" scenarios="1"/>
  <mergeCells count="9">
    <mergeCell ref="F3:G3"/>
    <mergeCell ref="K12:K14"/>
    <mergeCell ref="L12:L14"/>
    <mergeCell ref="M12:M14"/>
    <mergeCell ref="N13:N14"/>
    <mergeCell ref="J5:K5"/>
    <mergeCell ref="J6:K6"/>
    <mergeCell ref="L5:M5"/>
    <mergeCell ref="L6:M6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BDDF-2F04-47B0-B01C-CB68ED5AB1CB}">
  <sheetPr codeName="Sheet2"/>
  <dimension ref="B1:H27"/>
  <sheetViews>
    <sheetView topLeftCell="A7" workbookViewId="0">
      <selection activeCell="D22" sqref="D22"/>
    </sheetView>
  </sheetViews>
  <sheetFormatPr defaultRowHeight="15" x14ac:dyDescent="0.25"/>
  <cols>
    <col min="1" max="1" width="5.5703125" customWidth="1"/>
    <col min="2" max="2" width="7.5703125" customWidth="1"/>
    <col min="3" max="3" width="51.42578125" customWidth="1"/>
    <col min="4" max="4" width="9.42578125" style="2" customWidth="1"/>
    <col min="6" max="6" width="7.5703125" style="2" customWidth="1"/>
    <col min="7" max="7" width="51.42578125" customWidth="1"/>
    <col min="8" max="8" width="9.140625" style="2"/>
  </cols>
  <sheetData>
    <row r="1" spans="2:8" ht="21" x14ac:dyDescent="0.35">
      <c r="B1" s="1" t="s">
        <v>0</v>
      </c>
    </row>
    <row r="2" spans="2:8" ht="15.75" thickBot="1" x14ac:dyDescent="0.3">
      <c r="B2" s="4" t="s">
        <v>1</v>
      </c>
      <c r="F2" s="4" t="s">
        <v>1</v>
      </c>
    </row>
    <row r="3" spans="2:8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2:8" ht="15.75" thickBot="1" x14ac:dyDescent="0.3">
      <c r="B4" s="255"/>
      <c r="C4" s="251"/>
      <c r="D4" s="29" t="s">
        <v>19</v>
      </c>
      <c r="F4" s="255"/>
      <c r="G4" s="251"/>
      <c r="H4" s="29" t="s">
        <v>19</v>
      </c>
    </row>
    <row r="5" spans="2:8" x14ac:dyDescent="0.25">
      <c r="B5" s="252" t="s">
        <v>27</v>
      </c>
      <c r="C5" s="225"/>
      <c r="D5" s="253"/>
      <c r="F5" s="245" t="s">
        <v>74</v>
      </c>
      <c r="G5" s="246"/>
      <c r="H5" s="247"/>
    </row>
    <row r="6" spans="2:8" x14ac:dyDescent="0.25">
      <c r="B6" s="31" t="s">
        <v>5</v>
      </c>
      <c r="C6" s="9" t="s">
        <v>6</v>
      </c>
      <c r="D6" s="108">
        <v>2</v>
      </c>
      <c r="F6" s="31" t="s">
        <v>75</v>
      </c>
      <c r="G6" s="9" t="s">
        <v>76</v>
      </c>
      <c r="H6" s="108"/>
    </row>
    <row r="7" spans="2:8" x14ac:dyDescent="0.25">
      <c r="B7" s="31" t="s">
        <v>7</v>
      </c>
      <c r="C7" s="9" t="s">
        <v>8</v>
      </c>
      <c r="D7" s="108">
        <v>2</v>
      </c>
      <c r="F7" s="31" t="s">
        <v>77</v>
      </c>
      <c r="G7" s="9" t="s">
        <v>78</v>
      </c>
      <c r="H7" s="108"/>
    </row>
    <row r="8" spans="2:8" x14ac:dyDescent="0.25">
      <c r="B8" s="249" t="s">
        <v>9</v>
      </c>
      <c r="C8" s="256" t="s">
        <v>29</v>
      </c>
      <c r="D8" s="257">
        <v>2</v>
      </c>
      <c r="F8" s="249" t="s">
        <v>79</v>
      </c>
      <c r="G8" s="248" t="s">
        <v>80</v>
      </c>
      <c r="H8" s="111"/>
    </row>
    <row r="9" spans="2:8" x14ac:dyDescent="0.25">
      <c r="B9" s="249"/>
      <c r="C9" s="256"/>
      <c r="D9" s="257"/>
      <c r="E9" t="s">
        <v>4</v>
      </c>
      <c r="F9" s="249"/>
      <c r="G9" s="248"/>
      <c r="H9" s="112"/>
    </row>
    <row r="10" spans="2:8" x14ac:dyDescent="0.25">
      <c r="B10" s="249"/>
      <c r="C10" s="256"/>
      <c r="D10" s="257"/>
      <c r="F10" s="31" t="s">
        <v>81</v>
      </c>
      <c r="G10" s="9" t="s">
        <v>82</v>
      </c>
      <c r="H10" s="108"/>
    </row>
    <row r="11" spans="2:8" x14ac:dyDescent="0.25">
      <c r="B11" s="31" t="s">
        <v>10</v>
      </c>
      <c r="C11" s="9" t="s">
        <v>12</v>
      </c>
      <c r="D11" s="108">
        <v>2</v>
      </c>
      <c r="F11" s="31" t="s">
        <v>83</v>
      </c>
      <c r="G11" s="9" t="s">
        <v>84</v>
      </c>
      <c r="H11" s="108"/>
    </row>
    <row r="12" spans="2:8" x14ac:dyDescent="0.25">
      <c r="B12" s="31" t="s">
        <v>11</v>
      </c>
      <c r="C12" s="9" t="s">
        <v>13</v>
      </c>
      <c r="D12" s="108">
        <v>2</v>
      </c>
      <c r="F12" s="242" t="s">
        <v>85</v>
      </c>
      <c r="G12" s="243"/>
      <c r="H12" s="244"/>
    </row>
    <row r="13" spans="2:8" x14ac:dyDescent="0.25">
      <c r="B13" s="31" t="s">
        <v>14</v>
      </c>
      <c r="C13" s="9" t="s">
        <v>15</v>
      </c>
      <c r="D13" s="108">
        <v>2</v>
      </c>
      <c r="F13" s="31" t="s">
        <v>86</v>
      </c>
      <c r="G13" s="9" t="s">
        <v>87</v>
      </c>
      <c r="H13" s="108"/>
    </row>
    <row r="14" spans="2:8" x14ac:dyDescent="0.25">
      <c r="B14" s="31" t="s">
        <v>16</v>
      </c>
      <c r="C14" s="9" t="s">
        <v>17</v>
      </c>
      <c r="D14" s="108">
        <v>2</v>
      </c>
      <c r="F14" s="35" t="s">
        <v>88</v>
      </c>
      <c r="G14" s="9" t="s">
        <v>89</v>
      </c>
      <c r="H14" s="108"/>
    </row>
    <row r="15" spans="2:8" x14ac:dyDescent="0.25">
      <c r="B15" s="31"/>
      <c r="C15" s="9" t="s">
        <v>18</v>
      </c>
      <c r="D15" s="108">
        <v>2</v>
      </c>
      <c r="F15" s="31" t="s">
        <v>90</v>
      </c>
      <c r="G15" s="9" t="s">
        <v>91</v>
      </c>
      <c r="H15" s="108"/>
    </row>
    <row r="16" spans="2:8" x14ac:dyDescent="0.25">
      <c r="B16" s="242" t="s">
        <v>28</v>
      </c>
      <c r="C16" s="243"/>
      <c r="D16" s="244"/>
      <c r="F16" s="31" t="s">
        <v>92</v>
      </c>
      <c r="G16" s="9" t="s">
        <v>93</v>
      </c>
      <c r="H16" s="108"/>
    </row>
    <row r="17" spans="2:8" x14ac:dyDescent="0.25">
      <c r="B17" s="31" t="s">
        <v>20</v>
      </c>
      <c r="C17" s="9" t="s">
        <v>21</v>
      </c>
      <c r="D17" s="108">
        <v>2</v>
      </c>
      <c r="F17" s="31" t="s">
        <v>94</v>
      </c>
      <c r="G17" s="9" t="s">
        <v>95</v>
      </c>
      <c r="H17" s="108"/>
    </row>
    <row r="18" spans="2:8" x14ac:dyDescent="0.25">
      <c r="B18" s="31" t="s">
        <v>22</v>
      </c>
      <c r="C18" s="9" t="s">
        <v>23</v>
      </c>
      <c r="D18" s="108">
        <v>2</v>
      </c>
      <c r="F18" s="31" t="s">
        <v>96</v>
      </c>
      <c r="G18" s="9" t="s">
        <v>97</v>
      </c>
      <c r="H18" s="108"/>
    </row>
    <row r="19" spans="2:8" x14ac:dyDescent="0.25">
      <c r="B19" s="31" t="s">
        <v>24</v>
      </c>
      <c r="C19" s="9" t="s">
        <v>25</v>
      </c>
      <c r="D19" s="108">
        <v>2</v>
      </c>
      <c r="F19" s="242" t="s">
        <v>98</v>
      </c>
      <c r="G19" s="243"/>
      <c r="H19" s="244"/>
    </row>
    <row r="20" spans="2:8" x14ac:dyDescent="0.25">
      <c r="B20" s="242" t="s">
        <v>73</v>
      </c>
      <c r="C20" s="243"/>
      <c r="D20" s="244"/>
      <c r="F20" s="31" t="s">
        <v>99</v>
      </c>
      <c r="G20" s="9" t="s">
        <v>100</v>
      </c>
      <c r="H20" s="108"/>
    </row>
    <row r="21" spans="2:8" x14ac:dyDescent="0.25">
      <c r="B21" s="31" t="s">
        <v>26</v>
      </c>
      <c r="C21" s="9" t="s">
        <v>62</v>
      </c>
      <c r="D21" s="108">
        <v>2</v>
      </c>
      <c r="F21" s="31" t="s">
        <v>101</v>
      </c>
      <c r="G21" s="9" t="s">
        <v>102</v>
      </c>
      <c r="H21" s="108"/>
    </row>
    <row r="22" spans="2:8" x14ac:dyDescent="0.25">
      <c r="B22" s="31" t="s">
        <v>63</v>
      </c>
      <c r="C22" s="9" t="s">
        <v>64</v>
      </c>
      <c r="D22" s="108">
        <v>1</v>
      </c>
      <c r="F22" s="31" t="s">
        <v>103</v>
      </c>
      <c r="G22" s="9" t="s">
        <v>104</v>
      </c>
      <c r="H22" s="108"/>
    </row>
    <row r="23" spans="2:8" x14ac:dyDescent="0.25">
      <c r="B23" s="31" t="s">
        <v>65</v>
      </c>
      <c r="C23" s="9" t="s">
        <v>66</v>
      </c>
      <c r="D23" s="108"/>
      <c r="F23" s="31" t="s">
        <v>105</v>
      </c>
      <c r="G23" s="9" t="s">
        <v>106</v>
      </c>
      <c r="H23" s="108"/>
    </row>
    <row r="24" spans="2:8" x14ac:dyDescent="0.25">
      <c r="B24" s="31" t="s">
        <v>67</v>
      </c>
      <c r="C24" s="9" t="s">
        <v>68</v>
      </c>
      <c r="D24" s="108"/>
      <c r="F24" s="31" t="s">
        <v>107</v>
      </c>
      <c r="G24" s="9" t="s">
        <v>108</v>
      </c>
      <c r="H24" s="108"/>
    </row>
    <row r="25" spans="2:8" x14ac:dyDescent="0.25">
      <c r="B25" s="31" t="s">
        <v>69</v>
      </c>
      <c r="C25" s="9" t="s">
        <v>70</v>
      </c>
      <c r="D25" s="108"/>
      <c r="F25" s="31" t="s">
        <v>109</v>
      </c>
      <c r="G25" s="9" t="s">
        <v>110</v>
      </c>
      <c r="H25" s="108"/>
    </row>
    <row r="26" spans="2:8" ht="15.75" thickBot="1" x14ac:dyDescent="0.3">
      <c r="B26" s="33" t="s">
        <v>71</v>
      </c>
      <c r="C26" s="18" t="s">
        <v>72</v>
      </c>
      <c r="D26" s="110"/>
      <c r="F26" s="31" t="s">
        <v>113</v>
      </c>
      <c r="G26" s="9" t="s">
        <v>111</v>
      </c>
      <c r="H26" s="108"/>
    </row>
    <row r="27" spans="2:8" ht="15.75" thickBot="1" x14ac:dyDescent="0.3">
      <c r="F27" s="33" t="s">
        <v>112</v>
      </c>
      <c r="G27" s="18" t="s">
        <v>114</v>
      </c>
      <c r="H27" s="110"/>
    </row>
  </sheetData>
  <sheetProtection sheet="1" selectLockedCells="1"/>
  <mergeCells count="15">
    <mergeCell ref="C3:C4"/>
    <mergeCell ref="G3:G4"/>
    <mergeCell ref="B5:D5"/>
    <mergeCell ref="B3:B4"/>
    <mergeCell ref="C8:C10"/>
    <mergeCell ref="B8:B10"/>
    <mergeCell ref="D8:D10"/>
    <mergeCell ref="F3:F4"/>
    <mergeCell ref="B16:D16"/>
    <mergeCell ref="B20:D20"/>
    <mergeCell ref="F5:H5"/>
    <mergeCell ref="F12:H12"/>
    <mergeCell ref="F19:H19"/>
    <mergeCell ref="G8:G9"/>
    <mergeCell ref="F8:F9"/>
  </mergeCells>
  <conditionalFormatting sqref="D6:D15">
    <cfRule type="cellIs" dxfId="113" priority="3" operator="lessThan">
      <formula>0</formula>
    </cfRule>
    <cfRule type="cellIs" dxfId="112" priority="4" operator="greaterThan">
      <formula>3</formula>
    </cfRule>
  </conditionalFormatting>
  <conditionalFormatting sqref="D17:D19">
    <cfRule type="cellIs" dxfId="111" priority="1" operator="lessThan">
      <formula>0</formula>
    </cfRule>
    <cfRule type="cellIs" dxfId="110" priority="2" operator="greaterThan">
      <formula>2</formula>
    </cfRule>
  </conditionalFormatting>
  <conditionalFormatting sqref="K8">
    <cfRule type="cellIs" dxfId="109" priority="5" operator="greaterThan">
      <formula>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81C-58BB-465E-B24A-B28289CFAF38}">
  <sheetPr codeName="Sheet3"/>
  <dimension ref="A1:H25"/>
  <sheetViews>
    <sheetView workbookViewId="0">
      <selection activeCell="D18" sqref="D18"/>
    </sheetView>
  </sheetViews>
  <sheetFormatPr defaultRowHeight="15" x14ac:dyDescent="0.25"/>
  <cols>
    <col min="1" max="1" width="5.28515625" customWidth="1"/>
    <col min="2" max="2" width="7.5703125" customWidth="1"/>
    <col min="3" max="3" width="53.42578125" customWidth="1"/>
    <col min="4" max="4" width="9.42578125" style="2" customWidth="1"/>
    <col min="6" max="6" width="7.5703125" style="2" customWidth="1"/>
    <col min="7" max="7" width="51.42578125" customWidth="1"/>
    <col min="8" max="8" width="9.140625" style="2"/>
  </cols>
  <sheetData>
    <row r="1" spans="1:8" ht="21" x14ac:dyDescent="0.35">
      <c r="A1" t="s">
        <v>4</v>
      </c>
      <c r="B1" s="1" t="s">
        <v>0</v>
      </c>
    </row>
    <row r="2" spans="1:8" ht="15.75" thickBot="1" x14ac:dyDescent="0.3">
      <c r="B2" s="4" t="s">
        <v>35</v>
      </c>
      <c r="F2" s="4" t="s">
        <v>35</v>
      </c>
    </row>
    <row r="3" spans="1:8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1:8" ht="15.75" thickBot="1" x14ac:dyDescent="0.3">
      <c r="B4" s="255"/>
      <c r="C4" s="251"/>
      <c r="D4" s="29" t="s">
        <v>19</v>
      </c>
      <c r="F4" s="255"/>
      <c r="G4" s="251"/>
      <c r="H4" s="29" t="s">
        <v>19</v>
      </c>
    </row>
    <row r="5" spans="1:8" x14ac:dyDescent="0.25">
      <c r="B5" s="252" t="s">
        <v>116</v>
      </c>
      <c r="C5" s="225"/>
      <c r="D5" s="253"/>
      <c r="F5" s="263" t="s">
        <v>145</v>
      </c>
      <c r="G5" s="269" t="s">
        <v>840</v>
      </c>
      <c r="H5" s="258"/>
    </row>
    <row r="6" spans="1:8" x14ac:dyDescent="0.25">
      <c r="B6" s="263" t="s">
        <v>117</v>
      </c>
      <c r="C6" s="261" t="s">
        <v>118</v>
      </c>
      <c r="D6" s="258">
        <v>2</v>
      </c>
      <c r="F6" s="268"/>
      <c r="G6" s="270"/>
      <c r="H6" s="259"/>
    </row>
    <row r="7" spans="1:8" x14ac:dyDescent="0.25">
      <c r="B7" s="264"/>
      <c r="C7" s="262"/>
      <c r="D7" s="260"/>
      <c r="F7" s="264"/>
      <c r="G7" s="271"/>
      <c r="H7" s="260"/>
    </row>
    <row r="8" spans="1:8" x14ac:dyDescent="0.25">
      <c r="B8" s="32" t="s">
        <v>119</v>
      </c>
      <c r="C8" s="30" t="s">
        <v>120</v>
      </c>
      <c r="D8" s="109">
        <v>2</v>
      </c>
      <c r="F8" s="32" t="s">
        <v>146</v>
      </c>
      <c r="G8" s="34" t="s">
        <v>147</v>
      </c>
      <c r="H8" s="109"/>
    </row>
    <row r="9" spans="1:8" x14ac:dyDescent="0.25">
      <c r="B9" s="32" t="s">
        <v>121</v>
      </c>
      <c r="C9" s="30" t="s">
        <v>122</v>
      </c>
      <c r="D9" s="109">
        <v>2</v>
      </c>
      <c r="E9" t="s">
        <v>4</v>
      </c>
      <c r="F9" s="31" t="s">
        <v>148</v>
      </c>
      <c r="G9" s="9" t="s">
        <v>149</v>
      </c>
      <c r="H9" s="109"/>
    </row>
    <row r="10" spans="1:8" x14ac:dyDescent="0.25">
      <c r="B10" s="242" t="s">
        <v>85</v>
      </c>
      <c r="C10" s="243"/>
      <c r="D10" s="244"/>
      <c r="F10" s="31" t="s">
        <v>150</v>
      </c>
      <c r="G10" s="9" t="s">
        <v>151</v>
      </c>
      <c r="H10" s="109"/>
    </row>
    <row r="11" spans="1:8" x14ac:dyDescent="0.25">
      <c r="B11" s="31" t="s">
        <v>123</v>
      </c>
      <c r="C11" s="9" t="s">
        <v>124</v>
      </c>
      <c r="D11" s="109">
        <v>2</v>
      </c>
      <c r="F11" s="31" t="s">
        <v>152</v>
      </c>
      <c r="G11" s="9" t="s">
        <v>153</v>
      </c>
      <c r="H11" s="109"/>
    </row>
    <row r="12" spans="1:8" x14ac:dyDescent="0.25">
      <c r="B12" s="31" t="s">
        <v>125</v>
      </c>
      <c r="C12" s="9" t="s">
        <v>126</v>
      </c>
      <c r="D12" s="109">
        <v>2</v>
      </c>
      <c r="F12" s="31" t="s">
        <v>154</v>
      </c>
      <c r="G12" s="9" t="s">
        <v>155</v>
      </c>
      <c r="H12" s="109"/>
    </row>
    <row r="13" spans="1:8" x14ac:dyDescent="0.25">
      <c r="B13" s="31" t="s">
        <v>127</v>
      </c>
      <c r="C13" s="9" t="s">
        <v>128</v>
      </c>
      <c r="D13" s="109">
        <v>2</v>
      </c>
      <c r="F13" s="31" t="s">
        <v>156</v>
      </c>
      <c r="G13" s="9" t="s">
        <v>157</v>
      </c>
      <c r="H13" s="109"/>
    </row>
    <row r="14" spans="1:8" x14ac:dyDescent="0.25">
      <c r="B14" s="263" t="s">
        <v>129</v>
      </c>
      <c r="C14" s="261" t="s">
        <v>130</v>
      </c>
      <c r="D14" s="258">
        <v>2</v>
      </c>
      <c r="F14" s="31" t="s">
        <v>158</v>
      </c>
      <c r="G14" s="9" t="s">
        <v>159</v>
      </c>
      <c r="H14" s="109"/>
    </row>
    <row r="15" spans="1:8" x14ac:dyDescent="0.25">
      <c r="B15" s="264"/>
      <c r="C15" s="262"/>
      <c r="D15" s="260"/>
      <c r="F15" s="31" t="s">
        <v>160</v>
      </c>
      <c r="G15" s="9" t="s">
        <v>161</v>
      </c>
      <c r="H15" s="109"/>
    </row>
    <row r="16" spans="1:8" x14ac:dyDescent="0.25">
      <c r="B16" s="265" t="s">
        <v>98</v>
      </c>
      <c r="C16" s="266"/>
      <c r="D16" s="267"/>
      <c r="F16" s="35" t="s">
        <v>162</v>
      </c>
      <c r="G16" s="9" t="s">
        <v>163</v>
      </c>
      <c r="H16" s="109"/>
    </row>
    <row r="17" spans="2:8" x14ac:dyDescent="0.25">
      <c r="B17" s="31" t="s">
        <v>131</v>
      </c>
      <c r="C17" s="9" t="s">
        <v>132</v>
      </c>
      <c r="D17" s="109">
        <v>2</v>
      </c>
      <c r="F17" s="31" t="s">
        <v>164</v>
      </c>
      <c r="G17" s="9" t="s">
        <v>165</v>
      </c>
      <c r="H17" s="109"/>
    </row>
    <row r="18" spans="2:8" ht="15.75" thickBot="1" x14ac:dyDescent="0.3">
      <c r="B18" s="31" t="s">
        <v>133</v>
      </c>
      <c r="C18" s="9" t="s">
        <v>134</v>
      </c>
      <c r="D18" s="109"/>
      <c r="F18" s="33" t="s">
        <v>166</v>
      </c>
      <c r="G18" s="18" t="s">
        <v>167</v>
      </c>
      <c r="H18" s="115"/>
    </row>
    <row r="19" spans="2:8" x14ac:dyDescent="0.25">
      <c r="B19" s="31" t="s">
        <v>135</v>
      </c>
      <c r="C19" s="9" t="s">
        <v>136</v>
      </c>
      <c r="D19" s="109"/>
    </row>
    <row r="20" spans="2:8" x14ac:dyDescent="0.25">
      <c r="B20" s="242" t="s">
        <v>137</v>
      </c>
      <c r="C20" s="243"/>
      <c r="D20" s="244"/>
    </row>
    <row r="21" spans="2:8" x14ac:dyDescent="0.25">
      <c r="B21" s="31" t="s">
        <v>138</v>
      </c>
      <c r="C21" s="9" t="s">
        <v>168</v>
      </c>
      <c r="D21" s="109"/>
    </row>
    <row r="22" spans="2:8" x14ac:dyDescent="0.25">
      <c r="B22" s="31"/>
      <c r="C22" s="9" t="s">
        <v>139</v>
      </c>
      <c r="D22" s="109"/>
    </row>
    <row r="23" spans="2:8" x14ac:dyDescent="0.25">
      <c r="B23" s="31"/>
      <c r="C23" s="9" t="s">
        <v>140</v>
      </c>
      <c r="D23" s="109"/>
    </row>
    <row r="24" spans="2:8" x14ac:dyDescent="0.25">
      <c r="B24" s="31" t="s">
        <v>141</v>
      </c>
      <c r="C24" s="9" t="s">
        <v>142</v>
      </c>
      <c r="D24" s="109"/>
    </row>
    <row r="25" spans="2:8" ht="15.75" thickBot="1" x14ac:dyDescent="0.3">
      <c r="B25" s="33" t="s">
        <v>143</v>
      </c>
      <c r="C25" s="18" t="s">
        <v>144</v>
      </c>
      <c r="D25" s="115"/>
    </row>
  </sheetData>
  <sheetProtection algorithmName="SHA-512" hashValue="mL4HYzLeCZFcR7o1F3BmSl2LtAo+EtWxTWpLW0lpv+mwrRI/U+hwD3C3nYFE2lnxgzbG5JRBvY6Jev1oZGWmUA==" saltValue="SDYJV9+G8PwY4mm2FZiqbg==" spinCount="100000" sheet="1" selectLockedCells="1"/>
  <mergeCells count="17">
    <mergeCell ref="B3:B4"/>
    <mergeCell ref="C3:C4"/>
    <mergeCell ref="F3:F4"/>
    <mergeCell ref="G3:G4"/>
    <mergeCell ref="B5:D5"/>
    <mergeCell ref="H5:H7"/>
    <mergeCell ref="B10:D10"/>
    <mergeCell ref="B20:D20"/>
    <mergeCell ref="C6:C7"/>
    <mergeCell ref="B6:B7"/>
    <mergeCell ref="D6:D7"/>
    <mergeCell ref="C14:C15"/>
    <mergeCell ref="B14:B15"/>
    <mergeCell ref="D14:D15"/>
    <mergeCell ref="B16:D16"/>
    <mergeCell ref="F5:F7"/>
    <mergeCell ref="G5:G7"/>
  </mergeCells>
  <conditionalFormatting sqref="D6 D8:D14">
    <cfRule type="cellIs" dxfId="108" priority="34" operator="greaterThan">
      <formula>3</formula>
    </cfRule>
  </conditionalFormatting>
  <conditionalFormatting sqref="D6">
    <cfRule type="cellIs" dxfId="107" priority="33" operator="lessThan">
      <formula>0</formula>
    </cfRule>
  </conditionalFormatting>
  <conditionalFormatting sqref="D6:D9">
    <cfRule type="cellIs" dxfId="106" priority="28" operator="greaterThan">
      <formula>2</formula>
    </cfRule>
  </conditionalFormatting>
  <conditionalFormatting sqref="D8:D14">
    <cfRule type="cellIs" dxfId="105" priority="18" operator="lessThan">
      <formula>0</formula>
    </cfRule>
  </conditionalFormatting>
  <conditionalFormatting sqref="D11:D15">
    <cfRule type="cellIs" dxfId="104" priority="19" operator="greaterThan">
      <formula>2</formula>
    </cfRule>
  </conditionalFormatting>
  <conditionalFormatting sqref="D17:D19">
    <cfRule type="cellIs" dxfId="103" priority="13" operator="lessThan">
      <formula>0</formula>
    </cfRule>
    <cfRule type="cellIs" dxfId="102" priority="14" operator="greaterThan">
      <formula>2</formula>
    </cfRule>
    <cfRule type="cellIs" dxfId="101" priority="17" operator="greaterThan">
      <formula>3</formula>
    </cfRule>
  </conditionalFormatting>
  <conditionalFormatting sqref="D21:D25">
    <cfRule type="cellIs" dxfId="100" priority="8" operator="lessThan">
      <formula>0</formula>
    </cfRule>
    <cfRule type="cellIs" dxfId="99" priority="9" operator="greaterThan">
      <formula>2</formula>
    </cfRule>
    <cfRule type="cellIs" dxfId="98" priority="12" operator="greaterThan">
      <formula>3</formula>
    </cfRule>
  </conditionalFormatting>
  <conditionalFormatting sqref="H5 H8:H18">
    <cfRule type="cellIs" dxfId="97" priority="7" operator="greaterThan">
      <formula>3</formula>
    </cfRule>
  </conditionalFormatting>
  <conditionalFormatting sqref="H5:H18">
    <cfRule type="cellIs" dxfId="96" priority="1" operator="lessThan">
      <formula>0</formula>
    </cfRule>
    <cfRule type="cellIs" dxfId="95" priority="2" operator="greaterThan">
      <formula>2</formula>
    </cfRule>
  </conditionalFormatting>
  <conditionalFormatting sqref="K8">
    <cfRule type="cellIs" dxfId="94" priority="35" operator="greater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8985-DA73-41A1-8D10-8A1B431875B9}">
  <sheetPr codeName="Sheet4"/>
  <dimension ref="B1:H27"/>
  <sheetViews>
    <sheetView workbookViewId="0">
      <selection activeCell="D17" sqref="D17"/>
    </sheetView>
  </sheetViews>
  <sheetFormatPr defaultRowHeight="15" x14ac:dyDescent="0.25"/>
  <cols>
    <col min="1" max="1" width="5.28515625" customWidth="1"/>
    <col min="2" max="2" width="7.5703125" customWidth="1"/>
    <col min="3" max="3" width="53.42578125" customWidth="1"/>
    <col min="4" max="4" width="9.42578125" style="2" customWidth="1"/>
    <col min="6" max="6" width="7.5703125" style="2" customWidth="1"/>
    <col min="7" max="7" width="52" customWidth="1"/>
    <col min="8" max="8" width="9.140625" style="2"/>
  </cols>
  <sheetData>
    <row r="1" spans="2:8" ht="21" x14ac:dyDescent="0.35">
      <c r="B1" s="1" t="s">
        <v>169</v>
      </c>
    </row>
    <row r="2" spans="2:8" ht="15.75" thickBot="1" x14ac:dyDescent="0.3">
      <c r="B2" s="4" t="s">
        <v>38</v>
      </c>
      <c r="F2" s="4" t="s">
        <v>38</v>
      </c>
    </row>
    <row r="3" spans="2:8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2:8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2:8" x14ac:dyDescent="0.25">
      <c r="B5" s="224" t="s">
        <v>27</v>
      </c>
      <c r="C5" s="225"/>
      <c r="D5" s="253"/>
      <c r="F5" s="285" t="s">
        <v>74</v>
      </c>
      <c r="G5" s="286"/>
      <c r="H5" s="287"/>
    </row>
    <row r="6" spans="2:8" x14ac:dyDescent="0.25">
      <c r="B6" s="32" t="s">
        <v>170</v>
      </c>
      <c r="C6" s="34" t="s">
        <v>171</v>
      </c>
      <c r="D6" s="109">
        <v>2</v>
      </c>
      <c r="F6" s="31" t="s">
        <v>200</v>
      </c>
      <c r="G6" s="9" t="s">
        <v>201</v>
      </c>
      <c r="H6" s="109"/>
    </row>
    <row r="7" spans="2:8" x14ac:dyDescent="0.25">
      <c r="B7" s="32" t="s">
        <v>172</v>
      </c>
      <c r="C7" s="34" t="s">
        <v>173</v>
      </c>
      <c r="D7" s="109">
        <v>2</v>
      </c>
      <c r="F7" s="31" t="s">
        <v>202</v>
      </c>
      <c r="G7" s="9" t="s">
        <v>203</v>
      </c>
      <c r="H7" s="109"/>
    </row>
    <row r="8" spans="2:8" x14ac:dyDescent="0.25">
      <c r="B8" s="32" t="s">
        <v>174</v>
      </c>
      <c r="C8" s="30" t="s">
        <v>175</v>
      </c>
      <c r="D8" s="109">
        <v>2</v>
      </c>
      <c r="F8" s="31" t="s">
        <v>204</v>
      </c>
      <c r="G8" s="9" t="s">
        <v>205</v>
      </c>
      <c r="H8" s="109"/>
    </row>
    <row r="9" spans="2:8" x14ac:dyDescent="0.25">
      <c r="B9" s="32" t="s">
        <v>176</v>
      </c>
      <c r="C9" s="30" t="s">
        <v>177</v>
      </c>
      <c r="D9" s="109">
        <v>2</v>
      </c>
      <c r="E9" t="s">
        <v>4</v>
      </c>
      <c r="F9" s="263" t="s">
        <v>206</v>
      </c>
      <c r="G9" s="272" t="s">
        <v>207</v>
      </c>
      <c r="H9" s="258"/>
    </row>
    <row r="10" spans="2:8" x14ac:dyDescent="0.25">
      <c r="B10" s="242" t="s">
        <v>178</v>
      </c>
      <c r="C10" s="243"/>
      <c r="D10" s="244"/>
      <c r="F10" s="264"/>
      <c r="G10" s="273"/>
      <c r="H10" s="260"/>
    </row>
    <row r="11" spans="2:8" x14ac:dyDescent="0.25">
      <c r="B11" s="31" t="s">
        <v>179</v>
      </c>
      <c r="C11" s="9" t="s">
        <v>180</v>
      </c>
      <c r="D11" s="109">
        <v>2</v>
      </c>
      <c r="F11" s="31" t="s">
        <v>208</v>
      </c>
      <c r="G11" s="9" t="s">
        <v>209</v>
      </c>
      <c r="H11" s="109"/>
    </row>
    <row r="12" spans="2:8" x14ac:dyDescent="0.25">
      <c r="B12" s="31" t="s">
        <v>181</v>
      </c>
      <c r="C12" s="9" t="s">
        <v>182</v>
      </c>
      <c r="D12" s="109">
        <v>2</v>
      </c>
      <c r="F12" s="242" t="s">
        <v>85</v>
      </c>
      <c r="G12" s="274"/>
      <c r="H12" s="275"/>
    </row>
    <row r="13" spans="2:8" x14ac:dyDescent="0.25">
      <c r="B13" s="263" t="s">
        <v>183</v>
      </c>
      <c r="C13" s="272" t="s">
        <v>184</v>
      </c>
      <c r="D13" s="258">
        <v>2</v>
      </c>
      <c r="F13" s="31" t="s">
        <v>210</v>
      </c>
      <c r="G13" s="9" t="s">
        <v>211</v>
      </c>
      <c r="H13" s="109"/>
    </row>
    <row r="14" spans="2:8" x14ac:dyDescent="0.25">
      <c r="B14" s="264"/>
      <c r="C14" s="273"/>
      <c r="D14" s="260"/>
      <c r="F14" s="31" t="s">
        <v>212</v>
      </c>
      <c r="G14" s="9" t="s">
        <v>213</v>
      </c>
      <c r="H14" s="109"/>
    </row>
    <row r="15" spans="2:8" x14ac:dyDescent="0.25">
      <c r="B15" s="263" t="s">
        <v>186</v>
      </c>
      <c r="C15" s="272" t="s">
        <v>185</v>
      </c>
      <c r="D15" s="258">
        <v>2</v>
      </c>
      <c r="F15" s="31" t="s">
        <v>214</v>
      </c>
      <c r="G15" s="9" t="s">
        <v>215</v>
      </c>
      <c r="H15" s="109"/>
    </row>
    <row r="16" spans="2:8" x14ac:dyDescent="0.25">
      <c r="B16" s="264"/>
      <c r="C16" s="273"/>
      <c r="D16" s="260"/>
      <c r="F16" s="276" t="s">
        <v>98</v>
      </c>
      <c r="G16" s="277"/>
      <c r="H16" s="278"/>
    </row>
    <row r="17" spans="2:8" x14ac:dyDescent="0.25">
      <c r="B17" s="43" t="s">
        <v>187</v>
      </c>
      <c r="C17" s="53" t="s">
        <v>188</v>
      </c>
      <c r="D17" s="109"/>
      <c r="F17" s="32" t="s">
        <v>216</v>
      </c>
      <c r="G17" s="34" t="s">
        <v>217</v>
      </c>
      <c r="H17" s="109"/>
    </row>
    <row r="18" spans="2:8" x14ac:dyDescent="0.25">
      <c r="B18" s="31" t="s">
        <v>189</v>
      </c>
      <c r="C18" s="9" t="s">
        <v>190</v>
      </c>
      <c r="D18" s="109"/>
      <c r="F18" s="31" t="s">
        <v>218</v>
      </c>
      <c r="G18" s="9" t="s">
        <v>219</v>
      </c>
      <c r="H18" s="109"/>
    </row>
    <row r="19" spans="2:8" x14ac:dyDescent="0.25">
      <c r="B19" s="265" t="s">
        <v>191</v>
      </c>
      <c r="C19" s="266"/>
      <c r="D19" s="267"/>
      <c r="F19" s="263" t="s">
        <v>220</v>
      </c>
      <c r="G19" s="272" t="s">
        <v>221</v>
      </c>
      <c r="H19" s="258"/>
    </row>
    <row r="20" spans="2:8" x14ac:dyDescent="0.25">
      <c r="B20" s="263" t="s">
        <v>192</v>
      </c>
      <c r="C20" s="282" t="s">
        <v>193</v>
      </c>
      <c r="D20" s="258"/>
      <c r="F20" s="264"/>
      <c r="G20" s="273"/>
      <c r="H20" s="260"/>
    </row>
    <row r="21" spans="2:8" x14ac:dyDescent="0.25">
      <c r="B21" s="264"/>
      <c r="C21" s="283"/>
      <c r="D21" s="260"/>
      <c r="F21" s="31" t="s">
        <v>222</v>
      </c>
      <c r="G21" s="9" t="s">
        <v>223</v>
      </c>
      <c r="H21" s="109"/>
    </row>
    <row r="22" spans="2:8" x14ac:dyDescent="0.25">
      <c r="B22" s="31" t="s">
        <v>194</v>
      </c>
      <c r="C22" s="9" t="s">
        <v>195</v>
      </c>
      <c r="D22" s="109"/>
      <c r="F22" s="31" t="s">
        <v>224</v>
      </c>
      <c r="G22" s="9" t="s">
        <v>225</v>
      </c>
      <c r="H22" s="109"/>
    </row>
    <row r="23" spans="2:8" x14ac:dyDescent="0.25">
      <c r="B23" s="242" t="s">
        <v>73</v>
      </c>
      <c r="C23" s="243"/>
      <c r="D23" s="244"/>
      <c r="F23" s="31" t="s">
        <v>226</v>
      </c>
      <c r="G23" s="9" t="s">
        <v>227</v>
      </c>
      <c r="H23" s="109"/>
    </row>
    <row r="24" spans="2:8" x14ac:dyDescent="0.25">
      <c r="B24" s="263" t="s">
        <v>196</v>
      </c>
      <c r="C24" s="272" t="s">
        <v>197</v>
      </c>
      <c r="D24" s="258"/>
      <c r="F24" s="31" t="s">
        <v>228</v>
      </c>
      <c r="G24" s="9" t="s">
        <v>229</v>
      </c>
      <c r="H24" s="109"/>
    </row>
    <row r="25" spans="2:8" ht="15.75" thickBot="1" x14ac:dyDescent="0.3">
      <c r="B25" s="264"/>
      <c r="C25" s="273"/>
      <c r="D25" s="260"/>
      <c r="F25" s="63" t="s">
        <v>230</v>
      </c>
      <c r="G25" s="18" t="s">
        <v>231</v>
      </c>
      <c r="H25" s="115"/>
    </row>
    <row r="26" spans="2:8" x14ac:dyDescent="0.25">
      <c r="B26" s="263" t="s">
        <v>198</v>
      </c>
      <c r="C26" s="272" t="s">
        <v>199</v>
      </c>
      <c r="D26" s="258"/>
    </row>
    <row r="27" spans="2:8" ht="15.75" thickBot="1" x14ac:dyDescent="0.3">
      <c r="B27" s="279"/>
      <c r="C27" s="280"/>
      <c r="D27" s="281"/>
    </row>
  </sheetData>
  <sheetProtection algorithmName="SHA-512" hashValue="WaxtQMw/5mSKXmKiAdTlHHvJrmN57VeJbkzUstVRiJ1GWAYqeCoByTdxAjOAONAssRPsIk678BVlb2woF2+y4w==" saltValue="Dlvn8DtBAXggxEae2HamlA==" spinCount="100000" sheet="1" selectLockedCells="1"/>
  <mergeCells count="32">
    <mergeCell ref="B3:B4"/>
    <mergeCell ref="C3:C4"/>
    <mergeCell ref="F3:F4"/>
    <mergeCell ref="G3:G4"/>
    <mergeCell ref="B5:D5"/>
    <mergeCell ref="F5:H5"/>
    <mergeCell ref="B10:D10"/>
    <mergeCell ref="B19:D19"/>
    <mergeCell ref="B23:D23"/>
    <mergeCell ref="B13:B14"/>
    <mergeCell ref="C13:C14"/>
    <mergeCell ref="D13:D14"/>
    <mergeCell ref="B15:B16"/>
    <mergeCell ref="C15:C16"/>
    <mergeCell ref="D15:D16"/>
    <mergeCell ref="B20:B21"/>
    <mergeCell ref="C20:C21"/>
    <mergeCell ref="D20:D21"/>
    <mergeCell ref="F19:F20"/>
    <mergeCell ref="G19:G20"/>
    <mergeCell ref="H19:H20"/>
    <mergeCell ref="B26:B27"/>
    <mergeCell ref="C26:C27"/>
    <mergeCell ref="D26:D27"/>
    <mergeCell ref="B24:B25"/>
    <mergeCell ref="C24:C25"/>
    <mergeCell ref="D24:D25"/>
    <mergeCell ref="F9:F10"/>
    <mergeCell ref="G9:G10"/>
    <mergeCell ref="H9:H10"/>
    <mergeCell ref="F12:H12"/>
    <mergeCell ref="F16:H16"/>
  </mergeCells>
  <conditionalFormatting sqref="D6:D9">
    <cfRule type="cellIs" dxfId="93" priority="44" operator="greaterThan">
      <formula>2</formula>
    </cfRule>
  </conditionalFormatting>
  <conditionalFormatting sqref="D6:D12 D17:D18">
    <cfRule type="cellIs" dxfId="92" priority="48" operator="greaterThan">
      <formula>3</formula>
    </cfRule>
  </conditionalFormatting>
  <conditionalFormatting sqref="D6:D18">
    <cfRule type="cellIs" dxfId="91" priority="1" operator="lessThan">
      <formula>0</formula>
    </cfRule>
  </conditionalFormatting>
  <conditionalFormatting sqref="D11:D18">
    <cfRule type="cellIs" dxfId="90" priority="2" operator="greaterThan">
      <formula>2</formula>
    </cfRule>
  </conditionalFormatting>
  <conditionalFormatting sqref="D20:D22">
    <cfRule type="cellIs" dxfId="89" priority="5" operator="lessThan">
      <formula>0</formula>
    </cfRule>
    <cfRule type="cellIs" dxfId="88" priority="6" operator="greaterThan">
      <formula>2</formula>
    </cfRule>
  </conditionalFormatting>
  <conditionalFormatting sqref="D22">
    <cfRule type="cellIs" dxfId="87" priority="38" operator="greaterThan">
      <formula>3</formula>
    </cfRule>
  </conditionalFormatting>
  <conditionalFormatting sqref="D24:D27">
    <cfRule type="cellIs" dxfId="86" priority="7" operator="lessThan">
      <formula>0</formula>
    </cfRule>
    <cfRule type="cellIs" dxfId="85" priority="8" operator="greaterThan">
      <formula>2</formula>
    </cfRule>
  </conditionalFormatting>
  <conditionalFormatting sqref="H6:H8">
    <cfRule type="cellIs" dxfId="84" priority="22" operator="greaterThan">
      <formula>3</formula>
    </cfRule>
  </conditionalFormatting>
  <conditionalFormatting sqref="H6:H11">
    <cfRule type="cellIs" dxfId="83" priority="13" operator="lessThan">
      <formula>0</formula>
    </cfRule>
    <cfRule type="cellIs" dxfId="82" priority="14" operator="greaterThan">
      <formula>2</formula>
    </cfRule>
  </conditionalFormatting>
  <conditionalFormatting sqref="H11">
    <cfRule type="cellIs" dxfId="81" priority="18" operator="greaterThan">
      <formula>3</formula>
    </cfRule>
  </conditionalFormatting>
  <conditionalFormatting sqref="H13:H15">
    <cfRule type="cellIs" dxfId="80" priority="23" operator="lessThan">
      <formula>0</formula>
    </cfRule>
    <cfRule type="cellIs" dxfId="79" priority="24" operator="greaterThan">
      <formula>2</formula>
    </cfRule>
    <cfRule type="cellIs" dxfId="78" priority="26" operator="greaterThan">
      <formula>3</formula>
    </cfRule>
  </conditionalFormatting>
  <conditionalFormatting sqref="H17:H18">
    <cfRule type="cellIs" dxfId="77" priority="30" operator="greaterThan">
      <formula>3</formula>
    </cfRule>
  </conditionalFormatting>
  <conditionalFormatting sqref="H17:H25">
    <cfRule type="cellIs" dxfId="76" priority="11" operator="lessThan">
      <formula>0</formula>
    </cfRule>
    <cfRule type="cellIs" dxfId="75" priority="12" operator="greaterThan">
      <formula>2</formula>
    </cfRule>
  </conditionalFormatting>
  <conditionalFormatting sqref="H21:H25">
    <cfRule type="cellIs" dxfId="74" priority="34" operator="greaterThan">
      <formula>3</formula>
    </cfRule>
  </conditionalFormatting>
  <conditionalFormatting sqref="K8">
    <cfRule type="cellIs" dxfId="73" priority="49" operator="greaterThan"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3F42-0E03-4684-9982-596AB694E9F0}">
  <sheetPr codeName="Sheet6"/>
  <dimension ref="B1:H35"/>
  <sheetViews>
    <sheetView workbookViewId="0">
      <selection activeCell="H13" sqref="H13"/>
    </sheetView>
  </sheetViews>
  <sheetFormatPr defaultRowHeight="15" x14ac:dyDescent="0.25"/>
  <cols>
    <col min="1" max="1" width="5.28515625" customWidth="1"/>
    <col min="2" max="2" width="7.5703125" customWidth="1"/>
    <col min="3" max="3" width="53.42578125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8" ht="21" x14ac:dyDescent="0.35">
      <c r="B1" s="1" t="s">
        <v>169</v>
      </c>
    </row>
    <row r="2" spans="2:8" ht="15.75" thickBot="1" x14ac:dyDescent="0.3">
      <c r="B2" s="4" t="s">
        <v>284</v>
      </c>
      <c r="F2" s="4" t="s">
        <v>284</v>
      </c>
    </row>
    <row r="3" spans="2:8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2:8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2:8" x14ac:dyDescent="0.25">
      <c r="B5" s="224" t="s">
        <v>27</v>
      </c>
      <c r="C5" s="225"/>
      <c r="D5" s="253"/>
      <c r="F5" s="290" t="s">
        <v>334</v>
      </c>
      <c r="G5" s="69" t="s">
        <v>335</v>
      </c>
      <c r="H5" s="288"/>
    </row>
    <row r="6" spans="2:8" x14ac:dyDescent="0.25">
      <c r="B6" s="32" t="s">
        <v>285</v>
      </c>
      <c r="C6" s="34" t="s">
        <v>286</v>
      </c>
      <c r="D6" s="109"/>
      <c r="F6" s="291"/>
      <c r="G6" s="70" t="s">
        <v>336</v>
      </c>
      <c r="H6" s="289"/>
    </row>
    <row r="7" spans="2:8" x14ac:dyDescent="0.25">
      <c r="B7" s="32" t="s">
        <v>287</v>
      </c>
      <c r="C7" s="34" t="s">
        <v>288</v>
      </c>
      <c r="D7" s="109"/>
      <c r="F7" s="242" t="s">
        <v>98</v>
      </c>
      <c r="G7" s="243"/>
      <c r="H7" s="244"/>
    </row>
    <row r="8" spans="2:8" x14ac:dyDescent="0.25">
      <c r="B8" s="276" t="s">
        <v>289</v>
      </c>
      <c r="C8" s="293"/>
      <c r="D8" s="294"/>
      <c r="F8" s="31" t="s">
        <v>337</v>
      </c>
      <c r="G8" s="9" t="s">
        <v>338</v>
      </c>
      <c r="H8" s="109"/>
    </row>
    <row r="9" spans="2:8" x14ac:dyDescent="0.25">
      <c r="B9" s="32" t="s">
        <v>290</v>
      </c>
      <c r="C9" s="34" t="s">
        <v>291</v>
      </c>
      <c r="D9" s="109"/>
      <c r="E9" t="s">
        <v>4</v>
      </c>
      <c r="F9" s="263" t="s">
        <v>339</v>
      </c>
      <c r="G9" s="272" t="s">
        <v>340</v>
      </c>
      <c r="H9" s="292"/>
    </row>
    <row r="10" spans="2:8" x14ac:dyDescent="0.25">
      <c r="B10" s="32" t="s">
        <v>292</v>
      </c>
      <c r="C10" s="34" t="s">
        <v>293</v>
      </c>
      <c r="D10" s="109"/>
      <c r="F10" s="264"/>
      <c r="G10" s="273"/>
      <c r="H10" s="289"/>
    </row>
    <row r="11" spans="2:8" x14ac:dyDescent="0.25">
      <c r="B11" s="276" t="s">
        <v>73</v>
      </c>
      <c r="C11" s="277"/>
      <c r="D11" s="278"/>
      <c r="F11" s="31" t="s">
        <v>341</v>
      </c>
      <c r="G11" s="9" t="s">
        <v>342</v>
      </c>
      <c r="H11" s="109"/>
    </row>
    <row r="12" spans="2:8" x14ac:dyDescent="0.25">
      <c r="B12" s="32" t="s">
        <v>294</v>
      </c>
      <c r="C12" s="34" t="s">
        <v>295</v>
      </c>
      <c r="D12" s="109"/>
      <c r="F12" s="31" t="s">
        <v>343</v>
      </c>
      <c r="G12" s="9" t="s">
        <v>344</v>
      </c>
      <c r="H12" s="109"/>
    </row>
    <row r="13" spans="2:8" x14ac:dyDescent="0.25">
      <c r="B13" s="32" t="s">
        <v>296</v>
      </c>
      <c r="C13" s="34" t="s">
        <v>297</v>
      </c>
      <c r="D13" s="109"/>
      <c r="F13" s="31" t="s">
        <v>345</v>
      </c>
      <c r="G13" s="9" t="s">
        <v>346</v>
      </c>
      <c r="H13" s="109"/>
    </row>
    <row r="14" spans="2:8" x14ac:dyDescent="0.25">
      <c r="B14" s="276" t="s">
        <v>237</v>
      </c>
      <c r="C14" s="277"/>
      <c r="D14" s="278"/>
      <c r="F14" s="242" t="s">
        <v>347</v>
      </c>
      <c r="G14" s="243"/>
      <c r="H14" s="244"/>
    </row>
    <row r="15" spans="2:8" x14ac:dyDescent="0.25">
      <c r="B15" s="32" t="s">
        <v>298</v>
      </c>
      <c r="C15" s="34" t="s">
        <v>299</v>
      </c>
      <c r="D15" s="109"/>
      <c r="F15" s="31" t="s">
        <v>348</v>
      </c>
      <c r="G15" s="9" t="s">
        <v>349</v>
      </c>
      <c r="H15" s="109"/>
    </row>
    <row r="16" spans="2:8" x14ac:dyDescent="0.25">
      <c r="B16" s="32" t="s">
        <v>300</v>
      </c>
      <c r="C16" s="34" t="s">
        <v>301</v>
      </c>
      <c r="D16" s="109"/>
      <c r="F16" s="31" t="s">
        <v>350</v>
      </c>
      <c r="G16" s="9" t="s">
        <v>351</v>
      </c>
      <c r="H16" s="109"/>
    </row>
    <row r="17" spans="2:8" x14ac:dyDescent="0.25">
      <c r="B17" s="32" t="s">
        <v>302</v>
      </c>
      <c r="C17" s="34" t="s">
        <v>303</v>
      </c>
      <c r="D17" s="109"/>
      <c r="F17" s="263" t="s">
        <v>352</v>
      </c>
      <c r="G17" s="272" t="s">
        <v>353</v>
      </c>
      <c r="H17" s="292"/>
    </row>
    <row r="18" spans="2:8" x14ac:dyDescent="0.25">
      <c r="B18" s="32" t="s">
        <v>304</v>
      </c>
      <c r="C18" s="34" t="s">
        <v>305</v>
      </c>
      <c r="D18" s="109"/>
      <c r="F18" s="264"/>
      <c r="G18" s="273"/>
      <c r="H18" s="289"/>
    </row>
    <row r="19" spans="2:8" ht="15.75" customHeight="1" x14ac:dyDescent="0.25">
      <c r="B19" s="32" t="s">
        <v>306</v>
      </c>
      <c r="C19" s="34" t="s">
        <v>307</v>
      </c>
      <c r="D19" s="109"/>
      <c r="F19" s="242" t="s">
        <v>672</v>
      </c>
      <c r="G19" s="243"/>
      <c r="H19" s="244"/>
    </row>
    <row r="20" spans="2:8" x14ac:dyDescent="0.25">
      <c r="B20" s="263" t="s">
        <v>308</v>
      </c>
      <c r="C20" s="261" t="s">
        <v>309</v>
      </c>
      <c r="D20" s="292"/>
      <c r="F20" s="31" t="s">
        <v>354</v>
      </c>
      <c r="G20" s="9" t="s">
        <v>355</v>
      </c>
      <c r="H20" s="109"/>
    </row>
    <row r="21" spans="2:8" x14ac:dyDescent="0.25">
      <c r="B21" s="264"/>
      <c r="C21" s="262"/>
      <c r="D21" s="289"/>
      <c r="F21" s="31" t="s">
        <v>356</v>
      </c>
      <c r="G21" s="9" t="s">
        <v>357</v>
      </c>
      <c r="H21" s="109"/>
    </row>
    <row r="22" spans="2:8" x14ac:dyDescent="0.25">
      <c r="B22" s="32" t="s">
        <v>310</v>
      </c>
      <c r="C22" s="34" t="s">
        <v>311</v>
      </c>
      <c r="D22" s="109"/>
      <c r="F22" s="263" t="s">
        <v>358</v>
      </c>
      <c r="G22" s="272" t="s">
        <v>359</v>
      </c>
      <c r="H22" s="292"/>
    </row>
    <row r="23" spans="2:8" x14ac:dyDescent="0.25">
      <c r="B23" s="32" t="s">
        <v>312</v>
      </c>
      <c r="C23" s="34" t="s">
        <v>313</v>
      </c>
      <c r="D23" s="109"/>
      <c r="F23" s="264"/>
      <c r="G23" s="273"/>
      <c r="H23" s="289"/>
    </row>
    <row r="24" spans="2:8" x14ac:dyDescent="0.25">
      <c r="B24" s="32" t="s">
        <v>314</v>
      </c>
      <c r="C24" s="34" t="s">
        <v>315</v>
      </c>
      <c r="D24" s="109"/>
      <c r="F24" s="31" t="s">
        <v>360</v>
      </c>
      <c r="G24" s="9" t="s">
        <v>361</v>
      </c>
      <c r="H24" s="109"/>
    </row>
    <row r="25" spans="2:8" x14ac:dyDescent="0.25">
      <c r="B25" s="276" t="s">
        <v>74</v>
      </c>
      <c r="C25" s="277"/>
      <c r="D25" s="278"/>
      <c r="F25" s="31" t="s">
        <v>362</v>
      </c>
      <c r="G25" s="70" t="s">
        <v>365</v>
      </c>
      <c r="H25" s="109"/>
    </row>
    <row r="26" spans="2:8" x14ac:dyDescent="0.25">
      <c r="B26" s="32" t="s">
        <v>316</v>
      </c>
      <c r="C26" s="34" t="s">
        <v>317</v>
      </c>
      <c r="D26" s="109"/>
      <c r="F26" s="31" t="s">
        <v>363</v>
      </c>
      <c r="G26" s="9" t="s">
        <v>364</v>
      </c>
      <c r="H26" s="109"/>
    </row>
    <row r="27" spans="2:8" x14ac:dyDescent="0.25">
      <c r="B27" s="32" t="s">
        <v>318</v>
      </c>
      <c r="C27" s="34" t="s">
        <v>319</v>
      </c>
      <c r="D27" s="109"/>
      <c r="F27" s="31" t="s">
        <v>366</v>
      </c>
      <c r="G27" s="9" t="s">
        <v>367</v>
      </c>
      <c r="H27" s="109"/>
    </row>
    <row r="28" spans="2:8" x14ac:dyDescent="0.25">
      <c r="B28" s="32" t="s">
        <v>320</v>
      </c>
      <c r="C28" s="34" t="s">
        <v>321</v>
      </c>
      <c r="D28" s="109"/>
      <c r="F28" s="31" t="s">
        <v>368</v>
      </c>
      <c r="G28" s="9" t="s">
        <v>369</v>
      </c>
      <c r="H28" s="109"/>
    </row>
    <row r="29" spans="2:8" x14ac:dyDescent="0.25">
      <c r="B29" s="32" t="s">
        <v>322</v>
      </c>
      <c r="C29" s="34" t="s">
        <v>323</v>
      </c>
      <c r="D29" s="109"/>
      <c r="F29" s="31" t="s">
        <v>370</v>
      </c>
      <c r="G29" s="9" t="s">
        <v>371</v>
      </c>
      <c r="H29" s="109"/>
    </row>
    <row r="30" spans="2:8" x14ac:dyDescent="0.25">
      <c r="B30" s="32" t="s">
        <v>324</v>
      </c>
      <c r="C30" s="34" t="s">
        <v>325</v>
      </c>
      <c r="D30" s="109"/>
      <c r="F30" s="31" t="s">
        <v>372</v>
      </c>
      <c r="G30" s="9" t="s">
        <v>373</v>
      </c>
      <c r="H30" s="109"/>
    </row>
    <row r="31" spans="2:8" x14ac:dyDescent="0.25">
      <c r="B31" s="32" t="s">
        <v>326</v>
      </c>
      <c r="C31" s="34" t="s">
        <v>327</v>
      </c>
      <c r="D31" s="109"/>
      <c r="F31" s="263" t="s">
        <v>374</v>
      </c>
      <c r="G31" s="272" t="s">
        <v>375</v>
      </c>
      <c r="H31" s="292"/>
    </row>
    <row r="32" spans="2:8" x14ac:dyDescent="0.25">
      <c r="B32" s="242" t="s">
        <v>85</v>
      </c>
      <c r="C32" s="243"/>
      <c r="D32" s="244"/>
      <c r="F32" s="264"/>
      <c r="G32" s="273"/>
      <c r="H32" s="289"/>
    </row>
    <row r="33" spans="2:8" ht="15.75" thickBot="1" x14ac:dyDescent="0.3">
      <c r="B33" s="31" t="s">
        <v>328</v>
      </c>
      <c r="C33" s="9" t="s">
        <v>329</v>
      </c>
      <c r="D33" s="109"/>
      <c r="F33" s="33" t="s">
        <v>376</v>
      </c>
      <c r="G33" s="18" t="s">
        <v>377</v>
      </c>
      <c r="H33" s="115"/>
    </row>
    <row r="34" spans="2:8" x14ac:dyDescent="0.25">
      <c r="B34" s="32" t="s">
        <v>330</v>
      </c>
      <c r="C34" s="65" t="s">
        <v>331</v>
      </c>
      <c r="D34" s="109"/>
    </row>
    <row r="35" spans="2:8" ht="15.75" thickBot="1" x14ac:dyDescent="0.3">
      <c r="B35" s="54" t="s">
        <v>332</v>
      </c>
      <c r="C35" s="55" t="s">
        <v>333</v>
      </c>
      <c r="D35" s="115"/>
    </row>
  </sheetData>
  <sheetProtection algorithmName="SHA-512" hashValue="oD2do+nQRDDq0Tez6tmXijcz3iMOvOgtHYGGwOdF35aNgNj0A3C/Ww9BysLUWZHoCplUG0NDZORPWjOZkroxKA==" saltValue="tmslu/ntHFMQ+oppqP6+KA==" spinCount="100000" sheet="1" selectLockedCells="1"/>
  <mergeCells count="30">
    <mergeCell ref="G3:G4"/>
    <mergeCell ref="B5:D5"/>
    <mergeCell ref="B8:D8"/>
    <mergeCell ref="B11:D11"/>
    <mergeCell ref="B3:B4"/>
    <mergeCell ref="C3:C4"/>
    <mergeCell ref="F3:F4"/>
    <mergeCell ref="B14:D14"/>
    <mergeCell ref="B20:B21"/>
    <mergeCell ref="C20:C21"/>
    <mergeCell ref="D20:D21"/>
    <mergeCell ref="G17:G18"/>
    <mergeCell ref="F31:F32"/>
    <mergeCell ref="G31:G32"/>
    <mergeCell ref="H31:H32"/>
    <mergeCell ref="B25:D25"/>
    <mergeCell ref="B32:D32"/>
    <mergeCell ref="H5:H6"/>
    <mergeCell ref="F5:F6"/>
    <mergeCell ref="F19:H19"/>
    <mergeCell ref="F22:F23"/>
    <mergeCell ref="G22:G23"/>
    <mergeCell ref="H22:H23"/>
    <mergeCell ref="F7:H7"/>
    <mergeCell ref="F9:F10"/>
    <mergeCell ref="G9:G10"/>
    <mergeCell ref="H9:H10"/>
    <mergeCell ref="F14:H14"/>
    <mergeCell ref="F17:F18"/>
    <mergeCell ref="H17:H18"/>
  </mergeCells>
  <conditionalFormatting sqref="D6:D7 D9:D10 D12:D13 D15:D19 D22:D24 D26:D31 D33:D35">
    <cfRule type="cellIs" dxfId="72" priority="54" operator="greaterThan">
      <formula>3</formula>
    </cfRule>
  </conditionalFormatting>
  <conditionalFormatting sqref="D6:D7">
    <cfRule type="cellIs" dxfId="71" priority="49" operator="lessThan">
      <formula>0</formula>
    </cfRule>
    <cfRule type="cellIs" dxfId="70" priority="50" operator="greaterThan">
      <formula>2</formula>
    </cfRule>
  </conditionalFormatting>
  <conditionalFormatting sqref="D9:D10">
    <cfRule type="cellIs" dxfId="69" priority="47" operator="lessThan">
      <formula>0</formula>
    </cfRule>
    <cfRule type="cellIs" dxfId="68" priority="48" operator="greaterThan">
      <formula>2</formula>
    </cfRule>
  </conditionalFormatting>
  <conditionalFormatting sqref="D12:D13">
    <cfRule type="cellIs" dxfId="67" priority="45" operator="lessThan">
      <formula>0</formula>
    </cfRule>
    <cfRule type="cellIs" dxfId="66" priority="46" operator="greaterThan">
      <formula>2</formula>
    </cfRule>
  </conditionalFormatting>
  <conditionalFormatting sqref="D15:D24">
    <cfRule type="cellIs" dxfId="65" priority="3" operator="lessThan">
      <formula>0</formula>
    </cfRule>
    <cfRule type="cellIs" dxfId="64" priority="4" operator="greaterThan">
      <formula>2</formula>
    </cfRule>
  </conditionalFormatting>
  <conditionalFormatting sqref="D26:D31">
    <cfRule type="cellIs" dxfId="63" priority="39" operator="lessThan">
      <formula>0</formula>
    </cfRule>
    <cfRule type="cellIs" dxfId="62" priority="40" operator="greaterThan">
      <formula>2</formula>
    </cfRule>
  </conditionalFormatting>
  <conditionalFormatting sqref="D33:D35">
    <cfRule type="cellIs" dxfId="61" priority="37" operator="lessThan">
      <formula>0</formula>
    </cfRule>
    <cfRule type="cellIs" dxfId="60" priority="38" operator="greaterThan">
      <formula>2</formula>
    </cfRule>
  </conditionalFormatting>
  <conditionalFormatting sqref="H5:H6">
    <cfRule type="cellIs" dxfId="59" priority="11" operator="lessThan">
      <formula>0</formula>
    </cfRule>
    <cfRule type="cellIs" dxfId="58" priority="12" operator="greaterThan">
      <formula>2</formula>
    </cfRule>
  </conditionalFormatting>
  <conditionalFormatting sqref="H8">
    <cfRule type="cellIs" dxfId="57" priority="16" operator="greaterThan">
      <formula>3</formula>
    </cfRule>
  </conditionalFormatting>
  <conditionalFormatting sqref="H8:H13">
    <cfRule type="cellIs" dxfId="56" priority="9" operator="lessThan">
      <formula>0</formula>
    </cfRule>
    <cfRule type="cellIs" dxfId="55" priority="10" operator="greaterThan">
      <formula>2</formula>
    </cfRule>
  </conditionalFormatting>
  <conditionalFormatting sqref="H11:H13">
    <cfRule type="cellIs" dxfId="54" priority="20" operator="greaterThan">
      <formula>3</formula>
    </cfRule>
  </conditionalFormatting>
  <conditionalFormatting sqref="H15:H16">
    <cfRule type="cellIs" dxfId="53" priority="24" operator="greaterThan">
      <formula>3</formula>
    </cfRule>
  </conditionalFormatting>
  <conditionalFormatting sqref="H15:H18">
    <cfRule type="cellIs" dxfId="52" priority="7" operator="lessThan">
      <formula>0</formula>
    </cfRule>
    <cfRule type="cellIs" dxfId="51" priority="8" operator="greaterThan">
      <formula>2</formula>
    </cfRule>
  </conditionalFormatting>
  <conditionalFormatting sqref="H20:H21">
    <cfRule type="cellIs" dxfId="50" priority="28" operator="greaterThan">
      <formula>3</formula>
    </cfRule>
  </conditionalFormatting>
  <conditionalFormatting sqref="H20:H33">
    <cfRule type="cellIs" dxfId="49" priority="1" operator="lessThan">
      <formula>0</formula>
    </cfRule>
    <cfRule type="cellIs" dxfId="48" priority="2" operator="greaterThan">
      <formula>2</formula>
    </cfRule>
  </conditionalFormatting>
  <conditionalFormatting sqref="H24:H30">
    <cfRule type="cellIs" dxfId="47" priority="32" operator="greaterThan">
      <formula>3</formula>
    </cfRule>
  </conditionalFormatting>
  <conditionalFormatting sqref="H33">
    <cfRule type="cellIs" dxfId="46" priority="36" operator="greaterThan">
      <formula>3</formula>
    </cfRule>
  </conditionalFormatting>
  <conditionalFormatting sqref="K8">
    <cfRule type="cellIs" dxfId="45" priority="55" operator="greaterThan">
      <formula>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A60A-B058-45EA-BA23-61CA3A93D605}">
  <sheetPr codeName="Sheet7"/>
  <dimension ref="B1:H38"/>
  <sheetViews>
    <sheetView workbookViewId="0">
      <selection activeCell="D14" sqref="D14:D16"/>
    </sheetView>
  </sheetViews>
  <sheetFormatPr defaultRowHeight="15" x14ac:dyDescent="0.25"/>
  <cols>
    <col min="1" max="1" width="5.28515625" customWidth="1"/>
    <col min="2" max="2" width="7.5703125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8" ht="21" x14ac:dyDescent="0.35">
      <c r="B1" s="1" t="s">
        <v>41</v>
      </c>
    </row>
    <row r="2" spans="2:8" ht="15.75" thickBot="1" x14ac:dyDescent="0.3">
      <c r="B2" s="4" t="s">
        <v>42</v>
      </c>
      <c r="F2" s="4" t="s">
        <v>42</v>
      </c>
    </row>
    <row r="3" spans="2:8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2:8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2:8" x14ac:dyDescent="0.25">
      <c r="B5" s="224" t="s">
        <v>27</v>
      </c>
      <c r="C5" s="225"/>
      <c r="D5" s="253"/>
      <c r="F5" s="301" t="s">
        <v>85</v>
      </c>
      <c r="G5" s="302"/>
      <c r="H5" s="302"/>
    </row>
    <row r="6" spans="2:8" ht="15.75" customHeight="1" x14ac:dyDescent="0.25">
      <c r="B6" s="263" t="s">
        <v>378</v>
      </c>
      <c r="C6" s="261" t="s">
        <v>380</v>
      </c>
      <c r="D6" s="258">
        <v>2</v>
      </c>
      <c r="F6" s="68" t="s">
        <v>412</v>
      </c>
      <c r="G6" s="70" t="s">
        <v>413</v>
      </c>
      <c r="H6" s="116"/>
    </row>
    <row r="7" spans="2:8" x14ac:dyDescent="0.25">
      <c r="B7" s="264"/>
      <c r="C7" s="262"/>
      <c r="D7" s="260"/>
      <c r="F7" s="263" t="s">
        <v>414</v>
      </c>
      <c r="G7" s="272" t="s">
        <v>415</v>
      </c>
      <c r="H7" s="258"/>
    </row>
    <row r="8" spans="2:8" x14ac:dyDescent="0.25">
      <c r="B8" s="32" t="s">
        <v>381</v>
      </c>
      <c r="C8" s="34" t="s">
        <v>379</v>
      </c>
      <c r="D8" s="109">
        <v>2</v>
      </c>
      <c r="F8" s="268"/>
      <c r="G8" s="295"/>
      <c r="H8" s="259"/>
    </row>
    <row r="9" spans="2:8" x14ac:dyDescent="0.25">
      <c r="B9" s="32" t="s">
        <v>382</v>
      </c>
      <c r="C9" s="34" t="s">
        <v>383</v>
      </c>
      <c r="D9" s="109">
        <v>2</v>
      </c>
      <c r="E9" t="s">
        <v>4</v>
      </c>
      <c r="F9" s="264"/>
      <c r="G9" s="296"/>
      <c r="H9" s="260"/>
    </row>
    <row r="10" spans="2:8" x14ac:dyDescent="0.25">
      <c r="B10" s="263" t="s">
        <v>384</v>
      </c>
      <c r="C10" s="261" t="s">
        <v>385</v>
      </c>
      <c r="D10" s="258">
        <v>2</v>
      </c>
      <c r="F10" s="31" t="s">
        <v>416</v>
      </c>
      <c r="G10" s="9" t="s">
        <v>417</v>
      </c>
      <c r="H10" s="108"/>
    </row>
    <row r="11" spans="2:8" x14ac:dyDescent="0.25">
      <c r="B11" s="264"/>
      <c r="C11" s="262"/>
      <c r="D11" s="260"/>
      <c r="F11" s="263" t="s">
        <v>418</v>
      </c>
      <c r="G11" s="272" t="s">
        <v>419</v>
      </c>
      <c r="H11" s="258"/>
    </row>
    <row r="12" spans="2:8" x14ac:dyDescent="0.25">
      <c r="B12" s="276" t="s">
        <v>289</v>
      </c>
      <c r="C12" s="293"/>
      <c r="D12" s="294"/>
      <c r="F12" s="268"/>
      <c r="G12" s="295"/>
      <c r="H12" s="259"/>
    </row>
    <row r="13" spans="2:8" ht="30" x14ac:dyDescent="0.25">
      <c r="B13" s="32" t="s">
        <v>386</v>
      </c>
      <c r="C13" s="34" t="s">
        <v>387</v>
      </c>
      <c r="D13" s="109">
        <v>2</v>
      </c>
      <c r="F13" s="264"/>
      <c r="G13" s="296"/>
      <c r="H13" s="260"/>
    </row>
    <row r="14" spans="2:8" x14ac:dyDescent="0.25">
      <c r="B14" s="263" t="s">
        <v>388</v>
      </c>
      <c r="C14" s="261" t="s">
        <v>389</v>
      </c>
      <c r="D14" s="258"/>
      <c r="F14" s="31" t="s">
        <v>420</v>
      </c>
      <c r="G14" s="9" t="s">
        <v>421</v>
      </c>
      <c r="H14" s="108"/>
    </row>
    <row r="15" spans="2:8" x14ac:dyDescent="0.25">
      <c r="B15" s="268"/>
      <c r="C15" s="297"/>
      <c r="D15" s="259"/>
      <c r="F15" s="263" t="s">
        <v>422</v>
      </c>
      <c r="G15" s="272" t="s">
        <v>423</v>
      </c>
      <c r="H15" s="258"/>
    </row>
    <row r="16" spans="2:8" x14ac:dyDescent="0.25">
      <c r="B16" s="264"/>
      <c r="C16" s="262"/>
      <c r="D16" s="260"/>
      <c r="F16" s="268"/>
      <c r="G16" s="295"/>
      <c r="H16" s="259"/>
    </row>
    <row r="17" spans="2:8" x14ac:dyDescent="0.25">
      <c r="B17" s="43" t="s">
        <v>390</v>
      </c>
      <c r="C17" s="44" t="s">
        <v>391</v>
      </c>
      <c r="D17" s="114"/>
      <c r="F17" s="264"/>
      <c r="G17" s="296"/>
      <c r="H17" s="260"/>
    </row>
    <row r="18" spans="2:8" x14ac:dyDescent="0.25">
      <c r="B18" s="43" t="s">
        <v>392</v>
      </c>
      <c r="C18" s="44" t="s">
        <v>393</v>
      </c>
      <c r="D18" s="114"/>
      <c r="F18" s="242" t="s">
        <v>424</v>
      </c>
      <c r="G18" s="243"/>
      <c r="H18" s="244"/>
    </row>
    <row r="19" spans="2:8" ht="15.75" customHeight="1" x14ac:dyDescent="0.25">
      <c r="B19" s="43" t="s">
        <v>394</v>
      </c>
      <c r="C19" s="44" t="s">
        <v>395</v>
      </c>
      <c r="D19" s="114"/>
      <c r="F19" s="31" t="s">
        <v>425</v>
      </c>
      <c r="G19" s="9" t="s">
        <v>426</v>
      </c>
      <c r="H19" s="108"/>
    </row>
    <row r="20" spans="2:8" x14ac:dyDescent="0.25">
      <c r="B20" s="276" t="s">
        <v>73</v>
      </c>
      <c r="C20" s="277"/>
      <c r="D20" s="278"/>
      <c r="F20" s="263" t="s">
        <v>427</v>
      </c>
      <c r="G20" s="300" t="s">
        <v>428</v>
      </c>
      <c r="H20" s="258"/>
    </row>
    <row r="21" spans="2:8" x14ac:dyDescent="0.25">
      <c r="B21" s="43" t="s">
        <v>396</v>
      </c>
      <c r="C21" s="44" t="s">
        <v>397</v>
      </c>
      <c r="D21" s="114"/>
      <c r="F21" s="268"/>
      <c r="G21" s="270"/>
      <c r="H21" s="259"/>
    </row>
    <row r="22" spans="2:8" x14ac:dyDescent="0.25">
      <c r="B22" s="43" t="s">
        <v>398</v>
      </c>
      <c r="C22" s="44" t="s">
        <v>399</v>
      </c>
      <c r="D22" s="114"/>
      <c r="F22" s="264"/>
      <c r="G22" s="271"/>
      <c r="H22" s="260"/>
    </row>
    <row r="23" spans="2:8" x14ac:dyDescent="0.25">
      <c r="B23" s="263" t="s">
        <v>400</v>
      </c>
      <c r="C23" s="261" t="s">
        <v>401</v>
      </c>
      <c r="D23" s="258"/>
      <c r="F23" s="263" t="s">
        <v>429</v>
      </c>
      <c r="G23" s="272" t="s">
        <v>430</v>
      </c>
      <c r="H23" s="258"/>
    </row>
    <row r="24" spans="2:8" x14ac:dyDescent="0.25">
      <c r="B24" s="264"/>
      <c r="C24" s="262"/>
      <c r="D24" s="260"/>
      <c r="F24" s="268"/>
      <c r="G24" s="295"/>
      <c r="H24" s="259"/>
    </row>
    <row r="25" spans="2:8" x14ac:dyDescent="0.25">
      <c r="B25" s="276" t="s">
        <v>74</v>
      </c>
      <c r="C25" s="277"/>
      <c r="D25" s="278"/>
      <c r="F25" s="268"/>
      <c r="G25" s="295"/>
      <c r="H25" s="259"/>
    </row>
    <row r="26" spans="2:8" ht="15.75" thickBot="1" x14ac:dyDescent="0.3">
      <c r="B26" s="43" t="s">
        <v>402</v>
      </c>
      <c r="C26" s="44" t="s">
        <v>403</v>
      </c>
      <c r="D26" s="114"/>
      <c r="F26" s="279"/>
      <c r="G26" s="299"/>
      <c r="H26" s="281"/>
    </row>
    <row r="27" spans="2:8" x14ac:dyDescent="0.25">
      <c r="B27" s="263" t="s">
        <v>404</v>
      </c>
      <c r="C27" s="261" t="s">
        <v>405</v>
      </c>
      <c r="D27" s="258"/>
    </row>
    <row r="28" spans="2:8" x14ac:dyDescent="0.25">
      <c r="B28" s="268"/>
      <c r="C28" s="297"/>
      <c r="D28" s="259"/>
    </row>
    <row r="29" spans="2:8" x14ac:dyDescent="0.25">
      <c r="B29" s="264"/>
      <c r="C29" s="262"/>
      <c r="D29" s="260"/>
    </row>
    <row r="30" spans="2:8" x14ac:dyDescent="0.25">
      <c r="B30" s="263" t="s">
        <v>406</v>
      </c>
      <c r="C30" s="261" t="s">
        <v>407</v>
      </c>
      <c r="D30" s="258"/>
    </row>
    <row r="31" spans="2:8" x14ac:dyDescent="0.25">
      <c r="B31" s="268"/>
      <c r="C31" s="297"/>
      <c r="D31" s="259"/>
    </row>
    <row r="32" spans="2:8" x14ac:dyDescent="0.25">
      <c r="B32" s="264"/>
      <c r="C32" s="262"/>
      <c r="D32" s="260"/>
    </row>
    <row r="33" spans="2:4" x14ac:dyDescent="0.25">
      <c r="B33" s="263" t="s">
        <v>408</v>
      </c>
      <c r="C33" s="261" t="s">
        <v>409</v>
      </c>
      <c r="D33" s="258"/>
    </row>
    <row r="34" spans="2:4" x14ac:dyDescent="0.25">
      <c r="B34" s="268"/>
      <c r="C34" s="297"/>
      <c r="D34" s="259"/>
    </row>
    <row r="35" spans="2:4" x14ac:dyDescent="0.25">
      <c r="B35" s="264"/>
      <c r="C35" s="262"/>
      <c r="D35" s="260"/>
    </row>
    <row r="36" spans="2:4" x14ac:dyDescent="0.25">
      <c r="B36" s="263" t="s">
        <v>410</v>
      </c>
      <c r="C36" s="261" t="s">
        <v>411</v>
      </c>
      <c r="D36" s="258"/>
    </row>
    <row r="37" spans="2:4" x14ac:dyDescent="0.25">
      <c r="B37" s="268"/>
      <c r="C37" s="297"/>
      <c r="D37" s="259"/>
    </row>
    <row r="38" spans="2:4" ht="15.75" thickBot="1" x14ac:dyDescent="0.3">
      <c r="B38" s="279"/>
      <c r="C38" s="298"/>
      <c r="D38" s="281"/>
    </row>
  </sheetData>
  <sheetProtection algorithmName="SHA-512" hashValue="Dhzrgr2k5uaed0tkNpuqmu9Tm3tzUSNbEoJMKmLcLojU2W85R+rWH0dbF4SUc4YHGdwIydyNMlKjCdV0ZbWz2Q==" saltValue="Rni0sY1iHsAOhVD9bEJRNA==" spinCount="100000" sheet="1" selectLockedCells="1"/>
  <mergeCells count="49">
    <mergeCell ref="B3:B4"/>
    <mergeCell ref="C3:C4"/>
    <mergeCell ref="F3:F4"/>
    <mergeCell ref="G3:G4"/>
    <mergeCell ref="B5:D5"/>
    <mergeCell ref="F5:H5"/>
    <mergeCell ref="B25:D25"/>
    <mergeCell ref="B12:D12"/>
    <mergeCell ref="B6:B7"/>
    <mergeCell ref="C6:C7"/>
    <mergeCell ref="D6:D7"/>
    <mergeCell ref="B20:D20"/>
    <mergeCell ref="B23:B24"/>
    <mergeCell ref="C23:C24"/>
    <mergeCell ref="D23:D24"/>
    <mergeCell ref="B10:B11"/>
    <mergeCell ref="C10:C11"/>
    <mergeCell ref="D10:D11"/>
    <mergeCell ref="B14:B16"/>
    <mergeCell ref="C14:C16"/>
    <mergeCell ref="D14:D16"/>
    <mergeCell ref="F23:F26"/>
    <mergeCell ref="G23:G26"/>
    <mergeCell ref="H23:H26"/>
    <mergeCell ref="F15:F17"/>
    <mergeCell ref="G15:G17"/>
    <mergeCell ref="H15:H17"/>
    <mergeCell ref="F20:F22"/>
    <mergeCell ref="G20:G22"/>
    <mergeCell ref="H20:H22"/>
    <mergeCell ref="F18:H18"/>
    <mergeCell ref="B27:B29"/>
    <mergeCell ref="C27:C29"/>
    <mergeCell ref="D27:D29"/>
    <mergeCell ref="B30:B32"/>
    <mergeCell ref="C30:C32"/>
    <mergeCell ref="D30:D32"/>
    <mergeCell ref="B33:B35"/>
    <mergeCell ref="C33:C35"/>
    <mergeCell ref="D33:D35"/>
    <mergeCell ref="B36:B38"/>
    <mergeCell ref="C36:C38"/>
    <mergeCell ref="D36:D38"/>
    <mergeCell ref="F7:F9"/>
    <mergeCell ref="G7:G9"/>
    <mergeCell ref="H7:H9"/>
    <mergeCell ref="F11:F13"/>
    <mergeCell ref="G11:G13"/>
    <mergeCell ref="H11:H13"/>
  </mergeCells>
  <phoneticPr fontId="4" type="noConversion"/>
  <conditionalFormatting sqref="D6 D8:D10 D13:D14 D33 D36">
    <cfRule type="cellIs" dxfId="44" priority="5" operator="lessThan">
      <formula>0</formula>
    </cfRule>
    <cfRule type="cellIs" dxfId="43" priority="6" operator="greaterThan">
      <formula>3</formula>
    </cfRule>
  </conditionalFormatting>
  <conditionalFormatting sqref="D6:D7">
    <cfRule type="cellIs" dxfId="42" priority="3" operator="lessThan">
      <formula>1</formula>
    </cfRule>
    <cfRule type="cellIs" dxfId="41" priority="4" operator="greaterThan">
      <formula>2</formula>
    </cfRule>
  </conditionalFormatting>
  <conditionalFormatting sqref="D10:D11">
    <cfRule type="cellIs" dxfId="40" priority="1" operator="lessThan">
      <formula>1</formula>
    </cfRule>
    <cfRule type="cellIs" dxfId="39" priority="2" operator="greaterThan">
      <formula>2</formula>
    </cfRule>
  </conditionalFormatting>
  <conditionalFormatting sqref="K8">
    <cfRule type="cellIs" dxfId="38" priority="7" operator="greaterThan"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2C54-1A77-4307-B5A8-AF02B6BC8B32}">
  <sheetPr codeName="Sheet8"/>
  <dimension ref="B1:K40"/>
  <sheetViews>
    <sheetView workbookViewId="0">
      <selection activeCell="D16" sqref="D16"/>
    </sheetView>
  </sheetViews>
  <sheetFormatPr defaultRowHeight="15" x14ac:dyDescent="0.25"/>
  <cols>
    <col min="1" max="1" width="5.28515625" customWidth="1"/>
    <col min="2" max="2" width="7.5703125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11" ht="21" x14ac:dyDescent="0.35">
      <c r="B1" s="1" t="s">
        <v>41</v>
      </c>
    </row>
    <row r="2" spans="2:11" ht="15.75" thickBot="1" x14ac:dyDescent="0.3">
      <c r="B2" s="4" t="s">
        <v>43</v>
      </c>
      <c r="F2" s="4" t="s">
        <v>43</v>
      </c>
    </row>
    <row r="3" spans="2:11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2:11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2:11" x14ac:dyDescent="0.25">
      <c r="B5" s="224" t="s">
        <v>27</v>
      </c>
      <c r="C5" s="225"/>
      <c r="D5" s="253"/>
      <c r="F5" s="301" t="s">
        <v>85</v>
      </c>
      <c r="G5" s="302"/>
      <c r="H5" s="313"/>
    </row>
    <row r="6" spans="2:11" ht="15.75" customHeight="1" x14ac:dyDescent="0.25">
      <c r="B6" s="32" t="s">
        <v>431</v>
      </c>
      <c r="C6" s="34" t="s">
        <v>432</v>
      </c>
      <c r="D6" s="109">
        <v>2</v>
      </c>
      <c r="F6" s="79" t="s">
        <v>474</v>
      </c>
      <c r="G6" s="9" t="s">
        <v>475</v>
      </c>
      <c r="H6" s="117"/>
    </row>
    <row r="7" spans="2:11" x14ac:dyDescent="0.25">
      <c r="B7" s="32" t="s">
        <v>433</v>
      </c>
      <c r="C7" s="34" t="s">
        <v>434</v>
      </c>
      <c r="D7" s="109">
        <v>2</v>
      </c>
      <c r="F7" s="79" t="s">
        <v>476</v>
      </c>
      <c r="G7" s="9" t="s">
        <v>477</v>
      </c>
      <c r="H7" s="117"/>
      <c r="K7" t="s">
        <v>4</v>
      </c>
    </row>
    <row r="8" spans="2:11" x14ac:dyDescent="0.25">
      <c r="B8" s="32" t="s">
        <v>435</v>
      </c>
      <c r="C8" s="34" t="s">
        <v>436</v>
      </c>
      <c r="D8" s="109">
        <v>2</v>
      </c>
      <c r="F8" s="79" t="s">
        <v>478</v>
      </c>
      <c r="G8" s="9" t="s">
        <v>479</v>
      </c>
      <c r="H8" s="117"/>
    </row>
    <row r="9" spans="2:11" x14ac:dyDescent="0.25">
      <c r="B9" s="32" t="s">
        <v>437</v>
      </c>
      <c r="C9" s="34" t="s">
        <v>438</v>
      </c>
      <c r="D9" s="109">
        <v>2</v>
      </c>
      <c r="F9" s="263" t="s">
        <v>480</v>
      </c>
      <c r="G9" s="272" t="s">
        <v>481</v>
      </c>
      <c r="H9" s="258"/>
    </row>
    <row r="10" spans="2:11" x14ac:dyDescent="0.25">
      <c r="B10" s="312" t="s">
        <v>451</v>
      </c>
      <c r="C10" s="293"/>
      <c r="D10" s="294"/>
      <c r="F10" s="268"/>
      <c r="G10" s="295"/>
      <c r="H10" s="259"/>
    </row>
    <row r="11" spans="2:11" x14ac:dyDescent="0.25">
      <c r="B11" s="263" t="s">
        <v>439</v>
      </c>
      <c r="C11" s="261" t="s">
        <v>452</v>
      </c>
      <c r="D11" s="258">
        <v>2</v>
      </c>
      <c r="F11" s="268"/>
      <c r="G11" s="295"/>
      <c r="H11" s="259"/>
    </row>
    <row r="12" spans="2:11" x14ac:dyDescent="0.25">
      <c r="B12" s="264"/>
      <c r="C12" s="262"/>
      <c r="D12" s="260"/>
      <c r="F12" s="268"/>
      <c r="G12" s="295"/>
      <c r="H12" s="259"/>
    </row>
    <row r="13" spans="2:11" x14ac:dyDescent="0.25">
      <c r="B13" s="263" t="s">
        <v>440</v>
      </c>
      <c r="C13" s="261" t="s">
        <v>453</v>
      </c>
      <c r="D13" s="258">
        <v>2</v>
      </c>
      <c r="F13" s="264"/>
      <c r="G13" s="296"/>
      <c r="H13" s="260"/>
    </row>
    <row r="14" spans="2:11" x14ac:dyDescent="0.25">
      <c r="B14" s="264"/>
      <c r="C14" s="262"/>
      <c r="D14" s="260"/>
      <c r="F14" s="79" t="s">
        <v>482</v>
      </c>
      <c r="G14" s="9" t="s">
        <v>483</v>
      </c>
      <c r="H14" s="117"/>
    </row>
    <row r="15" spans="2:11" x14ac:dyDescent="0.25">
      <c r="B15" s="32" t="s">
        <v>441</v>
      </c>
      <c r="C15" s="34" t="s">
        <v>454</v>
      </c>
      <c r="D15" s="109">
        <v>2</v>
      </c>
      <c r="F15" s="309" t="s">
        <v>98</v>
      </c>
      <c r="G15" s="310"/>
      <c r="H15" s="311"/>
    </row>
    <row r="16" spans="2:11" x14ac:dyDescent="0.25">
      <c r="B16" s="32" t="s">
        <v>442</v>
      </c>
      <c r="C16" s="34" t="s">
        <v>455</v>
      </c>
      <c r="D16" s="109"/>
      <c r="F16" s="263" t="s">
        <v>484</v>
      </c>
      <c r="G16" s="272" t="s">
        <v>485</v>
      </c>
      <c r="H16" s="258"/>
    </row>
    <row r="17" spans="2:8" x14ac:dyDescent="0.25">
      <c r="B17" s="32" t="s">
        <v>443</v>
      </c>
      <c r="C17" s="34" t="s">
        <v>456</v>
      </c>
      <c r="D17" s="109"/>
      <c r="F17" s="268"/>
      <c r="G17" s="295"/>
      <c r="H17" s="259"/>
    </row>
    <row r="18" spans="2:8" x14ac:dyDescent="0.25">
      <c r="B18" s="312" t="s">
        <v>73</v>
      </c>
      <c r="C18" s="293"/>
      <c r="D18" s="294"/>
      <c r="F18" s="268"/>
      <c r="G18" s="295"/>
      <c r="H18" s="259"/>
    </row>
    <row r="19" spans="2:8" x14ac:dyDescent="0.25">
      <c r="B19" s="32" t="s">
        <v>444</v>
      </c>
      <c r="C19" s="34" t="s">
        <v>445</v>
      </c>
      <c r="D19" s="109"/>
      <c r="F19" s="268"/>
      <c r="G19" s="295"/>
      <c r="H19" s="259"/>
    </row>
    <row r="20" spans="2:8" x14ac:dyDescent="0.25">
      <c r="B20" s="263" t="s">
        <v>446</v>
      </c>
      <c r="C20" s="261" t="s">
        <v>457</v>
      </c>
      <c r="D20" s="258"/>
      <c r="F20" s="264"/>
      <c r="G20" s="296"/>
      <c r="H20" s="260"/>
    </row>
    <row r="21" spans="2:8" x14ac:dyDescent="0.25">
      <c r="B21" s="264"/>
      <c r="C21" s="262"/>
      <c r="D21" s="260"/>
      <c r="F21" s="263" t="s">
        <v>486</v>
      </c>
      <c r="G21" s="272" t="s">
        <v>487</v>
      </c>
      <c r="H21" s="258"/>
    </row>
    <row r="22" spans="2:8" x14ac:dyDescent="0.25">
      <c r="B22" s="32" t="s">
        <v>447</v>
      </c>
      <c r="C22" s="34" t="s">
        <v>448</v>
      </c>
      <c r="D22" s="109"/>
      <c r="F22" s="264"/>
      <c r="G22" s="273"/>
      <c r="H22" s="260"/>
    </row>
    <row r="23" spans="2:8" x14ac:dyDescent="0.25">
      <c r="B23" s="263" t="s">
        <v>449</v>
      </c>
      <c r="C23" s="261" t="s">
        <v>458</v>
      </c>
      <c r="D23" s="258"/>
      <c r="F23" s="303" t="s">
        <v>488</v>
      </c>
      <c r="G23" s="300" t="s">
        <v>489</v>
      </c>
      <c r="H23" s="307"/>
    </row>
    <row r="24" spans="2:8" x14ac:dyDescent="0.25">
      <c r="B24" s="264"/>
      <c r="C24" s="262"/>
      <c r="D24" s="260"/>
      <c r="F24" s="304"/>
      <c r="G24" s="270"/>
      <c r="H24" s="292"/>
    </row>
    <row r="25" spans="2:8" x14ac:dyDescent="0.25">
      <c r="B25" s="32" t="s">
        <v>450</v>
      </c>
      <c r="C25" s="34" t="s">
        <v>459</v>
      </c>
      <c r="D25" s="109"/>
      <c r="F25" s="304"/>
      <c r="G25" s="270"/>
      <c r="H25" s="292"/>
    </row>
    <row r="26" spans="2:8" x14ac:dyDescent="0.25">
      <c r="B26" s="312" t="s">
        <v>74</v>
      </c>
      <c r="C26" s="293"/>
      <c r="D26" s="294"/>
      <c r="F26" s="304"/>
      <c r="G26" s="270"/>
      <c r="H26" s="292"/>
    </row>
    <row r="27" spans="2:8" x14ac:dyDescent="0.25">
      <c r="B27" s="263" t="s">
        <v>460</v>
      </c>
      <c r="C27" s="261" t="s">
        <v>461</v>
      </c>
      <c r="D27" s="258"/>
      <c r="F27" s="304"/>
      <c r="G27" s="270"/>
      <c r="H27" s="292"/>
    </row>
    <row r="28" spans="2:8" x14ac:dyDescent="0.25">
      <c r="B28" s="264"/>
      <c r="C28" s="262"/>
      <c r="D28" s="260"/>
      <c r="F28" s="304"/>
      <c r="G28" s="270"/>
      <c r="H28" s="292"/>
    </row>
    <row r="29" spans="2:8" x14ac:dyDescent="0.25">
      <c r="B29" s="32" t="s">
        <v>462</v>
      </c>
      <c r="C29" s="34" t="s">
        <v>463</v>
      </c>
      <c r="D29" s="109"/>
      <c r="F29" s="304"/>
      <c r="G29" s="270"/>
      <c r="H29" s="292"/>
    </row>
    <row r="30" spans="2:8" x14ac:dyDescent="0.25">
      <c r="B30" s="32" t="s">
        <v>464</v>
      </c>
      <c r="C30" s="34" t="s">
        <v>465</v>
      </c>
      <c r="D30" s="109"/>
      <c r="F30" s="304"/>
      <c r="G30" s="270"/>
      <c r="H30" s="292"/>
    </row>
    <row r="31" spans="2:8" ht="13.5" customHeight="1" x14ac:dyDescent="0.25">
      <c r="B31" s="263" t="s">
        <v>466</v>
      </c>
      <c r="C31" s="261" t="s">
        <v>467</v>
      </c>
      <c r="D31" s="258"/>
      <c r="F31" s="304"/>
      <c r="G31" s="270"/>
      <c r="H31" s="292"/>
    </row>
    <row r="32" spans="2:8" x14ac:dyDescent="0.25">
      <c r="B32" s="264"/>
      <c r="C32" s="262"/>
      <c r="D32" s="260"/>
      <c r="F32" s="304"/>
      <c r="G32" s="270"/>
      <c r="H32" s="292"/>
    </row>
    <row r="33" spans="2:8" x14ac:dyDescent="0.25">
      <c r="B33" s="32" t="s">
        <v>468</v>
      </c>
      <c r="C33" s="34" t="s">
        <v>469</v>
      </c>
      <c r="D33" s="109"/>
      <c r="F33" s="304"/>
      <c r="G33" s="270"/>
      <c r="H33" s="292"/>
    </row>
    <row r="34" spans="2:8" x14ac:dyDescent="0.25">
      <c r="B34" s="263" t="s">
        <v>470</v>
      </c>
      <c r="C34" s="261" t="s">
        <v>471</v>
      </c>
      <c r="D34" s="258"/>
      <c r="F34" s="304"/>
      <c r="G34" s="270"/>
      <c r="H34" s="292"/>
    </row>
    <row r="35" spans="2:8" ht="15.75" thickBot="1" x14ac:dyDescent="0.3">
      <c r="B35" s="264"/>
      <c r="C35" s="262"/>
      <c r="D35" s="260"/>
      <c r="F35" s="305"/>
      <c r="G35" s="306"/>
      <c r="H35" s="308"/>
    </row>
    <row r="36" spans="2:8" x14ac:dyDescent="0.25">
      <c r="B36" s="263" t="s">
        <v>472</v>
      </c>
      <c r="C36" s="261" t="s">
        <v>473</v>
      </c>
      <c r="D36" s="258"/>
    </row>
    <row r="37" spans="2:8" x14ac:dyDescent="0.25">
      <c r="B37" s="268"/>
      <c r="C37" s="297"/>
      <c r="D37" s="259"/>
    </row>
    <row r="38" spans="2:8" x14ac:dyDescent="0.25">
      <c r="B38" s="268"/>
      <c r="C38" s="297"/>
      <c r="D38" s="259"/>
    </row>
    <row r="39" spans="2:8" x14ac:dyDescent="0.25">
      <c r="B39" s="268"/>
      <c r="C39" s="297"/>
      <c r="D39" s="259"/>
    </row>
    <row r="40" spans="2:8" ht="15.75" thickBot="1" x14ac:dyDescent="0.3">
      <c r="B40" s="279"/>
      <c r="C40" s="298"/>
      <c r="D40" s="281"/>
    </row>
  </sheetData>
  <sheetProtection algorithmName="SHA-512" hashValue="cawHEMAH84t0OpMA8KZ6itId47l1KBdzmAvdNLp3rdg1gI6qksN2SatHJrdEQeJS+CD047Gx+4mWl0C0+KLT+A==" saltValue="uiIFuDvvLbAq4GjErl6AGQ==" spinCount="100000" sheet="1" selectLockedCells="1"/>
  <mergeCells count="46">
    <mergeCell ref="B3:B4"/>
    <mergeCell ref="C3:C4"/>
    <mergeCell ref="F3:F4"/>
    <mergeCell ref="G3:G4"/>
    <mergeCell ref="B5:D5"/>
    <mergeCell ref="F5:H5"/>
    <mergeCell ref="H9:H13"/>
    <mergeCell ref="B18:D18"/>
    <mergeCell ref="B10:D10"/>
    <mergeCell ref="F9:F13"/>
    <mergeCell ref="G9:G13"/>
    <mergeCell ref="B11:B12"/>
    <mergeCell ref="C11:C12"/>
    <mergeCell ref="D11:D12"/>
    <mergeCell ref="B13:B14"/>
    <mergeCell ref="C13:C14"/>
    <mergeCell ref="D13:D14"/>
    <mergeCell ref="B20:B21"/>
    <mergeCell ref="C20:C21"/>
    <mergeCell ref="D20:D21"/>
    <mergeCell ref="B23:B24"/>
    <mergeCell ref="C23:C24"/>
    <mergeCell ref="D23:D24"/>
    <mergeCell ref="B26:D26"/>
    <mergeCell ref="B27:B28"/>
    <mergeCell ref="C27:C28"/>
    <mergeCell ref="D27:D28"/>
    <mergeCell ref="B31:B32"/>
    <mergeCell ref="C31:C32"/>
    <mergeCell ref="D31:D32"/>
    <mergeCell ref="B34:B35"/>
    <mergeCell ref="C34:C35"/>
    <mergeCell ref="D34:D35"/>
    <mergeCell ref="B36:B40"/>
    <mergeCell ref="C36:C40"/>
    <mergeCell ref="D36:D40"/>
    <mergeCell ref="F23:F35"/>
    <mergeCell ref="G23:G35"/>
    <mergeCell ref="H23:H35"/>
    <mergeCell ref="F15:H15"/>
    <mergeCell ref="F16:F20"/>
    <mergeCell ref="G16:G20"/>
    <mergeCell ref="H16:H20"/>
    <mergeCell ref="F21:F22"/>
    <mergeCell ref="G21:G22"/>
    <mergeCell ref="H21:H22"/>
  </mergeCells>
  <conditionalFormatting sqref="D6 D8:D9 D11 D15:D17 D19:D20 D22:D23 D25 D27 D29:D31 D33:D34 D36">
    <cfRule type="cellIs" dxfId="37" priority="1" operator="lessThan">
      <formula>0</formula>
    </cfRule>
    <cfRule type="cellIs" dxfId="36" priority="2" operator="greaterThan">
      <formula>3</formula>
    </cfRule>
  </conditionalFormatting>
  <conditionalFormatting sqref="K8">
    <cfRule type="cellIs" dxfId="35" priority="3" operator="greaterThan">
      <formula>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6872-E2FC-42DE-8BD8-42D0CBDB912E}">
  <sheetPr codeName="Sheet5"/>
  <dimension ref="B1:H21"/>
  <sheetViews>
    <sheetView workbookViewId="0">
      <selection activeCell="D9" sqref="D9"/>
    </sheetView>
  </sheetViews>
  <sheetFormatPr defaultRowHeight="15" x14ac:dyDescent="0.25"/>
  <cols>
    <col min="1" max="1" width="5.28515625" customWidth="1"/>
    <col min="2" max="2" width="7.5703125" customWidth="1"/>
    <col min="3" max="3" width="53.42578125" customWidth="1"/>
    <col min="4" max="4" width="9.42578125" style="2" customWidth="1"/>
    <col min="6" max="6" width="7.5703125" style="2" customWidth="1"/>
    <col min="7" max="7" width="52" customWidth="1"/>
    <col min="8" max="8" width="9.140625" style="2"/>
  </cols>
  <sheetData>
    <row r="1" spans="2:8" ht="21" x14ac:dyDescent="0.35">
      <c r="B1" s="1" t="s">
        <v>169</v>
      </c>
    </row>
    <row r="2" spans="2:8" ht="15.75" thickBot="1" x14ac:dyDescent="0.3">
      <c r="B2" s="4" t="s">
        <v>232</v>
      </c>
      <c r="F2" s="4" t="s">
        <v>232</v>
      </c>
    </row>
    <row r="3" spans="2:8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2:8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2:8" x14ac:dyDescent="0.25">
      <c r="B5" s="224" t="s">
        <v>73</v>
      </c>
      <c r="C5" s="225"/>
      <c r="D5" s="253"/>
      <c r="F5" s="285" t="s">
        <v>98</v>
      </c>
      <c r="G5" s="286"/>
      <c r="H5" s="287"/>
    </row>
    <row r="6" spans="2:8" x14ac:dyDescent="0.25">
      <c r="B6" s="32" t="s">
        <v>233</v>
      </c>
      <c r="C6" s="34" t="s">
        <v>234</v>
      </c>
      <c r="D6" s="109">
        <v>2</v>
      </c>
      <c r="F6" s="31" t="s">
        <v>258</v>
      </c>
      <c r="G6" s="9" t="s">
        <v>259</v>
      </c>
      <c r="H6" s="109"/>
    </row>
    <row r="7" spans="2:8" x14ac:dyDescent="0.25">
      <c r="B7" s="32" t="s">
        <v>235</v>
      </c>
      <c r="C7" s="34" t="s">
        <v>236</v>
      </c>
      <c r="D7" s="109">
        <v>2</v>
      </c>
      <c r="F7" s="31" t="s">
        <v>260</v>
      </c>
      <c r="G7" s="9" t="s">
        <v>261</v>
      </c>
      <c r="H7" s="109"/>
    </row>
    <row r="8" spans="2:8" x14ac:dyDescent="0.25">
      <c r="B8" s="242" t="s">
        <v>237</v>
      </c>
      <c r="C8" s="243"/>
      <c r="D8" s="244"/>
      <c r="F8" s="31" t="s">
        <v>262</v>
      </c>
      <c r="G8" s="9" t="s">
        <v>263</v>
      </c>
      <c r="H8" s="109"/>
    </row>
    <row r="9" spans="2:8" x14ac:dyDescent="0.25">
      <c r="B9" s="31" t="s">
        <v>238</v>
      </c>
      <c r="C9" s="9" t="s">
        <v>239</v>
      </c>
      <c r="D9" s="109">
        <v>2</v>
      </c>
      <c r="E9" t="s">
        <v>4</v>
      </c>
      <c r="F9" s="32" t="s">
        <v>264</v>
      </c>
      <c r="G9" s="65" t="s">
        <v>265</v>
      </c>
      <c r="H9" s="109"/>
    </row>
    <row r="10" spans="2:8" x14ac:dyDescent="0.25">
      <c r="B10" s="31" t="s">
        <v>240</v>
      </c>
      <c r="C10" s="9" t="s">
        <v>241</v>
      </c>
      <c r="D10" s="109"/>
      <c r="F10" s="263" t="s">
        <v>266</v>
      </c>
      <c r="G10" s="272" t="s">
        <v>267</v>
      </c>
      <c r="H10" s="258"/>
    </row>
    <row r="11" spans="2:8" x14ac:dyDescent="0.25">
      <c r="B11" s="32" t="s">
        <v>242</v>
      </c>
      <c r="C11" s="65" t="s">
        <v>243</v>
      </c>
      <c r="D11" s="109"/>
      <c r="F11" s="264"/>
      <c r="G11" s="273"/>
      <c r="H11" s="260"/>
    </row>
    <row r="12" spans="2:8" x14ac:dyDescent="0.25">
      <c r="B12" s="276" t="s">
        <v>74</v>
      </c>
      <c r="C12" s="293"/>
      <c r="D12" s="294"/>
      <c r="F12" s="31" t="s">
        <v>268</v>
      </c>
      <c r="G12" s="9" t="s">
        <v>269</v>
      </c>
      <c r="H12" s="109"/>
    </row>
    <row r="13" spans="2:8" x14ac:dyDescent="0.25">
      <c r="B13" s="32" t="s">
        <v>244</v>
      </c>
      <c r="C13" s="65" t="s">
        <v>245</v>
      </c>
      <c r="D13" s="109"/>
      <c r="F13" s="263" t="s">
        <v>270</v>
      </c>
      <c r="G13" s="282" t="s">
        <v>271</v>
      </c>
      <c r="H13" s="258"/>
    </row>
    <row r="14" spans="2:8" x14ac:dyDescent="0.25">
      <c r="B14" s="263" t="s">
        <v>246</v>
      </c>
      <c r="C14" s="272" t="s">
        <v>247</v>
      </c>
      <c r="D14" s="258"/>
      <c r="F14" s="264"/>
      <c r="G14" s="283"/>
      <c r="H14" s="260"/>
    </row>
    <row r="15" spans="2:8" x14ac:dyDescent="0.25">
      <c r="B15" s="264"/>
      <c r="C15" s="273"/>
      <c r="D15" s="260"/>
      <c r="F15" s="32" t="s">
        <v>272</v>
      </c>
      <c r="G15" s="34" t="s">
        <v>273</v>
      </c>
      <c r="H15" s="109"/>
    </row>
    <row r="16" spans="2:8" x14ac:dyDescent="0.25">
      <c r="B16" s="265" t="s">
        <v>85</v>
      </c>
      <c r="C16" s="266"/>
      <c r="D16" s="267"/>
      <c r="F16" s="263" t="s">
        <v>274</v>
      </c>
      <c r="G16" s="272" t="s">
        <v>275</v>
      </c>
      <c r="H16" s="258"/>
    </row>
    <row r="17" spans="2:8" x14ac:dyDescent="0.25">
      <c r="B17" s="32" t="s">
        <v>248</v>
      </c>
      <c r="C17" s="67" t="s">
        <v>249</v>
      </c>
      <c r="D17" s="109"/>
      <c r="F17" s="264"/>
      <c r="G17" s="273"/>
      <c r="H17" s="260"/>
    </row>
    <row r="18" spans="2:8" x14ac:dyDescent="0.25">
      <c r="B18" s="43" t="s">
        <v>250</v>
      </c>
      <c r="C18" s="66" t="s">
        <v>251</v>
      </c>
      <c r="D18" s="109"/>
      <c r="F18" s="43" t="s">
        <v>276</v>
      </c>
      <c r="G18" s="53" t="s">
        <v>277</v>
      </c>
      <c r="H18" s="109"/>
    </row>
    <row r="19" spans="2:8" ht="15.75" customHeight="1" x14ac:dyDescent="0.25">
      <c r="B19" s="43" t="s">
        <v>252</v>
      </c>
      <c r="C19" s="66" t="s">
        <v>253</v>
      </c>
      <c r="D19" s="109"/>
      <c r="F19" s="31" t="s">
        <v>278</v>
      </c>
      <c r="G19" s="9" t="s">
        <v>279</v>
      </c>
      <c r="H19" s="109"/>
    </row>
    <row r="20" spans="2:8" x14ac:dyDescent="0.25">
      <c r="B20" s="43" t="s">
        <v>254</v>
      </c>
      <c r="C20" s="66" t="s">
        <v>255</v>
      </c>
      <c r="D20" s="109"/>
      <c r="F20" s="31" t="s">
        <v>280</v>
      </c>
      <c r="G20" s="9" t="s">
        <v>281</v>
      </c>
      <c r="H20" s="109"/>
    </row>
    <row r="21" spans="2:8" ht="15.75" thickBot="1" x14ac:dyDescent="0.3">
      <c r="B21" s="33" t="s">
        <v>256</v>
      </c>
      <c r="C21" s="18" t="s">
        <v>257</v>
      </c>
      <c r="D21" s="115"/>
      <c r="F21" s="33" t="s">
        <v>282</v>
      </c>
      <c r="G21" s="18" t="s">
        <v>283</v>
      </c>
      <c r="H21" s="115"/>
    </row>
  </sheetData>
  <sheetProtection sheet="1" selectLockedCells="1"/>
  <mergeCells count="21">
    <mergeCell ref="G3:G4"/>
    <mergeCell ref="B5:D5"/>
    <mergeCell ref="F5:H5"/>
    <mergeCell ref="B8:D8"/>
    <mergeCell ref="B12:D12"/>
    <mergeCell ref="B3:B4"/>
    <mergeCell ref="C3:C4"/>
    <mergeCell ref="F3:F4"/>
    <mergeCell ref="F10:F11"/>
    <mergeCell ref="G10:G11"/>
    <mergeCell ref="H10:H11"/>
    <mergeCell ref="G13:G14"/>
    <mergeCell ref="H13:H14"/>
    <mergeCell ref="F16:F17"/>
    <mergeCell ref="G16:G17"/>
    <mergeCell ref="H16:H17"/>
    <mergeCell ref="B14:B15"/>
    <mergeCell ref="C14:C15"/>
    <mergeCell ref="D14:D15"/>
    <mergeCell ref="B16:D16"/>
    <mergeCell ref="F13:F14"/>
  </mergeCells>
  <conditionalFormatting sqref="D6:D7">
    <cfRule type="cellIs" dxfId="34" priority="34" operator="greaterThan">
      <formula>2</formula>
    </cfRule>
  </conditionalFormatting>
  <conditionalFormatting sqref="D6:D11">
    <cfRule type="cellIs" dxfId="33" priority="31" operator="lessThan">
      <formula>0</formula>
    </cfRule>
    <cfRule type="cellIs" dxfId="32" priority="38" operator="greaterThan">
      <formula>3</formula>
    </cfRule>
  </conditionalFormatting>
  <conditionalFormatting sqref="D9:D11">
    <cfRule type="cellIs" dxfId="31" priority="32" operator="greaterThan">
      <formula>2</formula>
    </cfRule>
  </conditionalFormatting>
  <conditionalFormatting sqref="D13">
    <cfRule type="cellIs" dxfId="30" priority="27" operator="lessThan">
      <formula>0</formula>
    </cfRule>
    <cfRule type="cellIs" dxfId="29" priority="28" operator="greaterThan">
      <formula>2</formula>
    </cfRule>
    <cfRule type="cellIs" dxfId="28" priority="30" operator="greaterThan">
      <formula>3</formula>
    </cfRule>
  </conditionalFormatting>
  <conditionalFormatting sqref="D17:D21">
    <cfRule type="cellIs" dxfId="27" priority="23" operator="lessThan">
      <formula>0</formula>
    </cfRule>
    <cfRule type="cellIs" dxfId="26" priority="24" operator="greaterThan">
      <formula>2</formula>
    </cfRule>
    <cfRule type="cellIs" dxfId="25" priority="26" operator="greaterThan">
      <formula>3</formula>
    </cfRule>
  </conditionalFormatting>
  <conditionalFormatting sqref="H6:H9">
    <cfRule type="cellIs" dxfId="24" priority="22" operator="greaterThan">
      <formula>3</formula>
    </cfRule>
  </conditionalFormatting>
  <conditionalFormatting sqref="H6:H21">
    <cfRule type="cellIs" dxfId="23" priority="1" operator="lessThan">
      <formula>0</formula>
    </cfRule>
    <cfRule type="cellIs" dxfId="22" priority="2" operator="greaterThan">
      <formula>2</formula>
    </cfRule>
  </conditionalFormatting>
  <conditionalFormatting sqref="H12">
    <cfRule type="cellIs" dxfId="21" priority="18" operator="greaterThan">
      <formula>3</formula>
    </cfRule>
  </conditionalFormatting>
  <conditionalFormatting sqref="H15">
    <cfRule type="cellIs" dxfId="20" priority="14" operator="greaterThan">
      <formula>3</formula>
    </cfRule>
  </conditionalFormatting>
  <conditionalFormatting sqref="H18:H21">
    <cfRule type="cellIs" dxfId="19" priority="10" operator="greaterThan">
      <formula>3</formula>
    </cfRule>
  </conditionalFormatting>
  <conditionalFormatting sqref="K8">
    <cfRule type="cellIs" dxfId="18" priority="39" operator="greaterThan">
      <formula>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9286-9F3F-42DA-A1E0-99BEE050DD29}">
  <sheetPr codeName="Sheet9"/>
  <dimension ref="B1:K38"/>
  <sheetViews>
    <sheetView topLeftCell="A10" workbookViewId="0">
      <selection activeCell="D29" sqref="D29:D30"/>
    </sheetView>
  </sheetViews>
  <sheetFormatPr defaultRowHeight="15" x14ac:dyDescent="0.25"/>
  <cols>
    <col min="1" max="1" width="5.28515625" customWidth="1"/>
    <col min="2" max="2" width="7.5703125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11" ht="21" x14ac:dyDescent="0.35">
      <c r="B1" s="1" t="s">
        <v>44</v>
      </c>
    </row>
    <row r="2" spans="2:11" ht="15.75" thickBot="1" x14ac:dyDescent="0.3">
      <c r="B2" s="4" t="s">
        <v>45</v>
      </c>
      <c r="F2" s="4" t="s">
        <v>45</v>
      </c>
    </row>
    <row r="3" spans="2:11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2:11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2:11" x14ac:dyDescent="0.25">
      <c r="B5" s="224" t="s">
        <v>490</v>
      </c>
      <c r="C5" s="225"/>
      <c r="D5" s="253"/>
      <c r="F5" s="73"/>
      <c r="G5" s="74" t="s">
        <v>191</v>
      </c>
      <c r="H5" s="80"/>
    </row>
    <row r="6" spans="2:11" ht="15.75" customHeight="1" x14ac:dyDescent="0.25">
      <c r="B6" s="263" t="s">
        <v>491</v>
      </c>
      <c r="C6" s="261" t="s">
        <v>492</v>
      </c>
      <c r="D6" s="258">
        <v>2</v>
      </c>
      <c r="F6" s="79" t="s">
        <v>530</v>
      </c>
      <c r="G6" s="9" t="s">
        <v>531</v>
      </c>
      <c r="H6" s="117"/>
    </row>
    <row r="7" spans="2:11" x14ac:dyDescent="0.25">
      <c r="B7" s="264"/>
      <c r="C7" s="262"/>
      <c r="D7" s="260"/>
      <c r="F7" s="79" t="s">
        <v>532</v>
      </c>
      <c r="G7" s="9" t="s">
        <v>533</v>
      </c>
      <c r="H7" s="117"/>
      <c r="K7" t="s">
        <v>4</v>
      </c>
    </row>
    <row r="8" spans="2:11" x14ac:dyDescent="0.25">
      <c r="B8" s="32" t="s">
        <v>493</v>
      </c>
      <c r="C8" s="34" t="s">
        <v>494</v>
      </c>
      <c r="D8" s="109">
        <v>2</v>
      </c>
      <c r="F8" s="32" t="s">
        <v>534</v>
      </c>
      <c r="G8" s="77" t="s">
        <v>535</v>
      </c>
      <c r="H8" s="109"/>
    </row>
    <row r="9" spans="2:11" x14ac:dyDescent="0.25">
      <c r="B9" s="263" t="s">
        <v>495</v>
      </c>
      <c r="C9" s="261" t="s">
        <v>496</v>
      </c>
      <c r="D9" s="258">
        <v>2</v>
      </c>
      <c r="F9" s="263" t="s">
        <v>536</v>
      </c>
      <c r="G9" s="272" t="s">
        <v>537</v>
      </c>
      <c r="H9" s="258"/>
    </row>
    <row r="10" spans="2:11" x14ac:dyDescent="0.25">
      <c r="B10" s="264"/>
      <c r="C10" s="262"/>
      <c r="D10" s="260"/>
      <c r="F10" s="264"/>
      <c r="G10" s="273"/>
      <c r="H10" s="260"/>
    </row>
    <row r="11" spans="2:11" x14ac:dyDescent="0.25">
      <c r="B11" s="263" t="s">
        <v>497</v>
      </c>
      <c r="C11" s="261" t="s">
        <v>498</v>
      </c>
      <c r="D11" s="258">
        <v>2</v>
      </c>
      <c r="F11" s="312" t="s">
        <v>73</v>
      </c>
      <c r="G11" s="293"/>
      <c r="H11" s="294"/>
    </row>
    <row r="12" spans="2:11" x14ac:dyDescent="0.25">
      <c r="B12" s="264"/>
      <c r="C12" s="262"/>
      <c r="D12" s="260"/>
      <c r="F12" s="263" t="s">
        <v>538</v>
      </c>
      <c r="G12" s="272" t="s">
        <v>539</v>
      </c>
      <c r="H12" s="258"/>
    </row>
    <row r="13" spans="2:11" x14ac:dyDescent="0.25">
      <c r="B13" s="32" t="s">
        <v>499</v>
      </c>
      <c r="C13" s="34" t="s">
        <v>500</v>
      </c>
      <c r="D13" s="109">
        <v>2</v>
      </c>
      <c r="F13" s="264"/>
      <c r="G13" s="273"/>
      <c r="H13" s="260"/>
    </row>
    <row r="14" spans="2:11" x14ac:dyDescent="0.25">
      <c r="B14" s="312" t="s">
        <v>501</v>
      </c>
      <c r="C14" s="293"/>
      <c r="D14" s="294"/>
      <c r="F14" s="32" t="s">
        <v>540</v>
      </c>
      <c r="G14" s="77" t="s">
        <v>541</v>
      </c>
      <c r="H14" s="109"/>
    </row>
    <row r="15" spans="2:11" x14ac:dyDescent="0.25">
      <c r="B15" s="263" t="s">
        <v>502</v>
      </c>
      <c r="C15" s="261" t="s">
        <v>503</v>
      </c>
      <c r="D15" s="258">
        <v>2</v>
      </c>
      <c r="F15" s="79" t="s">
        <v>543</v>
      </c>
      <c r="G15" s="9" t="s">
        <v>542</v>
      </c>
      <c r="H15" s="117"/>
    </row>
    <row r="16" spans="2:11" x14ac:dyDescent="0.25">
      <c r="B16" s="264"/>
      <c r="C16" s="262"/>
      <c r="D16" s="260"/>
      <c r="F16" s="309" t="s">
        <v>74</v>
      </c>
      <c r="G16" s="310"/>
      <c r="H16" s="311"/>
    </row>
    <row r="17" spans="2:8" x14ac:dyDescent="0.25">
      <c r="B17" s="263" t="s">
        <v>504</v>
      </c>
      <c r="C17" s="261" t="s">
        <v>505</v>
      </c>
      <c r="D17" s="258">
        <v>2</v>
      </c>
      <c r="F17" s="32" t="s">
        <v>545</v>
      </c>
      <c r="G17" s="65" t="s">
        <v>544</v>
      </c>
      <c r="H17" s="109"/>
    </row>
    <row r="18" spans="2:8" x14ac:dyDescent="0.25">
      <c r="B18" s="264"/>
      <c r="C18" s="262"/>
      <c r="D18" s="260"/>
      <c r="F18" s="32" t="s">
        <v>546</v>
      </c>
      <c r="G18" s="77" t="s">
        <v>547</v>
      </c>
      <c r="H18" s="109"/>
    </row>
    <row r="19" spans="2:8" x14ac:dyDescent="0.25">
      <c r="B19" s="32" t="s">
        <v>506</v>
      </c>
      <c r="C19" s="34" t="s">
        <v>507</v>
      </c>
      <c r="D19" s="109">
        <v>2</v>
      </c>
      <c r="F19" s="32" t="s">
        <v>548</v>
      </c>
      <c r="G19" s="77" t="s">
        <v>549</v>
      </c>
      <c r="H19" s="109"/>
    </row>
    <row r="20" spans="2:8" x14ac:dyDescent="0.25">
      <c r="B20" s="32" t="s">
        <v>508</v>
      </c>
      <c r="C20" s="34" t="s">
        <v>509</v>
      </c>
      <c r="D20" s="109">
        <v>2</v>
      </c>
      <c r="F20" s="32" t="s">
        <v>550</v>
      </c>
      <c r="G20" s="77" t="s">
        <v>551</v>
      </c>
      <c r="H20" s="109"/>
    </row>
    <row r="21" spans="2:8" x14ac:dyDescent="0.25">
      <c r="B21" s="32" t="s">
        <v>510</v>
      </c>
      <c r="C21" s="34" t="s">
        <v>511</v>
      </c>
      <c r="D21" s="109">
        <v>2</v>
      </c>
      <c r="F21" s="32" t="s">
        <v>552</v>
      </c>
      <c r="G21" s="77" t="s">
        <v>553</v>
      </c>
      <c r="H21" s="109"/>
    </row>
    <row r="22" spans="2:8" x14ac:dyDescent="0.25">
      <c r="B22" s="32" t="s">
        <v>512</v>
      </c>
      <c r="C22" s="34" t="s">
        <v>513</v>
      </c>
      <c r="D22" s="109">
        <v>2</v>
      </c>
      <c r="F22" s="32" t="s">
        <v>554</v>
      </c>
      <c r="G22" s="65" t="s">
        <v>555</v>
      </c>
      <c r="H22" s="109"/>
    </row>
    <row r="23" spans="2:8" x14ac:dyDescent="0.25">
      <c r="B23" s="263" t="s">
        <v>514</v>
      </c>
      <c r="C23" s="261" t="s">
        <v>515</v>
      </c>
      <c r="D23" s="258">
        <v>2</v>
      </c>
      <c r="F23" s="312" t="s">
        <v>85</v>
      </c>
      <c r="G23" s="293"/>
      <c r="H23" s="294"/>
    </row>
    <row r="24" spans="2:8" x14ac:dyDescent="0.25">
      <c r="B24" s="264"/>
      <c r="C24" s="262"/>
      <c r="D24" s="260"/>
      <c r="F24" s="263" t="s">
        <v>556</v>
      </c>
      <c r="G24" s="272" t="s">
        <v>557</v>
      </c>
      <c r="H24" s="258"/>
    </row>
    <row r="25" spans="2:8" x14ac:dyDescent="0.25">
      <c r="B25" s="32" t="s">
        <v>516</v>
      </c>
      <c r="C25" s="34" t="s">
        <v>517</v>
      </c>
      <c r="D25" s="109">
        <v>2</v>
      </c>
      <c r="F25" s="264"/>
      <c r="G25" s="273"/>
      <c r="H25" s="260"/>
    </row>
    <row r="26" spans="2:8" ht="15" customHeight="1" x14ac:dyDescent="0.25">
      <c r="B26" s="42" t="s">
        <v>518</v>
      </c>
      <c r="C26" s="72" t="s">
        <v>519</v>
      </c>
      <c r="D26" s="113">
        <v>2</v>
      </c>
      <c r="F26" s="79" t="s">
        <v>558</v>
      </c>
      <c r="G26" s="76" t="s">
        <v>559</v>
      </c>
      <c r="H26" s="117"/>
    </row>
    <row r="27" spans="2:8" x14ac:dyDescent="0.25">
      <c r="B27" s="312" t="s">
        <v>178</v>
      </c>
      <c r="C27" s="293"/>
      <c r="D27" s="294"/>
      <c r="F27" s="79" t="s">
        <v>560</v>
      </c>
      <c r="G27" s="76" t="s">
        <v>561</v>
      </c>
      <c r="H27" s="117"/>
    </row>
    <row r="28" spans="2:8" x14ac:dyDescent="0.25">
      <c r="B28" s="32" t="s">
        <v>520</v>
      </c>
      <c r="C28" s="34" t="s">
        <v>521</v>
      </c>
      <c r="D28" s="109">
        <v>2</v>
      </c>
      <c r="F28" s="309" t="s">
        <v>98</v>
      </c>
      <c r="G28" s="310"/>
      <c r="H28" s="311"/>
    </row>
    <row r="29" spans="2:8" x14ac:dyDescent="0.25">
      <c r="B29" s="263" t="s">
        <v>522</v>
      </c>
      <c r="C29" s="261" t="s">
        <v>523</v>
      </c>
      <c r="D29" s="258"/>
      <c r="F29" s="79" t="s">
        <v>562</v>
      </c>
      <c r="G29" s="76" t="s">
        <v>563</v>
      </c>
      <c r="H29" s="117"/>
    </row>
    <row r="30" spans="2:8" x14ac:dyDescent="0.25">
      <c r="B30" s="264"/>
      <c r="C30" s="262"/>
      <c r="D30" s="260"/>
      <c r="F30" s="79" t="s">
        <v>564</v>
      </c>
      <c r="G30" s="76" t="s">
        <v>565</v>
      </c>
      <c r="H30" s="117"/>
    </row>
    <row r="31" spans="2:8" ht="13.5" customHeight="1" x14ac:dyDescent="0.25">
      <c r="B31" s="263" t="s">
        <v>524</v>
      </c>
      <c r="C31" s="314" t="s">
        <v>525</v>
      </c>
      <c r="D31" s="258"/>
      <c r="F31" s="79" t="s">
        <v>566</v>
      </c>
      <c r="G31" s="76" t="s">
        <v>567</v>
      </c>
      <c r="H31" s="117"/>
    </row>
    <row r="32" spans="2:8" x14ac:dyDescent="0.25">
      <c r="B32" s="264"/>
      <c r="C32" s="315"/>
      <c r="D32" s="260"/>
      <c r="F32" s="79" t="s">
        <v>568</v>
      </c>
      <c r="G32" s="76" t="s">
        <v>569</v>
      </c>
      <c r="H32" s="117"/>
    </row>
    <row r="33" spans="2:8" x14ac:dyDescent="0.25">
      <c r="B33" s="32" t="s">
        <v>527</v>
      </c>
      <c r="C33" s="34" t="s">
        <v>526</v>
      </c>
      <c r="D33" s="114"/>
      <c r="F33" s="79" t="s">
        <v>570</v>
      </c>
      <c r="G33" s="76" t="s">
        <v>571</v>
      </c>
      <c r="H33" s="117"/>
    </row>
    <row r="34" spans="2:8" x14ac:dyDescent="0.25">
      <c r="B34" s="263" t="s">
        <v>528</v>
      </c>
      <c r="C34" s="261" t="s">
        <v>529</v>
      </c>
      <c r="D34" s="258"/>
      <c r="F34" s="79" t="s">
        <v>572</v>
      </c>
      <c r="G34" s="76" t="s">
        <v>573</v>
      </c>
      <c r="H34" s="117"/>
    </row>
    <row r="35" spans="2:8" ht="15.75" thickBot="1" x14ac:dyDescent="0.3">
      <c r="B35" s="279"/>
      <c r="C35" s="298"/>
      <c r="D35" s="281"/>
      <c r="F35" s="79" t="s">
        <v>574</v>
      </c>
      <c r="G35" s="76" t="s">
        <v>575</v>
      </c>
      <c r="H35" s="117"/>
    </row>
    <row r="36" spans="2:8" x14ac:dyDescent="0.25">
      <c r="F36" s="79" t="s">
        <v>576</v>
      </c>
      <c r="G36" s="76" t="s">
        <v>577</v>
      </c>
      <c r="H36" s="117"/>
    </row>
    <row r="37" spans="2:8" x14ac:dyDescent="0.25">
      <c r="F37" s="79" t="s">
        <v>578</v>
      </c>
      <c r="G37" s="76" t="s">
        <v>579</v>
      </c>
      <c r="H37" s="117"/>
    </row>
    <row r="38" spans="2:8" ht="15.75" thickBot="1" x14ac:dyDescent="0.3">
      <c r="F38" s="83" t="s">
        <v>580</v>
      </c>
      <c r="G38" s="84" t="s">
        <v>581</v>
      </c>
      <c r="H38" s="118"/>
    </row>
  </sheetData>
  <sheetProtection algorithmName="SHA-512" hashValue="Uv6sFdz5PmNnDEP/R5YJ7M0xAA3ZwSaH++JzCLO3iyoEeV+ItWDc++M4QBHwmjlFFqLo/2EDbt26hUegRB5bHQ==" saltValue="2HHWvQ/jydJNSXl6rnHAKA==" spinCount="100000" sheet="1" selectLockedCells="1"/>
  <mergeCells count="47">
    <mergeCell ref="B3:B4"/>
    <mergeCell ref="C3:C4"/>
    <mergeCell ref="F3:F4"/>
    <mergeCell ref="G3:G4"/>
    <mergeCell ref="B31:B32"/>
    <mergeCell ref="C31:C32"/>
    <mergeCell ref="D31:D32"/>
    <mergeCell ref="D15:D16"/>
    <mergeCell ref="B17:B18"/>
    <mergeCell ref="C17:C18"/>
    <mergeCell ref="D17:D18"/>
    <mergeCell ref="B23:B24"/>
    <mergeCell ref="C23:C24"/>
    <mergeCell ref="D23:D24"/>
    <mergeCell ref="F9:F10"/>
    <mergeCell ref="G9:G10"/>
    <mergeCell ref="B34:B35"/>
    <mergeCell ref="C34:C35"/>
    <mergeCell ref="D34:D35"/>
    <mergeCell ref="B5:D5"/>
    <mergeCell ref="B6:B7"/>
    <mergeCell ref="C6:C7"/>
    <mergeCell ref="D6:D7"/>
    <mergeCell ref="B9:B10"/>
    <mergeCell ref="C9:C10"/>
    <mergeCell ref="D9:D10"/>
    <mergeCell ref="B29:B30"/>
    <mergeCell ref="C29:C30"/>
    <mergeCell ref="D29:D30"/>
    <mergeCell ref="B14:D14"/>
    <mergeCell ref="B15:B16"/>
    <mergeCell ref="C15:C16"/>
    <mergeCell ref="H9:H10"/>
    <mergeCell ref="F11:H11"/>
    <mergeCell ref="B27:D27"/>
    <mergeCell ref="B11:B12"/>
    <mergeCell ref="C11:C12"/>
    <mergeCell ref="D11:D12"/>
    <mergeCell ref="F28:H28"/>
    <mergeCell ref="F12:F13"/>
    <mergeCell ref="G12:G13"/>
    <mergeCell ref="H12:H13"/>
    <mergeCell ref="F16:H16"/>
    <mergeCell ref="F23:H23"/>
    <mergeCell ref="F24:F25"/>
    <mergeCell ref="G24:G25"/>
    <mergeCell ref="H24:H25"/>
  </mergeCells>
  <conditionalFormatting sqref="D6 D8:D9 D13 D15 D17 D19:D22 D26 D28:D29">
    <cfRule type="cellIs" dxfId="17" priority="1" operator="lessThan">
      <formula>0</formula>
    </cfRule>
    <cfRule type="cellIs" dxfId="16" priority="2" operator="greaterThan">
      <formula>3</formula>
    </cfRule>
  </conditionalFormatting>
  <conditionalFormatting sqref="K8">
    <cfRule type="cellIs" dxfId="15" priority="3" operator="greaterThan">
      <formula>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D0B3-BC27-44C8-9AA4-DEC4C00426D5}">
  <sheetPr codeName="Sheet10"/>
  <dimension ref="B1:K31"/>
  <sheetViews>
    <sheetView topLeftCell="A10" workbookViewId="0">
      <selection activeCell="D30" sqref="D30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2:11" ht="21" x14ac:dyDescent="0.35">
      <c r="B1" s="86" t="s">
        <v>44</v>
      </c>
    </row>
    <row r="2" spans="2:11" ht="15.75" thickBot="1" x14ac:dyDescent="0.3">
      <c r="B2" s="7" t="s">
        <v>46</v>
      </c>
      <c r="F2" s="4" t="s">
        <v>46</v>
      </c>
    </row>
    <row r="3" spans="2:11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2:11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2:11" x14ac:dyDescent="0.25">
      <c r="B5" s="52"/>
      <c r="C5" s="38" t="s">
        <v>27</v>
      </c>
      <c r="D5" s="39"/>
      <c r="F5" s="73"/>
      <c r="G5" s="74" t="s">
        <v>85</v>
      </c>
      <c r="H5" s="80"/>
    </row>
    <row r="6" spans="2:11" ht="15.75" customHeight="1" x14ac:dyDescent="0.25">
      <c r="B6" s="263" t="s">
        <v>582</v>
      </c>
      <c r="C6" s="261" t="s">
        <v>583</v>
      </c>
      <c r="D6" s="258">
        <v>2</v>
      </c>
      <c r="F6" s="79" t="s">
        <v>614</v>
      </c>
      <c r="G6" s="9" t="s">
        <v>615</v>
      </c>
      <c r="H6" s="117"/>
    </row>
    <row r="7" spans="2:11" x14ac:dyDescent="0.25">
      <c r="B7" s="264"/>
      <c r="C7" s="262"/>
      <c r="D7" s="260"/>
      <c r="F7" s="303" t="s">
        <v>616</v>
      </c>
      <c r="G7" s="282" t="s">
        <v>617</v>
      </c>
      <c r="H7" s="307"/>
      <c r="K7" t="s">
        <v>4</v>
      </c>
    </row>
    <row r="8" spans="2:11" x14ac:dyDescent="0.25">
      <c r="B8" s="32" t="s">
        <v>584</v>
      </c>
      <c r="C8" s="34" t="s">
        <v>585</v>
      </c>
      <c r="D8" s="109">
        <v>2</v>
      </c>
      <c r="F8" s="291"/>
      <c r="G8" s="283"/>
      <c r="H8" s="289"/>
    </row>
    <row r="9" spans="2:11" x14ac:dyDescent="0.25">
      <c r="B9" s="263" t="s">
        <v>586</v>
      </c>
      <c r="C9" s="261" t="s">
        <v>587</v>
      </c>
      <c r="D9" s="258">
        <v>2</v>
      </c>
      <c r="F9" s="79" t="s">
        <v>618</v>
      </c>
      <c r="G9" s="9" t="s">
        <v>619</v>
      </c>
      <c r="H9" s="117"/>
    </row>
    <row r="10" spans="2:11" x14ac:dyDescent="0.25">
      <c r="B10" s="264"/>
      <c r="C10" s="262"/>
      <c r="D10" s="260"/>
      <c r="F10" s="263" t="s">
        <v>620</v>
      </c>
      <c r="G10" s="272" t="s">
        <v>621</v>
      </c>
      <c r="H10" s="258"/>
    </row>
    <row r="11" spans="2:11" x14ac:dyDescent="0.25">
      <c r="B11" s="32" t="s">
        <v>588</v>
      </c>
      <c r="C11" s="34" t="s">
        <v>589</v>
      </c>
      <c r="D11" s="109">
        <v>2</v>
      </c>
      <c r="F11" s="264"/>
      <c r="G11" s="273"/>
      <c r="H11" s="260"/>
    </row>
    <row r="12" spans="2:11" ht="15" customHeight="1" x14ac:dyDescent="0.25">
      <c r="B12" s="42" t="s">
        <v>590</v>
      </c>
      <c r="C12" s="183" t="s">
        <v>591</v>
      </c>
      <c r="D12" s="113">
        <v>2</v>
      </c>
      <c r="F12" s="32" t="s">
        <v>622</v>
      </c>
      <c r="G12" s="65" t="s">
        <v>623</v>
      </c>
      <c r="H12" s="109"/>
    </row>
    <row r="13" spans="2:11" x14ac:dyDescent="0.25">
      <c r="B13" s="312" t="s">
        <v>178</v>
      </c>
      <c r="C13" s="293"/>
      <c r="D13" s="294"/>
      <c r="F13" s="312" t="s">
        <v>98</v>
      </c>
      <c r="G13" s="293"/>
      <c r="H13" s="294"/>
    </row>
    <row r="14" spans="2:11" x14ac:dyDescent="0.25">
      <c r="B14" s="263" t="s">
        <v>592</v>
      </c>
      <c r="C14" s="261" t="s">
        <v>593</v>
      </c>
      <c r="D14" s="258">
        <v>2</v>
      </c>
      <c r="F14" s="32" t="s">
        <v>624</v>
      </c>
      <c r="G14" s="65" t="s">
        <v>625</v>
      </c>
      <c r="H14" s="109"/>
    </row>
    <row r="15" spans="2:11" x14ac:dyDescent="0.25">
      <c r="B15" s="264"/>
      <c r="C15" s="262"/>
      <c r="D15" s="260"/>
      <c r="F15" s="32" t="s">
        <v>626</v>
      </c>
      <c r="G15" s="65" t="s">
        <v>627</v>
      </c>
      <c r="H15" s="109"/>
    </row>
    <row r="16" spans="2:11" x14ac:dyDescent="0.25">
      <c r="B16" s="32" t="s">
        <v>594</v>
      </c>
      <c r="C16" s="34" t="s">
        <v>595</v>
      </c>
      <c r="D16" s="109">
        <v>2</v>
      </c>
      <c r="F16" s="263" t="s">
        <v>628</v>
      </c>
      <c r="G16" s="272" t="s">
        <v>629</v>
      </c>
      <c r="H16" s="258"/>
    </row>
    <row r="17" spans="2:8" x14ac:dyDescent="0.25">
      <c r="B17" s="263" t="s">
        <v>596</v>
      </c>
      <c r="C17" s="261" t="s">
        <v>597</v>
      </c>
      <c r="D17" s="258">
        <v>2</v>
      </c>
      <c r="F17" s="264"/>
      <c r="G17" s="273"/>
      <c r="H17" s="260"/>
    </row>
    <row r="18" spans="2:8" x14ac:dyDescent="0.25">
      <c r="B18" s="264"/>
      <c r="C18" s="262"/>
      <c r="D18" s="260"/>
      <c r="F18" s="32" t="s">
        <v>630</v>
      </c>
      <c r="G18" s="65" t="s">
        <v>631</v>
      </c>
      <c r="H18" s="109"/>
    </row>
    <row r="19" spans="2:8" x14ac:dyDescent="0.25">
      <c r="B19" s="312" t="s">
        <v>191</v>
      </c>
      <c r="C19" s="293"/>
      <c r="D19" s="294"/>
      <c r="F19" s="32" t="s">
        <v>632</v>
      </c>
      <c r="G19" s="77" t="s">
        <v>633</v>
      </c>
      <c r="H19" s="109"/>
    </row>
    <row r="20" spans="2:8" x14ac:dyDescent="0.25">
      <c r="B20" s="32" t="s">
        <v>598</v>
      </c>
      <c r="C20" s="34" t="s">
        <v>599</v>
      </c>
      <c r="D20" s="109">
        <v>2</v>
      </c>
      <c r="F20" s="32" t="s">
        <v>634</v>
      </c>
      <c r="G20" s="77" t="s">
        <v>635</v>
      </c>
      <c r="H20" s="109"/>
    </row>
    <row r="21" spans="2:8" x14ac:dyDescent="0.25">
      <c r="B21" s="263" t="s">
        <v>600</v>
      </c>
      <c r="C21" s="261" t="s">
        <v>601</v>
      </c>
      <c r="D21" s="258">
        <v>2</v>
      </c>
      <c r="F21" s="263" t="s">
        <v>636</v>
      </c>
      <c r="G21" s="272" t="s">
        <v>637</v>
      </c>
      <c r="H21" s="258"/>
    </row>
    <row r="22" spans="2:8" x14ac:dyDescent="0.25">
      <c r="B22" s="264"/>
      <c r="C22" s="262"/>
      <c r="D22" s="260"/>
      <c r="F22" s="264"/>
      <c r="G22" s="273"/>
      <c r="H22" s="260"/>
    </row>
    <row r="23" spans="2:8" x14ac:dyDescent="0.25">
      <c r="B23" s="312" t="s">
        <v>73</v>
      </c>
      <c r="C23" s="293"/>
      <c r="D23" s="294"/>
      <c r="F23" s="32" t="s">
        <v>638</v>
      </c>
      <c r="G23" s="77" t="s">
        <v>639</v>
      </c>
      <c r="H23" s="109"/>
    </row>
    <row r="24" spans="2:8" ht="15.75" thickBot="1" x14ac:dyDescent="0.3">
      <c r="B24" s="42" t="s">
        <v>602</v>
      </c>
      <c r="C24" s="82" t="s">
        <v>603</v>
      </c>
      <c r="D24" s="119">
        <v>2</v>
      </c>
      <c r="F24" s="54" t="s">
        <v>640</v>
      </c>
      <c r="G24" s="88" t="s">
        <v>641</v>
      </c>
      <c r="H24" s="115"/>
    </row>
    <row r="25" spans="2:8" x14ac:dyDescent="0.25">
      <c r="B25" s="32" t="s">
        <v>604</v>
      </c>
      <c r="C25" s="34" t="s">
        <v>605</v>
      </c>
      <c r="D25" s="109">
        <v>2</v>
      </c>
    </row>
    <row r="26" spans="2:8" ht="15" customHeight="1" x14ac:dyDescent="0.25">
      <c r="B26" s="312" t="s">
        <v>74</v>
      </c>
      <c r="C26" s="293"/>
      <c r="D26" s="294"/>
    </row>
    <row r="27" spans="2:8" x14ac:dyDescent="0.25">
      <c r="B27" s="32" t="s">
        <v>606</v>
      </c>
      <c r="C27" s="34" t="s">
        <v>607</v>
      </c>
      <c r="D27" s="109">
        <v>2</v>
      </c>
    </row>
    <row r="28" spans="2:8" x14ac:dyDescent="0.25">
      <c r="B28" s="263" t="s">
        <v>609</v>
      </c>
      <c r="C28" s="261" t="s">
        <v>608</v>
      </c>
      <c r="D28" s="258">
        <v>2</v>
      </c>
    </row>
    <row r="29" spans="2:8" x14ac:dyDescent="0.25">
      <c r="B29" s="264"/>
      <c r="C29" s="262"/>
      <c r="D29" s="260"/>
    </row>
    <row r="30" spans="2:8" x14ac:dyDescent="0.25">
      <c r="B30" s="32" t="s">
        <v>610</v>
      </c>
      <c r="C30" s="85" t="s">
        <v>611</v>
      </c>
      <c r="D30" s="109"/>
    </row>
    <row r="31" spans="2:8" ht="13.5" customHeight="1" thickBot="1" x14ac:dyDescent="0.3">
      <c r="B31" s="54" t="s">
        <v>612</v>
      </c>
      <c r="C31" s="87" t="s">
        <v>613</v>
      </c>
      <c r="D31" s="115"/>
    </row>
  </sheetData>
  <sheetProtection algorithmName="SHA-512" hashValue="gZ9m22nBWjHbkBakZgBUxC6zBS+l0hlLCFU2kN4XBhB9Hmq1DC6+bbMZMPsiRET8o0pI+rQfHL4/d+oSOqYydg==" saltValue="3hLMcxYqzmaRj+dy05iQKQ==" spinCount="100000" sheet="1" selectLockedCells="1"/>
  <mergeCells count="39">
    <mergeCell ref="B3:B4"/>
    <mergeCell ref="C3:C4"/>
    <mergeCell ref="F3:F4"/>
    <mergeCell ref="G3:G4"/>
    <mergeCell ref="B6:B7"/>
    <mergeCell ref="C6:C7"/>
    <mergeCell ref="D6:D7"/>
    <mergeCell ref="C17:C18"/>
    <mergeCell ref="D17:D18"/>
    <mergeCell ref="B9:B10"/>
    <mergeCell ref="C9:C10"/>
    <mergeCell ref="D9:D10"/>
    <mergeCell ref="B26:D26"/>
    <mergeCell ref="B28:B29"/>
    <mergeCell ref="C28:C29"/>
    <mergeCell ref="D28:D29"/>
    <mergeCell ref="F7:F8"/>
    <mergeCell ref="F21:F22"/>
    <mergeCell ref="B19:D19"/>
    <mergeCell ref="B21:B22"/>
    <mergeCell ref="C21:C22"/>
    <mergeCell ref="D21:D22"/>
    <mergeCell ref="B23:D23"/>
    <mergeCell ref="B13:D13"/>
    <mergeCell ref="B14:B15"/>
    <mergeCell ref="D14:D15"/>
    <mergeCell ref="C14:C15"/>
    <mergeCell ref="B17:B18"/>
    <mergeCell ref="H21:H22"/>
    <mergeCell ref="H7:H8"/>
    <mergeCell ref="F10:F11"/>
    <mergeCell ref="G10:G11"/>
    <mergeCell ref="H10:H11"/>
    <mergeCell ref="F13:H13"/>
    <mergeCell ref="F16:F17"/>
    <mergeCell ref="G16:G17"/>
    <mergeCell ref="H16:H17"/>
    <mergeCell ref="G7:G8"/>
    <mergeCell ref="G21:G22"/>
  </mergeCells>
  <conditionalFormatting sqref="D6 D8:D9 D14 D16 D20:D21 D25 D27:D28">
    <cfRule type="cellIs" dxfId="14" priority="1" operator="lessThan">
      <formula>0</formula>
    </cfRule>
    <cfRule type="cellIs" dxfId="13" priority="2" operator="greaterThan">
      <formula>3</formula>
    </cfRule>
  </conditionalFormatting>
  <conditionalFormatting sqref="K8">
    <cfRule type="cellIs" dxfId="12" priority="3" operator="greaterThan">
      <formula>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F61C-1317-4922-BE9C-91DFD41A0485}">
  <sheetPr codeName="Sheet11"/>
  <dimension ref="A1:K31"/>
  <sheetViews>
    <sheetView workbookViewId="0">
      <selection activeCell="D6" sqref="D6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1:11" ht="21" x14ac:dyDescent="0.35">
      <c r="B1" s="86" t="s">
        <v>44</v>
      </c>
    </row>
    <row r="2" spans="1:11" ht="15.75" thickBot="1" x14ac:dyDescent="0.3">
      <c r="A2" s="4"/>
      <c r="B2" s="4" t="s">
        <v>642</v>
      </c>
      <c r="F2" s="4" t="s">
        <v>642</v>
      </c>
    </row>
    <row r="3" spans="1:11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1:11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1:11" x14ac:dyDescent="0.25">
      <c r="B5" s="95" t="s">
        <v>4</v>
      </c>
      <c r="C5" s="89" t="s">
        <v>73</v>
      </c>
      <c r="D5" s="90"/>
      <c r="F5" s="91"/>
      <c r="G5" s="92" t="s">
        <v>347</v>
      </c>
      <c r="H5" s="93"/>
    </row>
    <row r="6" spans="1:11" ht="15.75" customHeight="1" x14ac:dyDescent="0.25">
      <c r="B6" s="32" t="s">
        <v>643</v>
      </c>
      <c r="C6" s="34" t="s">
        <v>644</v>
      </c>
      <c r="D6" s="120"/>
      <c r="E6" s="78"/>
      <c r="F6" s="98" t="s">
        <v>666</v>
      </c>
      <c r="G6" s="9" t="s">
        <v>667</v>
      </c>
      <c r="H6" s="117"/>
    </row>
    <row r="7" spans="1:11" x14ac:dyDescent="0.25">
      <c r="B7" s="32" t="s">
        <v>645</v>
      </c>
      <c r="C7" s="34" t="s">
        <v>646</v>
      </c>
      <c r="D7" s="120">
        <v>2</v>
      </c>
      <c r="E7" s="78"/>
      <c r="F7" s="98" t="s">
        <v>668</v>
      </c>
      <c r="G7" s="94" t="s">
        <v>669</v>
      </c>
      <c r="H7" s="117"/>
      <c r="K7" t="s">
        <v>4</v>
      </c>
    </row>
    <row r="8" spans="1:11" x14ac:dyDescent="0.25">
      <c r="B8" s="312" t="s">
        <v>237</v>
      </c>
      <c r="C8" s="293"/>
      <c r="D8" s="293"/>
      <c r="E8" s="78"/>
      <c r="F8" s="98" t="s">
        <v>670</v>
      </c>
      <c r="G8" s="94" t="s">
        <v>671</v>
      </c>
      <c r="H8" s="117"/>
    </row>
    <row r="9" spans="1:11" x14ac:dyDescent="0.25">
      <c r="B9" s="32" t="s">
        <v>647</v>
      </c>
      <c r="C9" s="34" t="s">
        <v>648</v>
      </c>
      <c r="D9" s="120">
        <v>2</v>
      </c>
      <c r="E9" s="78"/>
      <c r="F9" s="312" t="s">
        <v>672</v>
      </c>
      <c r="G9" s="293"/>
      <c r="H9" s="294"/>
    </row>
    <row r="10" spans="1:11" x14ac:dyDescent="0.25">
      <c r="B10" s="32" t="s">
        <v>649</v>
      </c>
      <c r="C10" s="34" t="s">
        <v>650</v>
      </c>
      <c r="D10" s="120">
        <v>2</v>
      </c>
      <c r="E10" s="78"/>
      <c r="F10" s="99" t="s">
        <v>673</v>
      </c>
      <c r="G10" s="65" t="s">
        <v>674</v>
      </c>
      <c r="H10" s="109"/>
    </row>
    <row r="11" spans="1:11" x14ac:dyDescent="0.25">
      <c r="B11" s="96"/>
      <c r="C11" s="81" t="s">
        <v>74</v>
      </c>
      <c r="D11" s="97"/>
      <c r="E11" s="78"/>
      <c r="F11" s="99" t="s">
        <v>675</v>
      </c>
      <c r="G11" s="65" t="s">
        <v>676</v>
      </c>
      <c r="H11" s="109"/>
    </row>
    <row r="12" spans="1:11" ht="15" customHeight="1" x14ac:dyDescent="0.25">
      <c r="B12" s="32" t="s">
        <v>651</v>
      </c>
      <c r="C12" s="34" t="s">
        <v>652</v>
      </c>
      <c r="D12" s="120">
        <v>2</v>
      </c>
      <c r="E12" s="78"/>
      <c r="F12" s="99" t="s">
        <v>677</v>
      </c>
      <c r="G12" s="65" t="s">
        <v>678</v>
      </c>
      <c r="H12" s="109"/>
    </row>
    <row r="13" spans="1:11" x14ac:dyDescent="0.25">
      <c r="B13" s="32" t="s">
        <v>653</v>
      </c>
      <c r="C13" s="34" t="s">
        <v>654</v>
      </c>
      <c r="D13" s="120">
        <v>2</v>
      </c>
      <c r="E13" s="78"/>
      <c r="F13" s="99" t="s">
        <v>679</v>
      </c>
      <c r="G13" s="65" t="s">
        <v>680</v>
      </c>
      <c r="H13" s="109"/>
    </row>
    <row r="14" spans="1:11" x14ac:dyDescent="0.25">
      <c r="B14" s="312" t="s">
        <v>655</v>
      </c>
      <c r="C14" s="293"/>
      <c r="D14" s="294"/>
      <c r="E14" s="78"/>
      <c r="F14" s="99" t="s">
        <v>681</v>
      </c>
      <c r="G14" s="65" t="s">
        <v>682</v>
      </c>
      <c r="H14" s="109"/>
    </row>
    <row r="15" spans="1:11" x14ac:dyDescent="0.25">
      <c r="B15" s="32" t="s">
        <v>656</v>
      </c>
      <c r="C15" s="34" t="s">
        <v>657</v>
      </c>
      <c r="D15" s="120">
        <v>2</v>
      </c>
      <c r="E15" s="78"/>
      <c r="F15" s="99" t="s">
        <v>683</v>
      </c>
      <c r="G15" s="77" t="s">
        <v>684</v>
      </c>
      <c r="H15" s="109"/>
    </row>
    <row r="16" spans="1:11" x14ac:dyDescent="0.25">
      <c r="B16" s="32" t="s">
        <v>658</v>
      </c>
      <c r="C16" s="34" t="s">
        <v>659</v>
      </c>
      <c r="D16" s="120"/>
      <c r="E16" s="78"/>
      <c r="F16" s="99" t="s">
        <v>685</v>
      </c>
      <c r="G16" s="77" t="s">
        <v>686</v>
      </c>
      <c r="H16" s="109"/>
    </row>
    <row r="17" spans="2:8" x14ac:dyDescent="0.25">
      <c r="B17" s="32" t="s">
        <v>660</v>
      </c>
      <c r="C17" s="34" t="s">
        <v>661</v>
      </c>
      <c r="D17" s="120"/>
      <c r="E17" s="78"/>
      <c r="F17" s="99" t="s">
        <v>687</v>
      </c>
      <c r="G17" s="65" t="s">
        <v>688</v>
      </c>
      <c r="H17" s="109"/>
    </row>
    <row r="18" spans="2:8" x14ac:dyDescent="0.25">
      <c r="B18" s="312" t="s">
        <v>98</v>
      </c>
      <c r="C18" s="293"/>
      <c r="D18" s="294"/>
      <c r="E18" s="78"/>
      <c r="F18" s="99" t="s">
        <v>689</v>
      </c>
      <c r="G18" s="65" t="s">
        <v>690</v>
      </c>
      <c r="H18" s="109"/>
    </row>
    <row r="19" spans="2:8" x14ac:dyDescent="0.25">
      <c r="B19" s="32" t="s">
        <v>662</v>
      </c>
      <c r="C19" s="34" t="s">
        <v>663</v>
      </c>
      <c r="D19" s="120"/>
      <c r="E19" s="78"/>
      <c r="F19" s="99" t="s">
        <v>691</v>
      </c>
      <c r="G19" s="77" t="s">
        <v>692</v>
      </c>
      <c r="H19" s="109"/>
    </row>
    <row r="20" spans="2:8" ht="15.75" thickBot="1" x14ac:dyDescent="0.3">
      <c r="B20" s="54" t="s">
        <v>664</v>
      </c>
      <c r="C20" s="100" t="s">
        <v>665</v>
      </c>
      <c r="D20" s="121"/>
      <c r="E20" s="78"/>
      <c r="F20" s="54" t="s">
        <v>693</v>
      </c>
      <c r="G20" s="100" t="s">
        <v>694</v>
      </c>
      <c r="H20" s="115"/>
    </row>
    <row r="21" spans="2:8" x14ac:dyDescent="0.25">
      <c r="D21" s="102"/>
    </row>
    <row r="26" spans="2:8" ht="15" customHeight="1" x14ac:dyDescent="0.25"/>
    <row r="31" spans="2:8" ht="13.5" customHeight="1" x14ac:dyDescent="0.25"/>
  </sheetData>
  <sheetProtection algorithmName="SHA-512" hashValue="1KfQq0jzi9xdx+qPoFHlsA17VoSvD2aNwbwCLGL0hl7rmcRxtR/tT236FfBTZAzYXc3R1xr8Z36PRe2rMp3HrQ==" saltValue="srn/Rn5H4xx/1M291opmrQ==" spinCount="100000" sheet="1" selectLockedCells="1"/>
  <mergeCells count="8">
    <mergeCell ref="B14:D14"/>
    <mergeCell ref="B18:D18"/>
    <mergeCell ref="F9:H9"/>
    <mergeCell ref="B8:D8"/>
    <mergeCell ref="B3:B4"/>
    <mergeCell ref="C3:C4"/>
    <mergeCell ref="F3:F4"/>
    <mergeCell ref="G3:G4"/>
  </mergeCells>
  <conditionalFormatting sqref="D6 D9 D12 D17">
    <cfRule type="cellIs" dxfId="11" priority="1" operator="lessThan">
      <formula>0</formula>
    </cfRule>
    <cfRule type="cellIs" dxfId="10" priority="2" operator="greaterThan">
      <formula>3</formula>
    </cfRule>
  </conditionalFormatting>
  <conditionalFormatting sqref="K8">
    <cfRule type="cellIs" dxfId="9" priority="3" operator="greaterThan">
      <formula>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E0EC-EFF6-4255-BA2A-F5FE5A99885C}">
  <sheetPr codeName="Sheet12"/>
  <dimension ref="A1:K43"/>
  <sheetViews>
    <sheetView topLeftCell="A6" workbookViewId="0">
      <selection activeCell="D26" sqref="D26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1:11" ht="21" x14ac:dyDescent="0.35">
      <c r="A1" t="s">
        <v>4</v>
      </c>
      <c r="B1" s="103" t="s">
        <v>695</v>
      </c>
    </row>
    <row r="2" spans="1:11" ht="15.75" thickBot="1" x14ac:dyDescent="0.3">
      <c r="A2" s="4"/>
      <c r="B2" s="4" t="s">
        <v>48</v>
      </c>
      <c r="F2" s="4" t="s">
        <v>48</v>
      </c>
    </row>
    <row r="3" spans="1:11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1:11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1:11" x14ac:dyDescent="0.25">
      <c r="B5" s="95"/>
      <c r="C5" s="89" t="s">
        <v>490</v>
      </c>
      <c r="D5" s="90"/>
      <c r="F5" s="323" t="s">
        <v>98</v>
      </c>
      <c r="G5" s="274"/>
      <c r="H5" s="275"/>
    </row>
    <row r="6" spans="1:11" ht="15.75" customHeight="1" x14ac:dyDescent="0.25">
      <c r="B6" s="32" t="s">
        <v>696</v>
      </c>
      <c r="C6" s="59" t="s">
        <v>700</v>
      </c>
      <c r="D6" s="109">
        <v>2</v>
      </c>
      <c r="E6" s="101"/>
      <c r="F6" s="263" t="s">
        <v>736</v>
      </c>
      <c r="G6" s="272" t="s">
        <v>737</v>
      </c>
      <c r="H6" s="319"/>
    </row>
    <row r="7" spans="1:11" x14ac:dyDescent="0.25">
      <c r="B7" s="43" t="s">
        <v>697</v>
      </c>
      <c r="C7" s="44" t="s">
        <v>698</v>
      </c>
      <c r="D7" s="114">
        <v>2</v>
      </c>
      <c r="E7" s="101"/>
      <c r="F7" s="264"/>
      <c r="G7" s="273"/>
      <c r="H7" s="321"/>
      <c r="K7" t="s">
        <v>4</v>
      </c>
    </row>
    <row r="8" spans="1:11" ht="14.25" customHeight="1" x14ac:dyDescent="0.25">
      <c r="B8" s="263" t="s">
        <v>699</v>
      </c>
      <c r="C8" s="261" t="s">
        <v>701</v>
      </c>
      <c r="D8" s="258">
        <v>2</v>
      </c>
      <c r="E8" s="101"/>
      <c r="F8" s="263" t="s">
        <v>738</v>
      </c>
      <c r="G8" s="272" t="s">
        <v>739</v>
      </c>
      <c r="H8" s="319"/>
    </row>
    <row r="9" spans="1:11" x14ac:dyDescent="0.25">
      <c r="B9" s="264"/>
      <c r="C9" s="262"/>
      <c r="D9" s="260"/>
      <c r="E9" s="101"/>
      <c r="F9" s="268"/>
      <c r="G9" s="295"/>
      <c r="H9" s="320"/>
    </row>
    <row r="10" spans="1:11" x14ac:dyDescent="0.25">
      <c r="B10" s="32" t="s">
        <v>702</v>
      </c>
      <c r="C10" s="34" t="s">
        <v>703</v>
      </c>
      <c r="D10" s="120">
        <v>2</v>
      </c>
      <c r="E10" s="101"/>
      <c r="F10" s="264"/>
      <c r="G10" s="296"/>
      <c r="H10" s="321"/>
    </row>
    <row r="11" spans="1:11" x14ac:dyDescent="0.25">
      <c r="B11" s="276" t="s">
        <v>501</v>
      </c>
      <c r="C11" s="277"/>
      <c r="D11" s="277"/>
      <c r="E11" s="101"/>
      <c r="F11" s="303" t="s">
        <v>740</v>
      </c>
      <c r="G11" s="300" t="s">
        <v>741</v>
      </c>
      <c r="H11" s="316"/>
    </row>
    <row r="12" spans="1:11" ht="15" customHeight="1" x14ac:dyDescent="0.25">
      <c r="B12" s="32" t="s">
        <v>704</v>
      </c>
      <c r="C12" s="34" t="s">
        <v>705</v>
      </c>
      <c r="D12" s="120">
        <v>2</v>
      </c>
      <c r="E12" s="101"/>
      <c r="F12" s="304"/>
      <c r="G12" s="270"/>
      <c r="H12" s="317"/>
    </row>
    <row r="13" spans="1:11" x14ac:dyDescent="0.25">
      <c r="B13" s="32" t="s">
        <v>706</v>
      </c>
      <c r="C13" s="34" t="s">
        <v>707</v>
      </c>
      <c r="D13" s="120">
        <v>2</v>
      </c>
      <c r="E13" s="101"/>
      <c r="F13" s="304"/>
      <c r="G13" s="270"/>
      <c r="H13" s="317"/>
    </row>
    <row r="14" spans="1:11" x14ac:dyDescent="0.25">
      <c r="B14" s="276" t="s">
        <v>178</v>
      </c>
      <c r="C14" s="277"/>
      <c r="D14" s="278"/>
      <c r="E14" s="101"/>
      <c r="F14" s="304"/>
      <c r="G14" s="270"/>
      <c r="H14" s="317"/>
    </row>
    <row r="15" spans="1:11" x14ac:dyDescent="0.25">
      <c r="B15" s="32" t="s">
        <v>708</v>
      </c>
      <c r="C15" s="34" t="s">
        <v>709</v>
      </c>
      <c r="D15" s="120">
        <v>2</v>
      </c>
      <c r="E15" s="101"/>
      <c r="F15" s="304"/>
      <c r="G15" s="270"/>
      <c r="H15" s="317"/>
    </row>
    <row r="16" spans="1:11" ht="15.75" customHeight="1" x14ac:dyDescent="0.25">
      <c r="B16" s="263" t="s">
        <v>710</v>
      </c>
      <c r="C16" s="261" t="s">
        <v>711</v>
      </c>
      <c r="D16" s="258">
        <v>2</v>
      </c>
      <c r="E16" s="101"/>
      <c r="F16" s="291"/>
      <c r="G16" s="271"/>
      <c r="H16" s="318"/>
    </row>
    <row r="17" spans="2:8" ht="15.75" thickBot="1" x14ac:dyDescent="0.3">
      <c r="B17" s="279"/>
      <c r="C17" s="298"/>
      <c r="D17" s="281"/>
      <c r="E17" s="101"/>
      <c r="F17" s="31" t="s">
        <v>742</v>
      </c>
      <c r="G17" s="9" t="s">
        <v>743</v>
      </c>
      <c r="H17" s="122"/>
    </row>
    <row r="18" spans="2:8" x14ac:dyDescent="0.25">
      <c r="B18" s="301" t="s">
        <v>191</v>
      </c>
      <c r="C18" s="302"/>
      <c r="D18" s="313"/>
      <c r="F18" s="263" t="s">
        <v>744</v>
      </c>
      <c r="G18" s="300" t="s">
        <v>745</v>
      </c>
      <c r="H18" s="319"/>
    </row>
    <row r="19" spans="2:8" x14ac:dyDescent="0.25">
      <c r="B19" s="79" t="s">
        <v>713</v>
      </c>
      <c r="C19" s="9" t="s">
        <v>714</v>
      </c>
      <c r="D19" s="117">
        <v>2</v>
      </c>
      <c r="E19" s="104"/>
      <c r="F19" s="268"/>
      <c r="G19" s="270"/>
      <c r="H19" s="320"/>
    </row>
    <row r="20" spans="2:8" x14ac:dyDescent="0.25">
      <c r="B20" s="79" t="s">
        <v>715</v>
      </c>
      <c r="C20" s="94" t="s">
        <v>716</v>
      </c>
      <c r="D20" s="117">
        <v>2</v>
      </c>
      <c r="E20" s="104"/>
      <c r="F20" s="264"/>
      <c r="G20" s="271"/>
      <c r="H20" s="321"/>
    </row>
    <row r="21" spans="2:8" x14ac:dyDescent="0.25">
      <c r="B21" s="79" t="s">
        <v>717</v>
      </c>
      <c r="C21" s="94" t="s">
        <v>718</v>
      </c>
      <c r="D21" s="117">
        <v>2</v>
      </c>
      <c r="F21" s="303" t="s">
        <v>746</v>
      </c>
      <c r="G21" s="300" t="s">
        <v>747</v>
      </c>
      <c r="H21" s="316"/>
    </row>
    <row r="22" spans="2:8" x14ac:dyDescent="0.25">
      <c r="B22" s="263" t="s">
        <v>719</v>
      </c>
      <c r="C22" s="272" t="s">
        <v>720</v>
      </c>
      <c r="D22" s="258">
        <v>2</v>
      </c>
      <c r="F22" s="304"/>
      <c r="G22" s="270"/>
      <c r="H22" s="317"/>
    </row>
    <row r="23" spans="2:8" x14ac:dyDescent="0.25">
      <c r="B23" s="264"/>
      <c r="C23" s="273"/>
      <c r="D23" s="260"/>
      <c r="F23" s="304"/>
      <c r="G23" s="270"/>
      <c r="H23" s="317"/>
    </row>
    <row r="24" spans="2:8" x14ac:dyDescent="0.25">
      <c r="B24" s="276" t="s">
        <v>73</v>
      </c>
      <c r="C24" s="277"/>
      <c r="D24" s="278"/>
      <c r="F24" s="304"/>
      <c r="G24" s="270"/>
      <c r="H24" s="317"/>
    </row>
    <row r="25" spans="2:8" x14ac:dyDescent="0.25">
      <c r="B25" s="32" t="s">
        <v>712</v>
      </c>
      <c r="C25" s="65" t="s">
        <v>721</v>
      </c>
      <c r="D25" s="109">
        <v>2</v>
      </c>
      <c r="F25" s="291"/>
      <c r="G25" s="271"/>
      <c r="H25" s="318"/>
    </row>
    <row r="26" spans="2:8" ht="15" customHeight="1" x14ac:dyDescent="0.25">
      <c r="B26" s="32" t="s">
        <v>722</v>
      </c>
      <c r="C26" s="65" t="s">
        <v>723</v>
      </c>
      <c r="D26" s="109">
        <v>2</v>
      </c>
      <c r="F26" s="31" t="s">
        <v>748</v>
      </c>
      <c r="G26" s="106" t="s">
        <v>749</v>
      </c>
      <c r="H26" s="122"/>
    </row>
    <row r="27" spans="2:8" ht="15" customHeight="1" x14ac:dyDescent="0.25">
      <c r="B27" s="276" t="s">
        <v>74</v>
      </c>
      <c r="C27" s="277"/>
      <c r="D27" s="278"/>
      <c r="F27" s="32" t="s">
        <v>750</v>
      </c>
      <c r="G27" s="75" t="s">
        <v>751</v>
      </c>
      <c r="H27" s="123"/>
    </row>
    <row r="28" spans="2:8" x14ac:dyDescent="0.25">
      <c r="B28" s="32" t="s">
        <v>724</v>
      </c>
      <c r="C28" s="77" t="s">
        <v>725</v>
      </c>
      <c r="D28" s="109"/>
      <c r="F28" s="263" t="s">
        <v>752</v>
      </c>
      <c r="G28" s="272" t="s">
        <v>753</v>
      </c>
      <c r="H28" s="319"/>
    </row>
    <row r="29" spans="2:8" x14ac:dyDescent="0.25">
      <c r="B29" s="32" t="s">
        <v>726</v>
      </c>
      <c r="C29" s="77" t="s">
        <v>727</v>
      </c>
      <c r="D29" s="109"/>
      <c r="F29" s="268"/>
      <c r="G29" s="295"/>
      <c r="H29" s="320"/>
    </row>
    <row r="30" spans="2:8" ht="15.75" thickBot="1" x14ac:dyDescent="0.3">
      <c r="B30" s="285" t="s">
        <v>85</v>
      </c>
      <c r="C30" s="325"/>
      <c r="D30" s="326"/>
      <c r="F30" s="279"/>
      <c r="G30" s="299"/>
      <c r="H30" s="324"/>
    </row>
    <row r="31" spans="2:8" ht="13.5" customHeight="1" x14ac:dyDescent="0.25">
      <c r="B31" s="31" t="s">
        <v>728</v>
      </c>
      <c r="C31" s="9" t="s">
        <v>729</v>
      </c>
      <c r="D31" s="122"/>
    </row>
    <row r="32" spans="2:8" x14ac:dyDescent="0.25">
      <c r="B32" s="31" t="s">
        <v>731</v>
      </c>
      <c r="C32" s="9" t="s">
        <v>730</v>
      </c>
      <c r="D32" s="122"/>
    </row>
    <row r="33" spans="2:4" x14ac:dyDescent="0.25">
      <c r="B33" s="263" t="s">
        <v>732</v>
      </c>
      <c r="C33" s="327" t="s">
        <v>733</v>
      </c>
      <c r="D33" s="319"/>
    </row>
    <row r="34" spans="2:4" x14ac:dyDescent="0.25">
      <c r="B34" s="264"/>
      <c r="C34" s="328"/>
      <c r="D34" s="321"/>
    </row>
    <row r="35" spans="2:4" x14ac:dyDescent="0.25">
      <c r="B35" s="303" t="s">
        <v>734</v>
      </c>
      <c r="C35" s="300" t="s">
        <v>735</v>
      </c>
      <c r="D35" s="316"/>
    </row>
    <row r="36" spans="2:4" x14ac:dyDescent="0.25">
      <c r="B36" s="304"/>
      <c r="C36" s="270"/>
      <c r="D36" s="317"/>
    </row>
    <row r="37" spans="2:4" x14ac:dyDescent="0.25">
      <c r="B37" s="304"/>
      <c r="C37" s="270"/>
      <c r="D37" s="317"/>
    </row>
    <row r="38" spans="2:4" x14ac:dyDescent="0.25">
      <c r="B38" s="304"/>
      <c r="C38" s="270"/>
      <c r="D38" s="317"/>
    </row>
    <row r="39" spans="2:4" x14ac:dyDescent="0.25">
      <c r="B39" s="304"/>
      <c r="C39" s="270"/>
      <c r="D39" s="317"/>
    </row>
    <row r="40" spans="2:4" x14ac:dyDescent="0.25">
      <c r="B40" s="304"/>
      <c r="C40" s="270"/>
      <c r="D40" s="317"/>
    </row>
    <row r="41" spans="2:4" x14ac:dyDescent="0.25">
      <c r="B41" s="304"/>
      <c r="C41" s="270"/>
      <c r="D41" s="317"/>
    </row>
    <row r="42" spans="2:4" x14ac:dyDescent="0.25">
      <c r="B42" s="304"/>
      <c r="C42" s="270"/>
      <c r="D42" s="317"/>
    </row>
    <row r="43" spans="2:4" ht="15.75" thickBot="1" x14ac:dyDescent="0.3">
      <c r="B43" s="305"/>
      <c r="C43" s="306"/>
      <c r="D43" s="322"/>
    </row>
  </sheetData>
  <sheetProtection algorithmName="SHA-512" hashValue="NIYXpktUtmHrMDXzxv3jg5HqvVpYinsXSTEgugRLFDmaTRgiHP8ReHGX0Zr/tJfitHfis2lg2amXJnbpO0ljNA==" saltValue="Swmo7ssexdnyIpdTGr9tIw==" spinCount="100000" sheet="1" selectLockedCells="1"/>
  <mergeCells count="44">
    <mergeCell ref="B30:D30"/>
    <mergeCell ref="B33:B34"/>
    <mergeCell ref="C33:C34"/>
    <mergeCell ref="D33:D34"/>
    <mergeCell ref="B3:B4"/>
    <mergeCell ref="C3:C4"/>
    <mergeCell ref="F3:F4"/>
    <mergeCell ref="G3:G4"/>
    <mergeCell ref="B11:D11"/>
    <mergeCell ref="B24:D24"/>
    <mergeCell ref="B27:D27"/>
    <mergeCell ref="B8:B9"/>
    <mergeCell ref="C8:C9"/>
    <mergeCell ref="D8:D9"/>
    <mergeCell ref="B14:D14"/>
    <mergeCell ref="B16:B17"/>
    <mergeCell ref="F8:F10"/>
    <mergeCell ref="G8:G10"/>
    <mergeCell ref="F21:F25"/>
    <mergeCell ref="G21:G25"/>
    <mergeCell ref="B35:B43"/>
    <mergeCell ref="C35:C43"/>
    <mergeCell ref="D35:D43"/>
    <mergeCell ref="F5:H5"/>
    <mergeCell ref="F6:F7"/>
    <mergeCell ref="G6:G7"/>
    <mergeCell ref="H6:H7"/>
    <mergeCell ref="F28:F30"/>
    <mergeCell ref="G28:G30"/>
    <mergeCell ref="H28:H30"/>
    <mergeCell ref="C16:C17"/>
    <mergeCell ref="D16:D17"/>
    <mergeCell ref="B18:D18"/>
    <mergeCell ref="B22:B23"/>
    <mergeCell ref="C22:C23"/>
    <mergeCell ref="D22:D23"/>
    <mergeCell ref="H21:H25"/>
    <mergeCell ref="H8:H10"/>
    <mergeCell ref="F11:F16"/>
    <mergeCell ref="G11:G16"/>
    <mergeCell ref="H11:H16"/>
    <mergeCell ref="F18:F20"/>
    <mergeCell ref="G18:G20"/>
    <mergeCell ref="H18:H20"/>
  </mergeCells>
  <conditionalFormatting sqref="D6 D8 D10 D12 D15">
    <cfRule type="cellIs" dxfId="8" priority="1" operator="lessThan">
      <formula>0</formula>
    </cfRule>
    <cfRule type="cellIs" dxfId="7" priority="2" operator="greaterThan">
      <formula>3</formula>
    </cfRule>
  </conditionalFormatting>
  <conditionalFormatting sqref="K8">
    <cfRule type="cellIs" dxfId="6" priority="3" operator="greaterThan">
      <formula>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C2E1-5D1A-4AA0-86AD-8EF651AF3FA2}">
  <sheetPr codeName="Sheet13"/>
  <dimension ref="A1:K31"/>
  <sheetViews>
    <sheetView workbookViewId="0">
      <selection activeCell="D18" sqref="D18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1:11" ht="21" x14ac:dyDescent="0.35">
      <c r="A1" t="s">
        <v>4</v>
      </c>
      <c r="B1" s="103" t="s">
        <v>695</v>
      </c>
    </row>
    <row r="2" spans="1:11" ht="15.75" thickBot="1" x14ac:dyDescent="0.3">
      <c r="A2" s="4"/>
      <c r="B2" s="4" t="s">
        <v>48</v>
      </c>
      <c r="F2" s="4" t="s">
        <v>48</v>
      </c>
    </row>
    <row r="3" spans="1:11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1:11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1:11" x14ac:dyDescent="0.25">
      <c r="B5" s="95"/>
      <c r="C5" s="89" t="s">
        <v>73</v>
      </c>
      <c r="D5" s="90"/>
      <c r="F5" s="56"/>
      <c r="G5" s="57" t="s">
        <v>98</v>
      </c>
      <c r="H5" s="58"/>
    </row>
    <row r="6" spans="1:11" ht="15.75" customHeight="1" x14ac:dyDescent="0.25">
      <c r="B6" s="32" t="s">
        <v>754</v>
      </c>
      <c r="C6" s="59" t="s">
        <v>755</v>
      </c>
      <c r="D6" s="109">
        <v>2</v>
      </c>
      <c r="E6" s="101"/>
      <c r="F6" s="32" t="s">
        <v>774</v>
      </c>
      <c r="G6" s="65" t="s">
        <v>775</v>
      </c>
      <c r="H6" s="123"/>
    </row>
    <row r="7" spans="1:11" x14ac:dyDescent="0.25">
      <c r="B7" s="32" t="s">
        <v>756</v>
      </c>
      <c r="C7" s="85" t="s">
        <v>757</v>
      </c>
      <c r="D7" s="109">
        <v>2</v>
      </c>
      <c r="E7" s="101"/>
      <c r="F7" s="32" t="s">
        <v>776</v>
      </c>
      <c r="G7" s="65" t="s">
        <v>777</v>
      </c>
      <c r="H7" s="123"/>
      <c r="K7" t="s">
        <v>4</v>
      </c>
    </row>
    <row r="8" spans="1:11" ht="14.25" customHeight="1" x14ac:dyDescent="0.25">
      <c r="B8" s="32" t="s">
        <v>758</v>
      </c>
      <c r="C8" s="34" t="s">
        <v>759</v>
      </c>
      <c r="D8" s="109">
        <v>2</v>
      </c>
      <c r="E8" s="101"/>
      <c r="F8" s="263" t="s">
        <v>778</v>
      </c>
      <c r="G8" s="300" t="s">
        <v>779</v>
      </c>
      <c r="H8" s="319"/>
    </row>
    <row r="9" spans="1:11" x14ac:dyDescent="0.25">
      <c r="B9" s="60"/>
      <c r="C9" s="61" t="s">
        <v>74</v>
      </c>
      <c r="D9" s="62"/>
      <c r="E9" s="101"/>
      <c r="F9" s="268"/>
      <c r="G9" s="329"/>
      <c r="H9" s="320"/>
    </row>
    <row r="10" spans="1:11" x14ac:dyDescent="0.25">
      <c r="B10" s="263" t="s">
        <v>760</v>
      </c>
      <c r="C10" s="261" t="s">
        <v>761</v>
      </c>
      <c r="D10" s="258">
        <v>2</v>
      </c>
      <c r="E10" s="101"/>
      <c r="F10" s="264"/>
      <c r="G10" s="332"/>
      <c r="H10" s="321"/>
    </row>
    <row r="11" spans="1:11" x14ac:dyDescent="0.25">
      <c r="B11" s="264"/>
      <c r="C11" s="262"/>
      <c r="D11" s="260"/>
      <c r="E11" s="101"/>
      <c r="F11" s="303" t="s">
        <v>780</v>
      </c>
      <c r="G11" s="300" t="s">
        <v>781</v>
      </c>
      <c r="H11" s="316"/>
    </row>
    <row r="12" spans="1:11" ht="15" customHeight="1" x14ac:dyDescent="0.25">
      <c r="B12" s="32" t="s">
        <v>762</v>
      </c>
      <c r="C12" s="34" t="s">
        <v>763</v>
      </c>
      <c r="D12" s="109">
        <v>2</v>
      </c>
      <c r="E12" s="101"/>
      <c r="F12" s="291"/>
      <c r="G12" s="332"/>
      <c r="H12" s="318"/>
    </row>
    <row r="13" spans="1:11" x14ac:dyDescent="0.25">
      <c r="B13" s="32" t="s">
        <v>764</v>
      </c>
      <c r="C13" s="34" t="s">
        <v>765</v>
      </c>
      <c r="D13" s="109">
        <v>2</v>
      </c>
      <c r="E13" s="101"/>
      <c r="F13" s="303" t="s">
        <v>782</v>
      </c>
      <c r="G13" s="300" t="s">
        <v>783</v>
      </c>
      <c r="H13" s="316"/>
    </row>
    <row r="14" spans="1:11" x14ac:dyDescent="0.25">
      <c r="B14" s="263" t="s">
        <v>766</v>
      </c>
      <c r="C14" s="300" t="s">
        <v>767</v>
      </c>
      <c r="D14" s="319">
        <v>2</v>
      </c>
      <c r="E14" s="101"/>
      <c r="F14" s="304"/>
      <c r="G14" s="270"/>
      <c r="H14" s="317"/>
    </row>
    <row r="15" spans="1:11" x14ac:dyDescent="0.25">
      <c r="B15" s="268"/>
      <c r="C15" s="270"/>
      <c r="D15" s="320"/>
      <c r="E15" s="101"/>
      <c r="F15" s="291"/>
      <c r="G15" s="271"/>
      <c r="H15" s="318"/>
    </row>
    <row r="16" spans="1:11" ht="15.75" customHeight="1" x14ac:dyDescent="0.25">
      <c r="B16" s="264"/>
      <c r="C16" s="271"/>
      <c r="D16" s="321"/>
      <c r="E16" s="101"/>
      <c r="F16" s="263" t="s">
        <v>784</v>
      </c>
      <c r="G16" s="300" t="s">
        <v>785</v>
      </c>
      <c r="H16" s="316"/>
    </row>
    <row r="17" spans="2:8" x14ac:dyDescent="0.25">
      <c r="B17" s="276" t="s">
        <v>85</v>
      </c>
      <c r="C17" s="277"/>
      <c r="D17" s="278"/>
      <c r="E17" s="101"/>
      <c r="F17" s="268"/>
      <c r="G17" s="270"/>
      <c r="H17" s="317"/>
    </row>
    <row r="18" spans="2:8" x14ac:dyDescent="0.25">
      <c r="B18" s="32" t="s">
        <v>768</v>
      </c>
      <c r="C18" s="34" t="s">
        <v>769</v>
      </c>
      <c r="D18" s="109">
        <v>2</v>
      </c>
      <c r="F18" s="264"/>
      <c r="G18" s="271"/>
      <c r="H18" s="318"/>
    </row>
    <row r="19" spans="2:8" x14ac:dyDescent="0.25">
      <c r="B19" s="263" t="s">
        <v>770</v>
      </c>
      <c r="C19" s="314" t="s">
        <v>771</v>
      </c>
      <c r="D19" s="258"/>
      <c r="E19" s="104"/>
      <c r="F19" s="263" t="s">
        <v>786</v>
      </c>
      <c r="G19" s="300" t="s">
        <v>787</v>
      </c>
      <c r="H19" s="319"/>
    </row>
    <row r="20" spans="2:8" x14ac:dyDescent="0.25">
      <c r="B20" s="268"/>
      <c r="C20" s="331"/>
      <c r="D20" s="259"/>
      <c r="E20" s="104"/>
      <c r="F20" s="268"/>
      <c r="G20" s="270"/>
      <c r="H20" s="320"/>
    </row>
    <row r="21" spans="2:8" x14ac:dyDescent="0.25">
      <c r="B21" s="268"/>
      <c r="C21" s="331"/>
      <c r="D21" s="259"/>
      <c r="F21" s="268"/>
      <c r="G21" s="270"/>
      <c r="H21" s="320"/>
    </row>
    <row r="22" spans="2:8" x14ac:dyDescent="0.25">
      <c r="B22" s="264"/>
      <c r="C22" s="315"/>
      <c r="D22" s="260"/>
      <c r="F22" s="264"/>
      <c r="G22" s="271"/>
      <c r="H22" s="321"/>
    </row>
    <row r="23" spans="2:8" x14ac:dyDescent="0.25">
      <c r="B23" s="303" t="s">
        <v>772</v>
      </c>
      <c r="C23" s="300" t="s">
        <v>773</v>
      </c>
      <c r="D23" s="307"/>
      <c r="F23" s="303" t="s">
        <v>788</v>
      </c>
      <c r="G23" s="300" t="s">
        <v>789</v>
      </c>
      <c r="H23" s="316"/>
    </row>
    <row r="24" spans="2:8" x14ac:dyDescent="0.25">
      <c r="B24" s="304"/>
      <c r="C24" s="329"/>
      <c r="D24" s="292"/>
      <c r="F24" s="304"/>
      <c r="G24" s="270"/>
      <c r="H24" s="317"/>
    </row>
    <row r="25" spans="2:8" x14ac:dyDescent="0.25">
      <c r="B25" s="304"/>
      <c r="C25" s="329"/>
      <c r="D25" s="292"/>
      <c r="F25" s="304"/>
      <c r="G25" s="270"/>
      <c r="H25" s="317"/>
    </row>
    <row r="26" spans="2:8" ht="15" customHeight="1" thickBot="1" x14ac:dyDescent="0.3">
      <c r="B26" s="305"/>
      <c r="C26" s="330"/>
      <c r="D26" s="308"/>
      <c r="F26" s="305"/>
      <c r="G26" s="306"/>
      <c r="H26" s="322"/>
    </row>
    <row r="27" spans="2:8" ht="15" customHeight="1" x14ac:dyDescent="0.25"/>
    <row r="31" spans="2:8" ht="13.5" customHeight="1" x14ac:dyDescent="0.25"/>
  </sheetData>
  <sheetProtection algorithmName="SHA-512" hashValue="IEzlurdOoWbTeeI2z4tzj/mL5OsCmouNrbxvzJ4yJGoGzEhH8nbSt91gXTrhZ9yMSTGVlWQs0IDCORfpoyZVEQ==" saltValue="CgqdXSdWgcFYNyo1WYkN/w==" spinCount="100000" sheet="1" selectLockedCells="1"/>
  <mergeCells count="35">
    <mergeCell ref="B3:B4"/>
    <mergeCell ref="C3:C4"/>
    <mergeCell ref="F3:F4"/>
    <mergeCell ref="G3:G4"/>
    <mergeCell ref="F8:F10"/>
    <mergeCell ref="G8:G10"/>
    <mergeCell ref="H8:H10"/>
    <mergeCell ref="D10:D11"/>
    <mergeCell ref="F11:F12"/>
    <mergeCell ref="G11:G12"/>
    <mergeCell ref="H11:H12"/>
    <mergeCell ref="B23:B26"/>
    <mergeCell ref="C23:C26"/>
    <mergeCell ref="D23:D26"/>
    <mergeCell ref="B10:B11"/>
    <mergeCell ref="C10:C11"/>
    <mergeCell ref="B14:B16"/>
    <mergeCell ref="C14:C16"/>
    <mergeCell ref="D14:D16"/>
    <mergeCell ref="B17:D17"/>
    <mergeCell ref="B19:B22"/>
    <mergeCell ref="C19:C22"/>
    <mergeCell ref="D19:D22"/>
    <mergeCell ref="F13:F15"/>
    <mergeCell ref="G13:G15"/>
    <mergeCell ref="H13:H15"/>
    <mergeCell ref="F16:F18"/>
    <mergeCell ref="G16:G18"/>
    <mergeCell ref="H16:H18"/>
    <mergeCell ref="F19:F22"/>
    <mergeCell ref="G19:G22"/>
    <mergeCell ref="H19:H22"/>
    <mergeCell ref="F23:F26"/>
    <mergeCell ref="G23:G26"/>
    <mergeCell ref="H23:H26"/>
  </mergeCells>
  <conditionalFormatting sqref="D6 D8 D10 D12:D13 D18">
    <cfRule type="cellIs" dxfId="5" priority="1" operator="lessThan">
      <formula>0</formula>
    </cfRule>
    <cfRule type="cellIs" dxfId="4" priority="2" operator="greaterThan">
      <formula>3</formula>
    </cfRule>
  </conditionalFormatting>
  <conditionalFormatting sqref="K8">
    <cfRule type="cellIs" dxfId="3" priority="3" operator="greaterThan">
      <formula>2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300B-4F63-482B-9740-9DA34BD32463}">
  <sheetPr codeName="Sheet14"/>
  <dimension ref="A1:K39"/>
  <sheetViews>
    <sheetView workbookViewId="0">
      <selection activeCell="D13" sqref="D13"/>
    </sheetView>
  </sheetViews>
  <sheetFormatPr defaultRowHeight="15" x14ac:dyDescent="0.25"/>
  <cols>
    <col min="1" max="1" width="5.28515625" customWidth="1"/>
    <col min="2" max="2" width="7.5703125" style="2" customWidth="1"/>
    <col min="3" max="3" width="54" customWidth="1"/>
    <col min="4" max="4" width="9.42578125" style="2" customWidth="1"/>
    <col min="6" max="6" width="7.5703125" style="2" customWidth="1"/>
    <col min="7" max="7" width="53.28515625" customWidth="1"/>
    <col min="8" max="8" width="9.140625" style="2"/>
  </cols>
  <sheetData>
    <row r="1" spans="1:11" ht="21" x14ac:dyDescent="0.35">
      <c r="A1" t="s">
        <v>4</v>
      </c>
      <c r="B1" s="103" t="s">
        <v>695</v>
      </c>
    </row>
    <row r="2" spans="1:11" ht="15.75" thickBot="1" x14ac:dyDescent="0.3">
      <c r="A2" s="4"/>
      <c r="B2" s="4" t="s">
        <v>790</v>
      </c>
      <c r="F2" s="4" t="s">
        <v>790</v>
      </c>
    </row>
    <row r="3" spans="1:11" x14ac:dyDescent="0.25">
      <c r="B3" s="254" t="s">
        <v>115</v>
      </c>
      <c r="C3" s="250" t="s">
        <v>2</v>
      </c>
      <c r="D3" s="5" t="s">
        <v>3</v>
      </c>
      <c r="F3" s="254" t="s">
        <v>115</v>
      </c>
      <c r="G3" s="250" t="s">
        <v>2</v>
      </c>
      <c r="H3" s="5" t="s">
        <v>3</v>
      </c>
    </row>
    <row r="4" spans="1:11" ht="15.75" thickBot="1" x14ac:dyDescent="0.3">
      <c r="B4" s="255"/>
      <c r="C4" s="251"/>
      <c r="D4" s="29" t="s">
        <v>19</v>
      </c>
      <c r="F4" s="284"/>
      <c r="G4" s="251"/>
      <c r="H4" s="3" t="s">
        <v>19</v>
      </c>
    </row>
    <row r="5" spans="1:11" x14ac:dyDescent="0.25">
      <c r="B5" s="95"/>
      <c r="C5" s="89" t="s">
        <v>27</v>
      </c>
      <c r="D5" s="90"/>
      <c r="F5" s="56"/>
      <c r="G5" s="40" t="s">
        <v>819</v>
      </c>
      <c r="H5" s="58"/>
    </row>
    <row r="6" spans="1:11" ht="15.75" customHeight="1" x14ac:dyDescent="0.25">
      <c r="B6" s="263" t="s">
        <v>791</v>
      </c>
      <c r="C6" s="261" t="s">
        <v>792</v>
      </c>
      <c r="D6" s="258">
        <v>2</v>
      </c>
      <c r="E6" s="101"/>
      <c r="F6" s="263" t="s">
        <v>820</v>
      </c>
      <c r="G6" s="300" t="s">
        <v>821</v>
      </c>
      <c r="H6" s="319"/>
    </row>
    <row r="7" spans="1:11" x14ac:dyDescent="0.25">
      <c r="B7" s="264"/>
      <c r="C7" s="262"/>
      <c r="D7" s="260"/>
      <c r="E7" s="101"/>
      <c r="F7" s="268"/>
      <c r="G7" s="329"/>
      <c r="H7" s="320"/>
      <c r="K7" t="s">
        <v>4</v>
      </c>
    </row>
    <row r="8" spans="1:11" ht="14.25" customHeight="1" x14ac:dyDescent="0.25">
      <c r="B8" s="32" t="s">
        <v>793</v>
      </c>
      <c r="C8" s="34" t="s">
        <v>794</v>
      </c>
      <c r="D8" s="109">
        <v>2</v>
      </c>
      <c r="E8" s="101"/>
      <c r="F8" s="264"/>
      <c r="G8" s="332"/>
      <c r="H8" s="321"/>
    </row>
    <row r="9" spans="1:11" x14ac:dyDescent="0.25">
      <c r="B9" s="276" t="s">
        <v>289</v>
      </c>
      <c r="C9" s="277"/>
      <c r="D9" s="278"/>
      <c r="E9" s="101"/>
      <c r="F9" s="263" t="s">
        <v>822</v>
      </c>
      <c r="G9" s="300" t="s">
        <v>823</v>
      </c>
      <c r="H9" s="319"/>
    </row>
    <row r="10" spans="1:11" x14ac:dyDescent="0.25">
      <c r="B10" s="32" t="s">
        <v>795</v>
      </c>
      <c r="C10" s="34" t="s">
        <v>796</v>
      </c>
      <c r="D10" s="109">
        <v>2</v>
      </c>
      <c r="E10" s="101"/>
      <c r="F10" s="268"/>
      <c r="G10" s="329"/>
      <c r="H10" s="320"/>
    </row>
    <row r="11" spans="1:11" x14ac:dyDescent="0.25">
      <c r="B11" s="32" t="s">
        <v>797</v>
      </c>
      <c r="C11" s="34" t="s">
        <v>798</v>
      </c>
      <c r="D11" s="109">
        <v>2</v>
      </c>
      <c r="E11" s="101"/>
      <c r="F11" s="268"/>
      <c r="G11" s="329"/>
      <c r="H11" s="320"/>
    </row>
    <row r="12" spans="1:11" ht="15" customHeight="1" x14ac:dyDescent="0.25">
      <c r="B12" s="276" t="s">
        <v>73</v>
      </c>
      <c r="C12" s="277"/>
      <c r="D12" s="278"/>
      <c r="E12" s="101"/>
      <c r="F12" s="264"/>
      <c r="G12" s="332"/>
      <c r="H12" s="321"/>
    </row>
    <row r="13" spans="1:11" x14ac:dyDescent="0.25">
      <c r="B13" s="32" t="s">
        <v>799</v>
      </c>
      <c r="C13" s="34" t="s">
        <v>800</v>
      </c>
      <c r="D13" s="109">
        <v>2</v>
      </c>
      <c r="E13" s="101"/>
      <c r="F13" s="263" t="s">
        <v>824</v>
      </c>
      <c r="G13" s="300" t="s">
        <v>825</v>
      </c>
      <c r="H13" s="319"/>
    </row>
    <row r="14" spans="1:11" x14ac:dyDescent="0.25">
      <c r="B14" s="32" t="s">
        <v>801</v>
      </c>
      <c r="C14" s="34" t="s">
        <v>802</v>
      </c>
      <c r="D14" s="109"/>
      <c r="E14" s="101"/>
      <c r="F14" s="268"/>
      <c r="G14" s="329"/>
      <c r="H14" s="320"/>
    </row>
    <row r="15" spans="1:11" x14ac:dyDescent="0.25">
      <c r="B15" s="276" t="s">
        <v>74</v>
      </c>
      <c r="C15" s="277"/>
      <c r="D15" s="278"/>
      <c r="E15" s="101"/>
      <c r="F15" s="264"/>
      <c r="G15" s="332"/>
      <c r="H15" s="321"/>
    </row>
    <row r="16" spans="1:11" ht="15.75" customHeight="1" x14ac:dyDescent="0.25">
      <c r="B16" s="32" t="s">
        <v>803</v>
      </c>
      <c r="C16" s="34" t="s">
        <v>804</v>
      </c>
      <c r="D16" s="109"/>
      <c r="E16" s="101"/>
      <c r="F16" s="263" t="s">
        <v>826</v>
      </c>
      <c r="G16" s="300" t="s">
        <v>827</v>
      </c>
      <c r="H16" s="319"/>
    </row>
    <row r="17" spans="2:8" x14ac:dyDescent="0.25">
      <c r="B17" s="263" t="s">
        <v>805</v>
      </c>
      <c r="C17" s="314" t="s">
        <v>806</v>
      </c>
      <c r="D17" s="258"/>
      <c r="E17" s="101"/>
      <c r="F17" s="268"/>
      <c r="G17" s="329"/>
      <c r="H17" s="320"/>
    </row>
    <row r="18" spans="2:8" x14ac:dyDescent="0.25">
      <c r="B18" s="268"/>
      <c r="C18" s="331"/>
      <c r="D18" s="259"/>
      <c r="F18" s="268"/>
      <c r="G18" s="329"/>
      <c r="H18" s="320"/>
    </row>
    <row r="19" spans="2:8" x14ac:dyDescent="0.25">
      <c r="B19" s="268"/>
      <c r="C19" s="331"/>
      <c r="D19" s="259"/>
      <c r="E19" s="104"/>
      <c r="F19" s="268"/>
      <c r="G19" s="329"/>
      <c r="H19" s="320"/>
    </row>
    <row r="20" spans="2:8" x14ac:dyDescent="0.25">
      <c r="B20" s="264"/>
      <c r="C20" s="315"/>
      <c r="D20" s="260"/>
      <c r="E20" s="104"/>
      <c r="F20" s="264"/>
      <c r="G20" s="332"/>
      <c r="H20" s="321"/>
    </row>
    <row r="21" spans="2:8" x14ac:dyDescent="0.25">
      <c r="B21" s="263" t="s">
        <v>807</v>
      </c>
      <c r="C21" s="314" t="s">
        <v>808</v>
      </c>
      <c r="D21" s="258"/>
      <c r="F21" s="276" t="s">
        <v>98</v>
      </c>
      <c r="G21" s="277"/>
      <c r="H21" s="278"/>
    </row>
    <row r="22" spans="2:8" x14ac:dyDescent="0.25">
      <c r="B22" s="268"/>
      <c r="C22" s="331"/>
      <c r="D22" s="259"/>
      <c r="F22" s="263" t="s">
        <v>828</v>
      </c>
      <c r="G22" s="300" t="s">
        <v>829</v>
      </c>
      <c r="H22" s="319"/>
    </row>
    <row r="23" spans="2:8" x14ac:dyDescent="0.25">
      <c r="B23" s="268"/>
      <c r="C23" s="331"/>
      <c r="D23" s="259"/>
      <c r="F23" s="268"/>
      <c r="G23" s="329"/>
      <c r="H23" s="320"/>
    </row>
    <row r="24" spans="2:8" x14ac:dyDescent="0.25">
      <c r="B24" s="264"/>
      <c r="C24" s="315"/>
      <c r="D24" s="260"/>
      <c r="F24" s="268"/>
      <c r="G24" s="329"/>
      <c r="H24" s="320"/>
    </row>
    <row r="25" spans="2:8" x14ac:dyDescent="0.25">
      <c r="B25" s="32" t="s">
        <v>809</v>
      </c>
      <c r="C25" s="34" t="s">
        <v>810</v>
      </c>
      <c r="D25" s="109"/>
      <c r="F25" s="264"/>
      <c r="G25" s="332"/>
      <c r="H25" s="321"/>
    </row>
    <row r="26" spans="2:8" ht="15" customHeight="1" x14ac:dyDescent="0.25">
      <c r="B26" s="276" t="s">
        <v>85</v>
      </c>
      <c r="C26" s="277"/>
      <c r="D26" s="278"/>
      <c r="F26" s="263" t="s">
        <v>830</v>
      </c>
      <c r="G26" s="300" t="s">
        <v>831</v>
      </c>
      <c r="H26" s="319"/>
    </row>
    <row r="27" spans="2:8" ht="15" customHeight="1" x14ac:dyDescent="0.25">
      <c r="B27" s="32" t="s">
        <v>811</v>
      </c>
      <c r="C27" s="34" t="s">
        <v>812</v>
      </c>
      <c r="D27" s="109"/>
      <c r="F27" s="268"/>
      <c r="G27" s="329"/>
      <c r="H27" s="320"/>
    </row>
    <row r="28" spans="2:8" x14ac:dyDescent="0.25">
      <c r="B28" s="32" t="s">
        <v>813</v>
      </c>
      <c r="C28" s="34" t="s">
        <v>814</v>
      </c>
      <c r="D28" s="109"/>
      <c r="F28" s="268"/>
      <c r="G28" s="329"/>
      <c r="H28" s="320"/>
    </row>
    <row r="29" spans="2:8" x14ac:dyDescent="0.25">
      <c r="B29" s="263" t="s">
        <v>815</v>
      </c>
      <c r="C29" s="300" t="s">
        <v>816</v>
      </c>
      <c r="D29" s="319"/>
      <c r="F29" s="264"/>
      <c r="G29" s="332"/>
      <c r="H29" s="321"/>
    </row>
    <row r="30" spans="2:8" x14ac:dyDescent="0.25">
      <c r="B30" s="268"/>
      <c r="C30" s="329"/>
      <c r="D30" s="320"/>
      <c r="F30" s="32" t="s">
        <v>832</v>
      </c>
      <c r="G30" s="65" t="s">
        <v>833</v>
      </c>
      <c r="H30" s="123"/>
    </row>
    <row r="31" spans="2:8" ht="13.5" customHeight="1" x14ac:dyDescent="0.25">
      <c r="B31" s="268"/>
      <c r="C31" s="329"/>
      <c r="D31" s="320"/>
      <c r="F31" s="263" t="s">
        <v>834</v>
      </c>
      <c r="G31" s="300" t="s">
        <v>835</v>
      </c>
      <c r="H31" s="319"/>
    </row>
    <row r="32" spans="2:8" ht="21" customHeight="1" x14ac:dyDescent="0.25">
      <c r="B32" s="264"/>
      <c r="C32" s="332"/>
      <c r="D32" s="321"/>
      <c r="F32" s="268"/>
      <c r="G32" s="329"/>
      <c r="H32" s="320"/>
    </row>
    <row r="33" spans="2:8" ht="15.75" thickBot="1" x14ac:dyDescent="0.3">
      <c r="B33" s="54" t="s">
        <v>817</v>
      </c>
      <c r="C33" s="87" t="s">
        <v>818</v>
      </c>
      <c r="D33" s="115"/>
      <c r="F33" s="264"/>
      <c r="G33" s="332"/>
      <c r="H33" s="321"/>
    </row>
    <row r="34" spans="2:8" x14ac:dyDescent="0.25">
      <c r="F34" s="263" t="s">
        <v>836</v>
      </c>
      <c r="G34" s="300" t="s">
        <v>837</v>
      </c>
      <c r="H34" s="319"/>
    </row>
    <row r="35" spans="2:8" x14ac:dyDescent="0.25">
      <c r="F35" s="268"/>
      <c r="G35" s="329"/>
      <c r="H35" s="320"/>
    </row>
    <row r="36" spans="2:8" x14ac:dyDescent="0.25">
      <c r="F36" s="268"/>
      <c r="G36" s="329"/>
      <c r="H36" s="320"/>
    </row>
    <row r="37" spans="2:8" x14ac:dyDescent="0.25">
      <c r="F37" s="268"/>
      <c r="G37" s="329"/>
      <c r="H37" s="320"/>
    </row>
    <row r="38" spans="2:8" x14ac:dyDescent="0.25">
      <c r="F38" s="264"/>
      <c r="G38" s="332"/>
      <c r="H38" s="321"/>
    </row>
    <row r="39" spans="2:8" ht="15.75" thickBot="1" x14ac:dyDescent="0.3">
      <c r="F39" s="54" t="s">
        <v>839</v>
      </c>
      <c r="G39" s="55" t="s">
        <v>838</v>
      </c>
      <c r="H39" s="121"/>
    </row>
  </sheetData>
  <sheetProtection algorithmName="SHA-512" hashValue="xe7WJjC/QlhwuVEDVpFDp/ZV+OwxM315qcmJtkKspI/TDYwQaIvu1K1dl65Qp38GuMp8HHPrvYiqbDkMDpoHzw==" saltValue="0UYLZ+Q9VeNy9V/BD09d5w==" spinCount="100000" sheet="1" selectLockedCells="1"/>
  <mergeCells count="45">
    <mergeCell ref="H13:H15"/>
    <mergeCell ref="B3:B4"/>
    <mergeCell ref="C3:C4"/>
    <mergeCell ref="F3:F4"/>
    <mergeCell ref="G3:G4"/>
    <mergeCell ref="H6:H8"/>
    <mergeCell ref="F9:F12"/>
    <mergeCell ref="G9:G12"/>
    <mergeCell ref="H9:H12"/>
    <mergeCell ref="B6:B7"/>
    <mergeCell ref="C6:C7"/>
    <mergeCell ref="D6:D7"/>
    <mergeCell ref="B9:D9"/>
    <mergeCell ref="B12:D12"/>
    <mergeCell ref="B29:B32"/>
    <mergeCell ref="C29:C32"/>
    <mergeCell ref="D29:D32"/>
    <mergeCell ref="F6:F8"/>
    <mergeCell ref="G6:G8"/>
    <mergeCell ref="B15:D15"/>
    <mergeCell ref="B21:B24"/>
    <mergeCell ref="C21:C24"/>
    <mergeCell ref="D21:D24"/>
    <mergeCell ref="B26:D26"/>
    <mergeCell ref="B17:B20"/>
    <mergeCell ref="C17:C20"/>
    <mergeCell ref="D17:D20"/>
    <mergeCell ref="F13:F15"/>
    <mergeCell ref="G13:G15"/>
    <mergeCell ref="F16:F20"/>
    <mergeCell ref="G16:G20"/>
    <mergeCell ref="H16:H20"/>
    <mergeCell ref="F21:H21"/>
    <mergeCell ref="F22:F25"/>
    <mergeCell ref="G22:G25"/>
    <mergeCell ref="H22:H25"/>
    <mergeCell ref="F34:F38"/>
    <mergeCell ref="G34:G38"/>
    <mergeCell ref="H34:H38"/>
    <mergeCell ref="F26:F29"/>
    <mergeCell ref="G26:G29"/>
    <mergeCell ref="H26:H29"/>
    <mergeCell ref="F31:F33"/>
    <mergeCell ref="G31:G33"/>
    <mergeCell ref="H31:H33"/>
  </mergeCells>
  <conditionalFormatting sqref="D6 D8 D10:D11 D13:D14 D16:D17 D21 D25 D27:D28">
    <cfRule type="cellIs" dxfId="2" priority="1" operator="lessThan">
      <formula>0</formula>
    </cfRule>
    <cfRule type="cellIs" dxfId="1" priority="2" operator="greaterThan">
      <formula>3</formula>
    </cfRule>
  </conditionalFormatting>
  <conditionalFormatting sqref="K8">
    <cfRule type="cellIs" dxfId="0" priority="3" operator="greaterThan">
      <formula>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5F32-2E8B-424D-A8E7-B80EF154D68F}">
  <dimension ref="B1:AM96"/>
  <sheetViews>
    <sheetView workbookViewId="0">
      <selection activeCell="F4" sqref="F4"/>
    </sheetView>
  </sheetViews>
  <sheetFormatPr defaultRowHeight="15" x14ac:dyDescent="0.25"/>
  <cols>
    <col min="2" max="6" width="9.140625" style="2"/>
    <col min="8" max="9" width="9.140625" style="2"/>
    <col min="11" max="12" width="9.140625" style="2"/>
    <col min="14" max="15" width="9.140625" style="2"/>
    <col min="17" max="18" width="9.140625" style="2"/>
    <col min="20" max="21" width="9.140625" style="2"/>
    <col min="23" max="24" width="9.140625" style="2"/>
    <col min="26" max="27" width="9.140625" style="2"/>
    <col min="29" max="30" width="9.140625" style="2"/>
    <col min="32" max="33" width="9.140625" style="2"/>
    <col min="35" max="36" width="9.140625" style="2"/>
    <col min="38" max="39" width="9.140625" style="2"/>
  </cols>
  <sheetData>
    <row r="1" spans="2:39" ht="15.75" thickBot="1" x14ac:dyDescent="0.3"/>
    <row r="2" spans="2:39" x14ac:dyDescent="0.25">
      <c r="B2" s="333" t="s">
        <v>843</v>
      </c>
      <c r="C2" s="334"/>
      <c r="E2" s="333" t="s">
        <v>845</v>
      </c>
      <c r="F2" s="334"/>
      <c r="H2" s="333" t="s">
        <v>848</v>
      </c>
      <c r="I2" s="334"/>
      <c r="K2" s="333" t="s">
        <v>849</v>
      </c>
      <c r="L2" s="334"/>
      <c r="N2" s="333" t="s">
        <v>850</v>
      </c>
      <c r="O2" s="334"/>
      <c r="Q2" s="333" t="s">
        <v>852</v>
      </c>
      <c r="R2" s="334"/>
      <c r="T2" s="333" t="s">
        <v>854</v>
      </c>
      <c r="U2" s="334"/>
      <c r="W2" s="333" t="s">
        <v>855</v>
      </c>
      <c r="X2" s="334"/>
      <c r="Z2" s="333" t="s">
        <v>856</v>
      </c>
      <c r="AA2" s="334"/>
      <c r="AC2" s="333" t="s">
        <v>857</v>
      </c>
      <c r="AD2" s="334"/>
      <c r="AF2" s="333" t="s">
        <v>858</v>
      </c>
      <c r="AG2" s="334"/>
      <c r="AI2" s="333" t="s">
        <v>859</v>
      </c>
      <c r="AJ2" s="334"/>
      <c r="AL2" s="333" t="s">
        <v>860</v>
      </c>
      <c r="AM2" s="334"/>
    </row>
    <row r="3" spans="2:39" ht="15.75" thickBot="1" x14ac:dyDescent="0.3">
      <c r="B3" s="129" t="s">
        <v>3</v>
      </c>
      <c r="C3" s="130" t="s">
        <v>844</v>
      </c>
      <c r="E3" s="126" t="s">
        <v>3</v>
      </c>
      <c r="F3" s="127" t="s">
        <v>844</v>
      </c>
      <c r="H3" s="126" t="s">
        <v>3</v>
      </c>
      <c r="I3" s="127" t="s">
        <v>844</v>
      </c>
      <c r="K3" s="126" t="s">
        <v>3</v>
      </c>
      <c r="L3" s="127" t="s">
        <v>844</v>
      </c>
      <c r="N3" s="126" t="s">
        <v>3</v>
      </c>
      <c r="O3" s="127" t="s">
        <v>851</v>
      </c>
      <c r="Q3" s="126" t="s">
        <v>3</v>
      </c>
      <c r="R3" s="127" t="s">
        <v>853</v>
      </c>
      <c r="T3" s="126" t="s">
        <v>3</v>
      </c>
      <c r="U3" s="127" t="s">
        <v>853</v>
      </c>
      <c r="W3" s="126" t="s">
        <v>3</v>
      </c>
      <c r="X3" s="127" t="s">
        <v>853</v>
      </c>
      <c r="Z3" s="126" t="s">
        <v>3</v>
      </c>
      <c r="AA3" s="127" t="s">
        <v>853</v>
      </c>
      <c r="AC3" s="126" t="s">
        <v>3</v>
      </c>
      <c r="AD3" s="127" t="s">
        <v>853</v>
      </c>
      <c r="AF3" s="126" t="s">
        <v>3</v>
      </c>
      <c r="AG3" s="127" t="s">
        <v>853</v>
      </c>
      <c r="AI3" s="126" t="s">
        <v>3</v>
      </c>
      <c r="AJ3" s="127" t="s">
        <v>853</v>
      </c>
      <c r="AL3" s="126" t="s">
        <v>3</v>
      </c>
      <c r="AM3" s="127" t="s">
        <v>853</v>
      </c>
    </row>
    <row r="4" spans="2:39" x14ac:dyDescent="0.25">
      <c r="B4" s="105">
        <v>3</v>
      </c>
      <c r="C4" s="37">
        <v>0</v>
      </c>
      <c r="E4" s="31">
        <v>6</v>
      </c>
      <c r="F4" s="36">
        <v>24</v>
      </c>
      <c r="H4" s="31">
        <v>4</v>
      </c>
      <c r="I4" s="36">
        <v>0</v>
      </c>
      <c r="K4" s="31">
        <v>0</v>
      </c>
      <c r="L4" s="36">
        <v>0</v>
      </c>
      <c r="N4" s="31">
        <v>0</v>
      </c>
      <c r="O4" s="36">
        <v>0</v>
      </c>
      <c r="Q4" s="31">
        <v>0</v>
      </c>
      <c r="R4" s="36">
        <v>0</v>
      </c>
      <c r="T4" s="31">
        <v>0</v>
      </c>
      <c r="U4" s="36">
        <v>0</v>
      </c>
      <c r="W4" s="31">
        <v>0</v>
      </c>
      <c r="X4" s="36">
        <v>0</v>
      </c>
      <c r="Z4" s="31">
        <v>0</v>
      </c>
      <c r="AA4" s="36">
        <v>0</v>
      </c>
      <c r="AC4" s="31">
        <v>0</v>
      </c>
      <c r="AD4" s="36">
        <v>0</v>
      </c>
      <c r="AF4" s="31">
        <v>0</v>
      </c>
      <c r="AG4" s="36">
        <v>0</v>
      </c>
      <c r="AI4" s="31">
        <v>0</v>
      </c>
      <c r="AJ4" s="36">
        <v>0</v>
      </c>
      <c r="AL4" s="31">
        <v>0</v>
      </c>
      <c r="AM4" s="36">
        <v>0</v>
      </c>
    </row>
    <row r="5" spans="2:39" x14ac:dyDescent="0.25">
      <c r="B5" s="31">
        <f>B4+1</f>
        <v>4</v>
      </c>
      <c r="C5" s="36">
        <v>1</v>
      </c>
      <c r="E5" s="31">
        <f>E4+1</f>
        <v>7</v>
      </c>
      <c r="F5" s="36">
        <v>24</v>
      </c>
      <c r="H5" s="31">
        <v>5</v>
      </c>
      <c r="I5" s="36">
        <v>0</v>
      </c>
      <c r="K5" s="31">
        <f>K4+1</f>
        <v>1</v>
      </c>
      <c r="L5" s="36">
        <v>0</v>
      </c>
      <c r="N5" s="31">
        <f>N4+1</f>
        <v>1</v>
      </c>
      <c r="O5" s="36">
        <v>0</v>
      </c>
      <c r="Q5" s="31">
        <f>Q4+1</f>
        <v>1</v>
      </c>
      <c r="R5" s="36">
        <v>0</v>
      </c>
      <c r="T5" s="31">
        <f>T4+1</f>
        <v>1</v>
      </c>
      <c r="U5" s="36">
        <v>0</v>
      </c>
      <c r="W5" s="31">
        <f>W4+1</f>
        <v>1</v>
      </c>
      <c r="X5" s="36">
        <v>0</v>
      </c>
      <c r="Z5" s="31">
        <f>Z4+1</f>
        <v>1</v>
      </c>
      <c r="AA5" s="36">
        <v>0</v>
      </c>
      <c r="AC5" s="31">
        <f>AC4+1</f>
        <v>1</v>
      </c>
      <c r="AD5" s="36">
        <v>0</v>
      </c>
      <c r="AF5" s="31">
        <f>AF4+1</f>
        <v>1</v>
      </c>
      <c r="AG5" s="36">
        <v>0</v>
      </c>
      <c r="AI5" s="31">
        <f>AI4+1</f>
        <v>1</v>
      </c>
      <c r="AJ5" s="36">
        <v>0</v>
      </c>
      <c r="AL5" s="31">
        <f>AL4+1</f>
        <v>1</v>
      </c>
      <c r="AM5" s="36">
        <v>0</v>
      </c>
    </row>
    <row r="6" spans="2:39" x14ac:dyDescent="0.25">
      <c r="B6" s="31">
        <f t="shared" ref="B6:B66" si="0">B5+1</f>
        <v>5</v>
      </c>
      <c r="C6" s="36">
        <v>3</v>
      </c>
      <c r="E6" s="31">
        <f t="shared" ref="E6:E43" si="1">E5+1</f>
        <v>8</v>
      </c>
      <c r="F6" s="36">
        <v>25</v>
      </c>
      <c r="H6" s="31">
        <v>6</v>
      </c>
      <c r="I6" s="36">
        <v>1</v>
      </c>
      <c r="K6" s="31">
        <f t="shared" ref="K6:K54" si="2">K5+1</f>
        <v>2</v>
      </c>
      <c r="L6" s="36">
        <v>0</v>
      </c>
      <c r="N6" s="31">
        <f t="shared" ref="N6:N69" si="3">N5+1</f>
        <v>2</v>
      </c>
      <c r="O6" s="36">
        <v>0</v>
      </c>
      <c r="Q6" s="31">
        <f t="shared" ref="Q6:Q56" si="4">Q5+1</f>
        <v>2</v>
      </c>
      <c r="R6" s="36">
        <v>0</v>
      </c>
      <c r="T6" s="31">
        <f t="shared" ref="T6:T58" si="5">T5+1</f>
        <v>2</v>
      </c>
      <c r="U6" s="36">
        <v>0</v>
      </c>
      <c r="W6" s="31">
        <f t="shared" ref="W6:W69" si="6">W5+1</f>
        <v>2</v>
      </c>
      <c r="X6" s="36">
        <v>0</v>
      </c>
      <c r="Z6" s="31">
        <f t="shared" ref="Z6:Z64" si="7">Z5+1</f>
        <v>2</v>
      </c>
      <c r="AA6" s="36">
        <v>0</v>
      </c>
      <c r="AC6" s="31">
        <f t="shared" ref="AC6:AC54" si="8">AC5+1</f>
        <v>2</v>
      </c>
      <c r="AD6" s="36">
        <v>0</v>
      </c>
      <c r="AF6" s="31">
        <f t="shared" ref="AF6:AF64" si="9">AF5+1</f>
        <v>2</v>
      </c>
      <c r="AG6" s="36">
        <v>0</v>
      </c>
      <c r="AI6" s="31">
        <f t="shared" ref="AI6:AI40" si="10">AI5+1</f>
        <v>2</v>
      </c>
      <c r="AJ6" s="36">
        <v>0</v>
      </c>
      <c r="AL6" s="31">
        <f t="shared" ref="AL6:AL52" si="11">AL5+1</f>
        <v>2</v>
      </c>
      <c r="AM6" s="36">
        <v>0</v>
      </c>
    </row>
    <row r="7" spans="2:39" x14ac:dyDescent="0.25">
      <c r="B7" s="31">
        <f t="shared" si="0"/>
        <v>6</v>
      </c>
      <c r="C7" s="36">
        <v>4</v>
      </c>
      <c r="E7" s="31">
        <f t="shared" si="1"/>
        <v>9</v>
      </c>
      <c r="F7" s="36">
        <v>28</v>
      </c>
      <c r="H7" s="31">
        <v>7</v>
      </c>
      <c r="I7" s="36">
        <v>2</v>
      </c>
      <c r="K7" s="31">
        <f t="shared" si="2"/>
        <v>3</v>
      </c>
      <c r="L7" s="36">
        <v>0</v>
      </c>
      <c r="N7" s="31">
        <f t="shared" si="3"/>
        <v>3</v>
      </c>
      <c r="O7" s="36">
        <v>1</v>
      </c>
      <c r="Q7" s="31">
        <f t="shared" si="4"/>
        <v>3</v>
      </c>
      <c r="R7" s="36">
        <v>0</v>
      </c>
      <c r="T7" s="31">
        <f t="shared" si="5"/>
        <v>3</v>
      </c>
      <c r="U7" s="36">
        <v>0</v>
      </c>
      <c r="W7" s="31">
        <f t="shared" si="6"/>
        <v>3</v>
      </c>
      <c r="X7" s="36">
        <v>0</v>
      </c>
      <c r="Z7" s="31">
        <f t="shared" si="7"/>
        <v>3</v>
      </c>
      <c r="AA7" s="36">
        <v>0</v>
      </c>
      <c r="AC7" s="31">
        <f t="shared" si="8"/>
        <v>3</v>
      </c>
      <c r="AD7" s="36">
        <v>0</v>
      </c>
      <c r="AF7" s="31">
        <f t="shared" si="9"/>
        <v>3</v>
      </c>
      <c r="AG7" s="36">
        <v>0</v>
      </c>
      <c r="AI7" s="31">
        <f t="shared" si="10"/>
        <v>3</v>
      </c>
      <c r="AJ7" s="36">
        <v>0</v>
      </c>
      <c r="AL7" s="31">
        <f t="shared" si="11"/>
        <v>3</v>
      </c>
      <c r="AM7" s="36">
        <v>0</v>
      </c>
    </row>
    <row r="8" spans="2:39" x14ac:dyDescent="0.25">
      <c r="B8" s="31">
        <f t="shared" si="0"/>
        <v>7</v>
      </c>
      <c r="C8" s="36">
        <v>5</v>
      </c>
      <c r="E8" s="31">
        <f t="shared" si="1"/>
        <v>10</v>
      </c>
      <c r="F8" s="36">
        <v>31</v>
      </c>
      <c r="H8" s="31">
        <v>8</v>
      </c>
      <c r="I8" s="36">
        <v>2</v>
      </c>
      <c r="K8" s="31">
        <f t="shared" si="2"/>
        <v>4</v>
      </c>
      <c r="L8" s="36">
        <v>0</v>
      </c>
      <c r="N8" s="31">
        <f t="shared" si="3"/>
        <v>4</v>
      </c>
      <c r="O8" s="36">
        <v>1</v>
      </c>
      <c r="Q8" s="31">
        <f t="shared" si="4"/>
        <v>4</v>
      </c>
      <c r="R8" s="36">
        <v>0</v>
      </c>
      <c r="T8" s="31">
        <f t="shared" si="5"/>
        <v>4</v>
      </c>
      <c r="U8" s="36">
        <v>0</v>
      </c>
      <c r="W8" s="31">
        <f t="shared" si="6"/>
        <v>4</v>
      </c>
      <c r="X8" s="36">
        <v>0</v>
      </c>
      <c r="Z8" s="31">
        <f t="shared" si="7"/>
        <v>4</v>
      </c>
      <c r="AA8" s="36">
        <v>0</v>
      </c>
      <c r="AC8" s="31">
        <f t="shared" si="8"/>
        <v>4</v>
      </c>
      <c r="AD8" s="36">
        <v>0</v>
      </c>
      <c r="AF8" s="31">
        <f t="shared" si="9"/>
        <v>4</v>
      </c>
      <c r="AG8" s="36">
        <v>0</v>
      </c>
      <c r="AI8" s="31">
        <f t="shared" si="10"/>
        <v>4</v>
      </c>
      <c r="AJ8" s="36">
        <v>0</v>
      </c>
      <c r="AL8" s="31">
        <f t="shared" si="11"/>
        <v>4</v>
      </c>
      <c r="AM8" s="36">
        <v>0</v>
      </c>
    </row>
    <row r="9" spans="2:39" x14ac:dyDescent="0.25">
      <c r="B9" s="31">
        <f t="shared" si="0"/>
        <v>8</v>
      </c>
      <c r="C9" s="36">
        <v>6</v>
      </c>
      <c r="E9" s="31">
        <f t="shared" si="1"/>
        <v>11</v>
      </c>
      <c r="F9" s="36">
        <v>34</v>
      </c>
      <c r="H9" s="31">
        <v>9</v>
      </c>
      <c r="I9" s="36">
        <v>3</v>
      </c>
      <c r="K9" s="31">
        <f t="shared" si="2"/>
        <v>5</v>
      </c>
      <c r="L9" s="36">
        <v>0</v>
      </c>
      <c r="N9" s="31">
        <f t="shared" si="3"/>
        <v>5</v>
      </c>
      <c r="O9" s="36">
        <v>2</v>
      </c>
      <c r="Q9" s="31">
        <f t="shared" si="4"/>
        <v>5</v>
      </c>
      <c r="R9" s="36">
        <v>0</v>
      </c>
      <c r="T9" s="31">
        <f t="shared" si="5"/>
        <v>5</v>
      </c>
      <c r="U9" s="36">
        <v>2</v>
      </c>
      <c r="W9" s="31">
        <f t="shared" si="6"/>
        <v>5</v>
      </c>
      <c r="X9" s="36">
        <v>0</v>
      </c>
      <c r="Z9" s="31">
        <f t="shared" si="7"/>
        <v>5</v>
      </c>
      <c r="AA9" s="36">
        <v>2</v>
      </c>
      <c r="AC9" s="31">
        <f t="shared" si="8"/>
        <v>5</v>
      </c>
      <c r="AD9" s="36">
        <v>0</v>
      </c>
      <c r="AF9" s="31">
        <f t="shared" si="9"/>
        <v>5</v>
      </c>
      <c r="AG9" s="36">
        <v>0</v>
      </c>
      <c r="AI9" s="31">
        <f t="shared" si="10"/>
        <v>5</v>
      </c>
      <c r="AJ9" s="36">
        <v>0</v>
      </c>
      <c r="AL9" s="31">
        <f t="shared" si="11"/>
        <v>5</v>
      </c>
      <c r="AM9" s="36">
        <v>2</v>
      </c>
    </row>
    <row r="10" spans="2:39" x14ac:dyDescent="0.25">
      <c r="B10" s="31">
        <f t="shared" si="0"/>
        <v>9</v>
      </c>
      <c r="C10" s="36">
        <v>6</v>
      </c>
      <c r="E10" s="31">
        <f t="shared" si="1"/>
        <v>12</v>
      </c>
      <c r="F10" s="36">
        <v>35</v>
      </c>
      <c r="H10" s="31">
        <v>10</v>
      </c>
      <c r="I10" s="36">
        <v>3</v>
      </c>
      <c r="K10" s="31">
        <f t="shared" si="2"/>
        <v>6</v>
      </c>
      <c r="L10" s="36">
        <v>0</v>
      </c>
      <c r="N10" s="31">
        <f t="shared" si="3"/>
        <v>6</v>
      </c>
      <c r="O10" s="36">
        <v>2</v>
      </c>
      <c r="Q10" s="31">
        <f t="shared" si="4"/>
        <v>6</v>
      </c>
      <c r="R10" s="36">
        <v>1</v>
      </c>
      <c r="T10" s="31">
        <f t="shared" si="5"/>
        <v>6</v>
      </c>
      <c r="U10" s="36">
        <v>3</v>
      </c>
      <c r="W10" s="31">
        <f t="shared" si="6"/>
        <v>6</v>
      </c>
      <c r="X10" s="36">
        <v>1</v>
      </c>
      <c r="Z10" s="31">
        <f t="shared" si="7"/>
        <v>6</v>
      </c>
      <c r="AA10" s="36">
        <v>3</v>
      </c>
      <c r="AC10" s="31">
        <f t="shared" si="8"/>
        <v>6</v>
      </c>
      <c r="AD10" s="36">
        <v>0</v>
      </c>
      <c r="AF10" s="31">
        <f t="shared" si="9"/>
        <v>6</v>
      </c>
      <c r="AG10" s="36">
        <v>1</v>
      </c>
      <c r="AI10" s="31">
        <f t="shared" si="10"/>
        <v>6</v>
      </c>
      <c r="AJ10" s="36">
        <v>0</v>
      </c>
      <c r="AL10" s="31">
        <f t="shared" si="11"/>
        <v>6</v>
      </c>
      <c r="AM10" s="36">
        <v>4</v>
      </c>
    </row>
    <row r="11" spans="2:39" x14ac:dyDescent="0.25">
      <c r="B11" s="31">
        <f t="shared" si="0"/>
        <v>10</v>
      </c>
      <c r="C11" s="36">
        <v>6</v>
      </c>
      <c r="E11" s="31">
        <f t="shared" si="1"/>
        <v>13</v>
      </c>
      <c r="F11" s="36">
        <v>36</v>
      </c>
      <c r="H11" s="31">
        <v>11</v>
      </c>
      <c r="I11" s="36">
        <v>4</v>
      </c>
      <c r="K11" s="31">
        <f t="shared" si="2"/>
        <v>7</v>
      </c>
      <c r="L11" s="36">
        <v>0</v>
      </c>
      <c r="N11" s="31">
        <f t="shared" si="3"/>
        <v>7</v>
      </c>
      <c r="O11" s="36">
        <v>3</v>
      </c>
      <c r="Q11" s="31">
        <f t="shared" si="4"/>
        <v>7</v>
      </c>
      <c r="R11" s="36">
        <v>1</v>
      </c>
      <c r="T11" s="31">
        <f t="shared" si="5"/>
        <v>7</v>
      </c>
      <c r="U11" s="36">
        <v>4</v>
      </c>
      <c r="W11" s="31">
        <f t="shared" si="6"/>
        <v>7</v>
      </c>
      <c r="X11" s="36">
        <v>2</v>
      </c>
      <c r="Z11" s="31">
        <f t="shared" si="7"/>
        <v>7</v>
      </c>
      <c r="AA11" s="36">
        <v>4</v>
      </c>
      <c r="AC11" s="31">
        <f t="shared" si="8"/>
        <v>7</v>
      </c>
      <c r="AD11" s="36">
        <v>0</v>
      </c>
      <c r="AF11" s="31">
        <f t="shared" si="9"/>
        <v>7</v>
      </c>
      <c r="AG11" s="36">
        <v>1</v>
      </c>
      <c r="AI11" s="31">
        <f t="shared" si="10"/>
        <v>7</v>
      </c>
      <c r="AJ11" s="36">
        <v>0</v>
      </c>
      <c r="AL11" s="31">
        <f t="shared" si="11"/>
        <v>7</v>
      </c>
      <c r="AM11" s="36">
        <v>5</v>
      </c>
    </row>
    <row r="12" spans="2:39" x14ac:dyDescent="0.25">
      <c r="B12" s="31">
        <f t="shared" si="0"/>
        <v>11</v>
      </c>
      <c r="C12" s="36">
        <v>7</v>
      </c>
      <c r="E12" s="31">
        <f t="shared" si="1"/>
        <v>14</v>
      </c>
      <c r="F12" s="36">
        <v>37</v>
      </c>
      <c r="H12" s="31">
        <v>12</v>
      </c>
      <c r="I12" s="36">
        <v>4</v>
      </c>
      <c r="K12" s="31">
        <f t="shared" si="2"/>
        <v>8</v>
      </c>
      <c r="L12" s="36">
        <v>0</v>
      </c>
      <c r="N12" s="31">
        <f t="shared" si="3"/>
        <v>8</v>
      </c>
      <c r="O12" s="36">
        <v>4</v>
      </c>
      <c r="Q12" s="31">
        <f t="shared" si="4"/>
        <v>8</v>
      </c>
      <c r="R12" s="36">
        <v>2</v>
      </c>
      <c r="T12" s="31">
        <f t="shared" si="5"/>
        <v>8</v>
      </c>
      <c r="U12" s="36">
        <v>5</v>
      </c>
      <c r="W12" s="31">
        <f t="shared" si="6"/>
        <v>8</v>
      </c>
      <c r="X12" s="36">
        <v>2</v>
      </c>
      <c r="Z12" s="31">
        <f t="shared" si="7"/>
        <v>8</v>
      </c>
      <c r="AA12" s="36">
        <v>4</v>
      </c>
      <c r="AC12" s="31">
        <f t="shared" si="8"/>
        <v>8</v>
      </c>
      <c r="AD12" s="36">
        <v>0</v>
      </c>
      <c r="AF12" s="31">
        <f t="shared" si="9"/>
        <v>8</v>
      </c>
      <c r="AG12" s="36">
        <v>2</v>
      </c>
      <c r="AI12" s="31">
        <f t="shared" si="10"/>
        <v>8</v>
      </c>
      <c r="AJ12" s="36">
        <v>0</v>
      </c>
      <c r="AL12" s="31">
        <f t="shared" si="11"/>
        <v>8</v>
      </c>
      <c r="AM12" s="36">
        <v>6</v>
      </c>
    </row>
    <row r="13" spans="2:39" x14ac:dyDescent="0.25">
      <c r="B13" s="31">
        <f t="shared" si="0"/>
        <v>12</v>
      </c>
      <c r="C13" s="36">
        <v>7</v>
      </c>
      <c r="E13" s="31">
        <f t="shared" si="1"/>
        <v>15</v>
      </c>
      <c r="F13" s="36">
        <v>40</v>
      </c>
      <c r="H13" s="31">
        <v>13</v>
      </c>
      <c r="I13" s="36">
        <v>5</v>
      </c>
      <c r="K13" s="31">
        <f t="shared" si="2"/>
        <v>9</v>
      </c>
      <c r="L13" s="36">
        <v>0</v>
      </c>
      <c r="N13" s="31">
        <f t="shared" si="3"/>
        <v>9</v>
      </c>
      <c r="O13" s="36">
        <v>9</v>
      </c>
      <c r="Q13" s="31">
        <f t="shared" si="4"/>
        <v>9</v>
      </c>
      <c r="R13" s="36">
        <v>3</v>
      </c>
      <c r="T13" s="31">
        <f t="shared" si="5"/>
        <v>9</v>
      </c>
      <c r="U13" s="36">
        <v>5</v>
      </c>
      <c r="W13" s="31">
        <f t="shared" si="6"/>
        <v>9</v>
      </c>
      <c r="X13" s="36">
        <v>3</v>
      </c>
      <c r="Z13" s="31">
        <f t="shared" si="7"/>
        <v>9</v>
      </c>
      <c r="AA13" s="36">
        <v>5</v>
      </c>
      <c r="AC13" s="31">
        <f t="shared" si="8"/>
        <v>9</v>
      </c>
      <c r="AD13" s="36">
        <v>0</v>
      </c>
      <c r="AF13" s="31">
        <f t="shared" si="9"/>
        <v>9</v>
      </c>
      <c r="AG13" s="36">
        <v>2</v>
      </c>
      <c r="AI13" s="31">
        <f t="shared" si="10"/>
        <v>9</v>
      </c>
      <c r="AJ13" s="36">
        <v>0</v>
      </c>
      <c r="AL13" s="31">
        <f t="shared" si="11"/>
        <v>9</v>
      </c>
      <c r="AM13" s="36">
        <v>7</v>
      </c>
    </row>
    <row r="14" spans="2:39" x14ac:dyDescent="0.25">
      <c r="B14" s="31">
        <f t="shared" si="0"/>
        <v>13</v>
      </c>
      <c r="C14" s="36">
        <v>8</v>
      </c>
      <c r="E14" s="31">
        <f t="shared" si="1"/>
        <v>16</v>
      </c>
      <c r="F14" s="36">
        <v>42</v>
      </c>
      <c r="H14" s="31">
        <v>14</v>
      </c>
      <c r="I14" s="36">
        <v>5</v>
      </c>
      <c r="K14" s="31">
        <f t="shared" si="2"/>
        <v>10</v>
      </c>
      <c r="L14" s="36">
        <v>0</v>
      </c>
      <c r="N14" s="31">
        <f t="shared" si="3"/>
        <v>10</v>
      </c>
      <c r="O14" s="36">
        <v>6</v>
      </c>
      <c r="Q14" s="31">
        <f t="shared" si="4"/>
        <v>10</v>
      </c>
      <c r="R14" s="36">
        <v>3</v>
      </c>
      <c r="T14" s="31">
        <f t="shared" si="5"/>
        <v>10</v>
      </c>
      <c r="U14" s="36">
        <v>6</v>
      </c>
      <c r="W14" s="31">
        <f t="shared" si="6"/>
        <v>10</v>
      </c>
      <c r="X14" s="36">
        <v>3</v>
      </c>
      <c r="Z14" s="31">
        <f t="shared" si="7"/>
        <v>10</v>
      </c>
      <c r="AA14" s="36">
        <v>5</v>
      </c>
      <c r="AC14" s="31">
        <f t="shared" si="8"/>
        <v>10</v>
      </c>
      <c r="AD14" s="36">
        <v>0</v>
      </c>
      <c r="AF14" s="31">
        <f t="shared" si="9"/>
        <v>10</v>
      </c>
      <c r="AG14" s="36">
        <v>3</v>
      </c>
      <c r="AI14" s="31">
        <f t="shared" si="10"/>
        <v>10</v>
      </c>
      <c r="AJ14" s="36">
        <v>0</v>
      </c>
      <c r="AL14" s="31">
        <f t="shared" si="11"/>
        <v>10</v>
      </c>
      <c r="AM14" s="36">
        <v>9</v>
      </c>
    </row>
    <row r="15" spans="2:39" x14ac:dyDescent="0.25">
      <c r="B15" s="31">
        <f t="shared" si="0"/>
        <v>14</v>
      </c>
      <c r="C15" s="36">
        <v>8</v>
      </c>
      <c r="E15" s="31">
        <f t="shared" si="1"/>
        <v>17</v>
      </c>
      <c r="F15" s="36">
        <v>43</v>
      </c>
      <c r="H15" s="31">
        <v>15</v>
      </c>
      <c r="I15" s="36">
        <v>6</v>
      </c>
      <c r="K15" s="31">
        <f t="shared" si="2"/>
        <v>11</v>
      </c>
      <c r="L15" s="36">
        <v>0</v>
      </c>
      <c r="N15" s="31">
        <f t="shared" si="3"/>
        <v>11</v>
      </c>
      <c r="O15" s="36">
        <v>7</v>
      </c>
      <c r="Q15" s="31">
        <f t="shared" si="4"/>
        <v>11</v>
      </c>
      <c r="R15" s="36">
        <v>4</v>
      </c>
      <c r="T15" s="31">
        <f t="shared" si="5"/>
        <v>11</v>
      </c>
      <c r="U15" s="36">
        <v>7</v>
      </c>
      <c r="W15" s="31">
        <f t="shared" si="6"/>
        <v>11</v>
      </c>
      <c r="X15" s="36">
        <v>3</v>
      </c>
      <c r="Z15" s="31">
        <f t="shared" si="7"/>
        <v>11</v>
      </c>
      <c r="AA15" s="36">
        <v>6</v>
      </c>
      <c r="AC15" s="31">
        <f t="shared" si="8"/>
        <v>11</v>
      </c>
      <c r="AD15" s="36">
        <v>0</v>
      </c>
      <c r="AF15" s="31">
        <f t="shared" si="9"/>
        <v>11</v>
      </c>
      <c r="AG15" s="36">
        <v>3</v>
      </c>
      <c r="AI15" s="31">
        <f t="shared" si="10"/>
        <v>11</v>
      </c>
      <c r="AJ15" s="36">
        <v>0</v>
      </c>
      <c r="AL15" s="31">
        <f t="shared" si="11"/>
        <v>11</v>
      </c>
      <c r="AM15" s="36">
        <v>11</v>
      </c>
    </row>
    <row r="16" spans="2:39" x14ac:dyDescent="0.25">
      <c r="B16" s="31">
        <f t="shared" si="0"/>
        <v>15</v>
      </c>
      <c r="C16" s="36">
        <v>9</v>
      </c>
      <c r="E16" s="31">
        <f t="shared" si="1"/>
        <v>18</v>
      </c>
      <c r="F16" s="36">
        <v>45</v>
      </c>
      <c r="H16" s="31">
        <v>16</v>
      </c>
      <c r="I16" s="36">
        <v>7</v>
      </c>
      <c r="K16" s="31">
        <f t="shared" si="2"/>
        <v>12</v>
      </c>
      <c r="L16" s="36">
        <v>0</v>
      </c>
      <c r="N16" s="31">
        <f t="shared" si="3"/>
        <v>12</v>
      </c>
      <c r="O16" s="36">
        <v>8</v>
      </c>
      <c r="Q16" s="31">
        <f t="shared" si="4"/>
        <v>12</v>
      </c>
      <c r="R16" s="36">
        <v>5</v>
      </c>
      <c r="T16" s="31">
        <f t="shared" si="5"/>
        <v>12</v>
      </c>
      <c r="U16" s="36">
        <v>8</v>
      </c>
      <c r="W16" s="31">
        <f t="shared" si="6"/>
        <v>12</v>
      </c>
      <c r="X16" s="36">
        <v>4</v>
      </c>
      <c r="Z16" s="31">
        <f t="shared" si="7"/>
        <v>12</v>
      </c>
      <c r="AA16" s="36">
        <v>6</v>
      </c>
      <c r="AC16" s="31">
        <f t="shared" si="8"/>
        <v>12</v>
      </c>
      <c r="AD16" s="36">
        <v>0</v>
      </c>
      <c r="AF16" s="31">
        <f t="shared" si="9"/>
        <v>12</v>
      </c>
      <c r="AG16" s="36">
        <v>4</v>
      </c>
      <c r="AI16" s="31">
        <f t="shared" si="10"/>
        <v>12</v>
      </c>
      <c r="AJ16" s="36">
        <v>24</v>
      </c>
      <c r="AL16" s="31">
        <f t="shared" si="11"/>
        <v>12</v>
      </c>
      <c r="AM16" s="36">
        <v>13</v>
      </c>
    </row>
    <row r="17" spans="2:39" x14ac:dyDescent="0.25">
      <c r="B17" s="31">
        <f t="shared" si="0"/>
        <v>16</v>
      </c>
      <c r="C17" s="36">
        <v>9</v>
      </c>
      <c r="E17" s="31">
        <f t="shared" si="1"/>
        <v>19</v>
      </c>
      <c r="F17" s="36">
        <v>46</v>
      </c>
      <c r="H17" s="31">
        <v>17</v>
      </c>
      <c r="I17" s="36">
        <v>7</v>
      </c>
      <c r="K17" s="31">
        <f t="shared" si="2"/>
        <v>13</v>
      </c>
      <c r="L17" s="36">
        <v>0</v>
      </c>
      <c r="N17" s="31">
        <f t="shared" si="3"/>
        <v>13</v>
      </c>
      <c r="O17" s="36">
        <v>10</v>
      </c>
      <c r="Q17" s="31">
        <f t="shared" si="4"/>
        <v>13</v>
      </c>
      <c r="R17" s="36">
        <v>5</v>
      </c>
      <c r="T17" s="31">
        <f t="shared" si="5"/>
        <v>13</v>
      </c>
      <c r="U17" s="36">
        <v>8</v>
      </c>
      <c r="W17" s="31">
        <f t="shared" si="6"/>
        <v>13</v>
      </c>
      <c r="X17" s="36">
        <v>4</v>
      </c>
      <c r="Z17" s="31">
        <f t="shared" si="7"/>
        <v>13</v>
      </c>
      <c r="AA17" s="36">
        <v>7</v>
      </c>
      <c r="AC17" s="31">
        <f t="shared" si="8"/>
        <v>13</v>
      </c>
      <c r="AD17" s="36">
        <v>0</v>
      </c>
      <c r="AF17" s="31">
        <f t="shared" si="9"/>
        <v>13</v>
      </c>
      <c r="AG17" s="36">
        <v>4</v>
      </c>
      <c r="AI17" s="31">
        <f t="shared" si="10"/>
        <v>13</v>
      </c>
      <c r="AJ17" s="36">
        <v>25</v>
      </c>
      <c r="AL17" s="31">
        <f t="shared" si="11"/>
        <v>13</v>
      </c>
      <c r="AM17" s="36">
        <v>16</v>
      </c>
    </row>
    <row r="18" spans="2:39" x14ac:dyDescent="0.25">
      <c r="B18" s="31">
        <f t="shared" si="0"/>
        <v>17</v>
      </c>
      <c r="C18" s="36">
        <v>9</v>
      </c>
      <c r="E18" s="31">
        <f t="shared" si="1"/>
        <v>20</v>
      </c>
      <c r="F18" s="36">
        <v>48</v>
      </c>
      <c r="H18" s="31">
        <v>18</v>
      </c>
      <c r="I18" s="36">
        <v>8</v>
      </c>
      <c r="K18" s="31">
        <f t="shared" si="2"/>
        <v>14</v>
      </c>
      <c r="L18" s="36">
        <v>24</v>
      </c>
      <c r="N18" s="31">
        <f t="shared" si="3"/>
        <v>14</v>
      </c>
      <c r="O18" s="36">
        <v>11</v>
      </c>
      <c r="Q18" s="31">
        <f t="shared" si="4"/>
        <v>14</v>
      </c>
      <c r="R18" s="36">
        <v>6</v>
      </c>
      <c r="T18" s="31">
        <f t="shared" si="5"/>
        <v>14</v>
      </c>
      <c r="U18" s="36">
        <v>9</v>
      </c>
      <c r="W18" s="31">
        <f t="shared" si="6"/>
        <v>14</v>
      </c>
      <c r="X18" s="36">
        <v>4</v>
      </c>
      <c r="Z18" s="31">
        <f t="shared" si="7"/>
        <v>14</v>
      </c>
      <c r="AA18" s="36">
        <v>7</v>
      </c>
      <c r="AC18" s="31">
        <f t="shared" si="8"/>
        <v>14</v>
      </c>
      <c r="AD18" s="36">
        <v>24</v>
      </c>
      <c r="AF18" s="31">
        <f t="shared" si="9"/>
        <v>14</v>
      </c>
      <c r="AG18" s="36">
        <v>4</v>
      </c>
      <c r="AI18" s="31">
        <f t="shared" si="10"/>
        <v>14</v>
      </c>
      <c r="AJ18" s="36">
        <v>28</v>
      </c>
      <c r="AL18" s="31">
        <f t="shared" si="11"/>
        <v>14</v>
      </c>
      <c r="AM18" s="36">
        <v>19</v>
      </c>
    </row>
    <row r="19" spans="2:39" x14ac:dyDescent="0.25">
      <c r="B19" s="31">
        <f t="shared" si="0"/>
        <v>18</v>
      </c>
      <c r="C19" s="36">
        <v>10</v>
      </c>
      <c r="E19" s="31">
        <f t="shared" si="1"/>
        <v>21</v>
      </c>
      <c r="F19" s="36">
        <v>49</v>
      </c>
      <c r="H19" s="31">
        <v>19</v>
      </c>
      <c r="I19" s="36">
        <v>8</v>
      </c>
      <c r="K19" s="31">
        <f t="shared" si="2"/>
        <v>15</v>
      </c>
      <c r="L19" s="36">
        <v>24</v>
      </c>
      <c r="N19" s="31">
        <f t="shared" si="3"/>
        <v>15</v>
      </c>
      <c r="O19" s="36">
        <v>12</v>
      </c>
      <c r="Q19" s="31">
        <f t="shared" si="4"/>
        <v>15</v>
      </c>
      <c r="R19" s="36">
        <v>7</v>
      </c>
      <c r="T19" s="31">
        <f t="shared" si="5"/>
        <v>15</v>
      </c>
      <c r="U19" s="36">
        <v>10</v>
      </c>
      <c r="W19" s="31">
        <f t="shared" si="6"/>
        <v>15</v>
      </c>
      <c r="X19" s="36">
        <v>4</v>
      </c>
      <c r="Z19" s="31">
        <f t="shared" si="7"/>
        <v>15</v>
      </c>
      <c r="AA19" s="36">
        <v>8</v>
      </c>
      <c r="AC19" s="31">
        <f t="shared" si="8"/>
        <v>15</v>
      </c>
      <c r="AD19" s="36">
        <v>15</v>
      </c>
      <c r="AF19" s="31">
        <f t="shared" si="9"/>
        <v>15</v>
      </c>
      <c r="AG19" s="36">
        <v>5</v>
      </c>
      <c r="AI19" s="31">
        <f t="shared" si="10"/>
        <v>15</v>
      </c>
      <c r="AJ19" s="36">
        <v>29</v>
      </c>
      <c r="AL19" s="31">
        <f t="shared" si="11"/>
        <v>15</v>
      </c>
      <c r="AM19" s="36">
        <v>21</v>
      </c>
    </row>
    <row r="20" spans="2:39" x14ac:dyDescent="0.25">
      <c r="B20" s="31">
        <f t="shared" si="0"/>
        <v>19</v>
      </c>
      <c r="C20" s="36">
        <v>10</v>
      </c>
      <c r="E20" s="31">
        <f t="shared" si="1"/>
        <v>22</v>
      </c>
      <c r="F20" s="36">
        <v>51</v>
      </c>
      <c r="H20" s="31">
        <v>20</v>
      </c>
      <c r="I20" s="36">
        <v>9</v>
      </c>
      <c r="K20" s="31">
        <f t="shared" si="2"/>
        <v>16</v>
      </c>
      <c r="L20" s="36">
        <v>25</v>
      </c>
      <c r="N20" s="31">
        <f t="shared" si="3"/>
        <v>16</v>
      </c>
      <c r="O20" s="36">
        <v>13</v>
      </c>
      <c r="Q20" s="31">
        <f t="shared" si="4"/>
        <v>16</v>
      </c>
      <c r="R20" s="36">
        <v>8</v>
      </c>
      <c r="T20" s="31">
        <f t="shared" si="5"/>
        <v>16</v>
      </c>
      <c r="U20" s="36">
        <v>10</v>
      </c>
      <c r="W20" s="31">
        <f t="shared" si="6"/>
        <v>16</v>
      </c>
      <c r="X20" s="36">
        <v>5</v>
      </c>
      <c r="Z20" s="31">
        <f t="shared" si="7"/>
        <v>16</v>
      </c>
      <c r="AA20" s="36">
        <v>8</v>
      </c>
      <c r="AC20" s="31">
        <f t="shared" si="8"/>
        <v>16</v>
      </c>
      <c r="AD20" s="36">
        <v>31</v>
      </c>
      <c r="AF20" s="31">
        <f t="shared" si="9"/>
        <v>16</v>
      </c>
      <c r="AG20" s="36">
        <v>5</v>
      </c>
      <c r="AI20" s="31">
        <f t="shared" si="10"/>
        <v>16</v>
      </c>
      <c r="AJ20" s="36">
        <v>30</v>
      </c>
      <c r="AL20" s="31">
        <f t="shared" si="11"/>
        <v>16</v>
      </c>
      <c r="AM20" s="36">
        <v>23</v>
      </c>
    </row>
    <row r="21" spans="2:39" x14ac:dyDescent="0.25">
      <c r="B21" s="31">
        <f t="shared" si="0"/>
        <v>20</v>
      </c>
      <c r="C21" s="36">
        <v>11</v>
      </c>
      <c r="E21" s="31">
        <f t="shared" si="1"/>
        <v>23</v>
      </c>
      <c r="F21" s="36">
        <v>52</v>
      </c>
      <c r="H21" s="31">
        <v>21</v>
      </c>
      <c r="I21" s="36">
        <v>9</v>
      </c>
      <c r="K21" s="31">
        <f t="shared" si="2"/>
        <v>17</v>
      </c>
      <c r="L21" s="36">
        <v>27</v>
      </c>
      <c r="N21" s="31">
        <f t="shared" si="3"/>
        <v>17</v>
      </c>
      <c r="O21" s="36">
        <v>13</v>
      </c>
      <c r="Q21" s="31">
        <f t="shared" si="4"/>
        <v>17</v>
      </c>
      <c r="R21" s="36">
        <v>9</v>
      </c>
      <c r="T21" s="31">
        <f t="shared" si="5"/>
        <v>17</v>
      </c>
      <c r="U21" s="36">
        <v>11</v>
      </c>
      <c r="W21" s="31">
        <f t="shared" si="6"/>
        <v>17</v>
      </c>
      <c r="X21" s="36">
        <v>5</v>
      </c>
      <c r="Z21" s="31">
        <f t="shared" si="7"/>
        <v>17</v>
      </c>
      <c r="AA21" s="36">
        <v>9</v>
      </c>
      <c r="AC21" s="31">
        <f t="shared" si="8"/>
        <v>17</v>
      </c>
      <c r="AD21" s="36">
        <v>34</v>
      </c>
      <c r="AF21" s="31">
        <f t="shared" si="9"/>
        <v>17</v>
      </c>
      <c r="AG21" s="36">
        <v>6</v>
      </c>
      <c r="AI21" s="31">
        <f t="shared" si="10"/>
        <v>17</v>
      </c>
      <c r="AJ21" s="36">
        <v>31</v>
      </c>
      <c r="AL21" s="31">
        <f t="shared" si="11"/>
        <v>17</v>
      </c>
      <c r="AM21" s="36">
        <v>25</v>
      </c>
    </row>
    <row r="22" spans="2:39" x14ac:dyDescent="0.25">
      <c r="B22" s="31">
        <f t="shared" si="0"/>
        <v>21</v>
      </c>
      <c r="C22" s="36">
        <v>11</v>
      </c>
      <c r="E22" s="31">
        <f t="shared" si="1"/>
        <v>24</v>
      </c>
      <c r="F22" s="36">
        <v>53</v>
      </c>
      <c r="H22" s="31">
        <v>22</v>
      </c>
      <c r="I22" s="36">
        <v>10</v>
      </c>
      <c r="K22" s="31">
        <f t="shared" si="2"/>
        <v>18</v>
      </c>
      <c r="L22" s="36">
        <v>28</v>
      </c>
      <c r="N22" s="31">
        <f t="shared" si="3"/>
        <v>18</v>
      </c>
      <c r="O22" s="36">
        <v>14</v>
      </c>
      <c r="Q22" s="31">
        <f t="shared" si="4"/>
        <v>18</v>
      </c>
      <c r="R22" s="36">
        <v>11</v>
      </c>
      <c r="T22" s="31">
        <f t="shared" si="5"/>
        <v>18</v>
      </c>
      <c r="U22" s="36">
        <v>12</v>
      </c>
      <c r="W22" s="31">
        <f t="shared" si="6"/>
        <v>18</v>
      </c>
      <c r="X22" s="36">
        <v>5</v>
      </c>
      <c r="Z22" s="31">
        <f t="shared" si="7"/>
        <v>18</v>
      </c>
      <c r="AA22" s="36">
        <v>9</v>
      </c>
      <c r="AC22" s="31">
        <f t="shared" si="8"/>
        <v>18</v>
      </c>
      <c r="AD22" s="36">
        <v>37</v>
      </c>
      <c r="AF22" s="31">
        <f t="shared" si="9"/>
        <v>18</v>
      </c>
      <c r="AG22" s="36">
        <v>6</v>
      </c>
      <c r="AI22" s="31">
        <f t="shared" si="10"/>
        <v>18</v>
      </c>
      <c r="AJ22" s="36">
        <v>34</v>
      </c>
      <c r="AL22" s="31">
        <f t="shared" si="11"/>
        <v>18</v>
      </c>
      <c r="AM22" s="36">
        <v>26</v>
      </c>
    </row>
    <row r="23" spans="2:39" x14ac:dyDescent="0.25">
      <c r="B23" s="31">
        <f t="shared" si="0"/>
        <v>22</v>
      </c>
      <c r="C23" s="36">
        <v>12</v>
      </c>
      <c r="E23" s="31">
        <f t="shared" si="1"/>
        <v>25</v>
      </c>
      <c r="F23" s="36">
        <v>54</v>
      </c>
      <c r="H23" s="31">
        <v>23</v>
      </c>
      <c r="I23" s="36">
        <v>10</v>
      </c>
      <c r="K23" s="31">
        <f t="shared" si="2"/>
        <v>19</v>
      </c>
      <c r="L23" s="36">
        <v>28</v>
      </c>
      <c r="N23" s="31">
        <f t="shared" si="3"/>
        <v>19</v>
      </c>
      <c r="O23" s="36">
        <v>15</v>
      </c>
      <c r="Q23" s="31">
        <f t="shared" si="4"/>
        <v>19</v>
      </c>
      <c r="R23" s="36">
        <v>11</v>
      </c>
      <c r="T23" s="31">
        <f t="shared" si="5"/>
        <v>19</v>
      </c>
      <c r="U23" s="36">
        <v>13</v>
      </c>
      <c r="W23" s="31">
        <f t="shared" si="6"/>
        <v>19</v>
      </c>
      <c r="X23" s="36">
        <v>5</v>
      </c>
      <c r="Z23" s="31">
        <f t="shared" si="7"/>
        <v>19</v>
      </c>
      <c r="AA23" s="36">
        <v>9</v>
      </c>
      <c r="AC23" s="31">
        <f t="shared" si="8"/>
        <v>19</v>
      </c>
      <c r="AD23" s="36">
        <v>40</v>
      </c>
      <c r="AF23" s="31">
        <f t="shared" si="9"/>
        <v>19</v>
      </c>
      <c r="AG23" s="36">
        <v>7</v>
      </c>
      <c r="AI23" s="31">
        <f t="shared" si="10"/>
        <v>19</v>
      </c>
      <c r="AJ23" s="36">
        <v>35</v>
      </c>
      <c r="AL23" s="31">
        <f t="shared" si="11"/>
        <v>19</v>
      </c>
      <c r="AM23" s="36">
        <v>27</v>
      </c>
    </row>
    <row r="24" spans="2:39" x14ac:dyDescent="0.25">
      <c r="B24" s="31">
        <f t="shared" si="0"/>
        <v>23</v>
      </c>
      <c r="C24" s="36">
        <v>12</v>
      </c>
      <c r="E24" s="31">
        <f t="shared" si="1"/>
        <v>26</v>
      </c>
      <c r="F24" s="36">
        <v>55</v>
      </c>
      <c r="H24" s="31">
        <v>24</v>
      </c>
      <c r="I24" s="36">
        <v>11</v>
      </c>
      <c r="K24" s="31">
        <f t="shared" si="2"/>
        <v>20</v>
      </c>
      <c r="L24" s="36">
        <v>29</v>
      </c>
      <c r="N24" s="31">
        <f t="shared" si="3"/>
        <v>20</v>
      </c>
      <c r="O24" s="36">
        <v>16</v>
      </c>
      <c r="Q24" s="31">
        <f t="shared" si="4"/>
        <v>20</v>
      </c>
      <c r="R24" s="36">
        <v>12</v>
      </c>
      <c r="T24" s="31">
        <f t="shared" si="5"/>
        <v>20</v>
      </c>
      <c r="U24" s="36">
        <v>14</v>
      </c>
      <c r="W24" s="31">
        <f t="shared" si="6"/>
        <v>20</v>
      </c>
      <c r="X24" s="36">
        <v>5</v>
      </c>
      <c r="Z24" s="31">
        <f t="shared" si="7"/>
        <v>20</v>
      </c>
      <c r="AA24" s="36">
        <v>10</v>
      </c>
      <c r="AC24" s="31">
        <f t="shared" si="8"/>
        <v>20</v>
      </c>
      <c r="AD24" s="36">
        <v>41</v>
      </c>
      <c r="AF24" s="31">
        <f t="shared" si="9"/>
        <v>20</v>
      </c>
      <c r="AG24" s="36">
        <v>8</v>
      </c>
      <c r="AI24" s="31">
        <f t="shared" si="10"/>
        <v>20</v>
      </c>
      <c r="AJ24" s="36">
        <v>36</v>
      </c>
      <c r="AL24" s="31">
        <f t="shared" si="11"/>
        <v>20</v>
      </c>
      <c r="AM24" s="36">
        <v>28</v>
      </c>
    </row>
    <row r="25" spans="2:39" x14ac:dyDescent="0.25">
      <c r="B25" s="31">
        <f t="shared" si="0"/>
        <v>24</v>
      </c>
      <c r="C25" s="36">
        <v>13</v>
      </c>
      <c r="E25" s="31">
        <f t="shared" si="1"/>
        <v>27</v>
      </c>
      <c r="F25" s="36">
        <v>58</v>
      </c>
      <c r="H25" s="31">
        <v>25</v>
      </c>
      <c r="I25" s="36">
        <v>12</v>
      </c>
      <c r="K25" s="31">
        <f t="shared" si="2"/>
        <v>21</v>
      </c>
      <c r="L25" s="36">
        <v>30</v>
      </c>
      <c r="N25" s="31">
        <f t="shared" si="3"/>
        <v>21</v>
      </c>
      <c r="O25" s="36">
        <v>17</v>
      </c>
      <c r="Q25" s="31">
        <f t="shared" si="4"/>
        <v>21</v>
      </c>
      <c r="R25" s="36">
        <v>13</v>
      </c>
      <c r="T25" s="31">
        <f t="shared" si="5"/>
        <v>21</v>
      </c>
      <c r="U25" s="36">
        <v>14</v>
      </c>
      <c r="W25" s="31">
        <f t="shared" si="6"/>
        <v>21</v>
      </c>
      <c r="X25" s="36">
        <v>6</v>
      </c>
      <c r="Z25" s="31">
        <f t="shared" si="7"/>
        <v>21</v>
      </c>
      <c r="AA25" s="36">
        <v>10</v>
      </c>
      <c r="AC25" s="31">
        <f t="shared" si="8"/>
        <v>21</v>
      </c>
      <c r="AD25" s="36">
        <v>43</v>
      </c>
      <c r="AF25" s="31">
        <f t="shared" si="9"/>
        <v>21</v>
      </c>
      <c r="AG25" s="36">
        <v>9</v>
      </c>
      <c r="AI25" s="31">
        <f t="shared" si="10"/>
        <v>21</v>
      </c>
      <c r="AJ25" s="36">
        <v>37</v>
      </c>
      <c r="AL25" s="31">
        <f t="shared" si="11"/>
        <v>21</v>
      </c>
      <c r="AM25" s="36">
        <v>30</v>
      </c>
    </row>
    <row r="26" spans="2:39" x14ac:dyDescent="0.25">
      <c r="B26" s="31">
        <f t="shared" si="0"/>
        <v>25</v>
      </c>
      <c r="C26" s="36">
        <v>13</v>
      </c>
      <c r="E26" s="31">
        <f t="shared" si="1"/>
        <v>28</v>
      </c>
      <c r="F26" s="36">
        <v>59</v>
      </c>
      <c r="H26" s="31">
        <v>26</v>
      </c>
      <c r="I26" s="36">
        <v>13</v>
      </c>
      <c r="K26" s="31">
        <f t="shared" si="2"/>
        <v>22</v>
      </c>
      <c r="L26" s="36">
        <v>31</v>
      </c>
      <c r="N26" s="31">
        <f t="shared" si="3"/>
        <v>22</v>
      </c>
      <c r="O26" s="36">
        <v>18</v>
      </c>
      <c r="Q26" s="31">
        <f t="shared" si="4"/>
        <v>22</v>
      </c>
      <c r="R26" s="36">
        <v>13</v>
      </c>
      <c r="T26" s="31">
        <f t="shared" si="5"/>
        <v>22</v>
      </c>
      <c r="U26" s="36">
        <v>15</v>
      </c>
      <c r="W26" s="31">
        <f t="shared" si="6"/>
        <v>22</v>
      </c>
      <c r="X26" s="36">
        <v>6</v>
      </c>
      <c r="Z26" s="31">
        <f t="shared" si="7"/>
        <v>22</v>
      </c>
      <c r="AA26" s="36">
        <v>11</v>
      </c>
      <c r="AC26" s="31">
        <f t="shared" si="8"/>
        <v>22</v>
      </c>
      <c r="AD26" s="36">
        <v>46</v>
      </c>
      <c r="AF26" s="31">
        <f t="shared" si="9"/>
        <v>22</v>
      </c>
      <c r="AG26" s="36">
        <v>10</v>
      </c>
      <c r="AI26" s="31">
        <f t="shared" si="10"/>
        <v>22</v>
      </c>
      <c r="AJ26" s="36">
        <v>39</v>
      </c>
      <c r="AL26" s="31">
        <f t="shared" si="11"/>
        <v>22</v>
      </c>
      <c r="AM26" s="36">
        <v>31</v>
      </c>
    </row>
    <row r="27" spans="2:39" x14ac:dyDescent="0.25">
      <c r="B27" s="31">
        <f t="shared" si="0"/>
        <v>26</v>
      </c>
      <c r="C27" s="36">
        <v>14</v>
      </c>
      <c r="E27" s="31">
        <f t="shared" si="1"/>
        <v>29</v>
      </c>
      <c r="F27" s="36">
        <v>60</v>
      </c>
      <c r="H27" s="31">
        <v>27</v>
      </c>
      <c r="I27" s="36">
        <v>13</v>
      </c>
      <c r="K27" s="31">
        <f t="shared" si="2"/>
        <v>23</v>
      </c>
      <c r="L27" s="36">
        <v>33</v>
      </c>
      <c r="N27" s="31">
        <f t="shared" si="3"/>
        <v>23</v>
      </c>
      <c r="O27" s="36">
        <v>19</v>
      </c>
      <c r="Q27" s="31">
        <f t="shared" si="4"/>
        <v>23</v>
      </c>
      <c r="R27" s="36">
        <v>14</v>
      </c>
      <c r="T27" s="31">
        <f t="shared" si="5"/>
        <v>23</v>
      </c>
      <c r="U27" s="36">
        <v>15</v>
      </c>
      <c r="W27" s="31">
        <f t="shared" si="6"/>
        <v>23</v>
      </c>
      <c r="X27" s="36">
        <v>6</v>
      </c>
      <c r="Z27" s="31">
        <f t="shared" si="7"/>
        <v>23</v>
      </c>
      <c r="AA27" s="36">
        <v>11</v>
      </c>
      <c r="AC27" s="31">
        <f t="shared" si="8"/>
        <v>23</v>
      </c>
      <c r="AD27" s="36">
        <v>49</v>
      </c>
      <c r="AF27" s="31">
        <f t="shared" si="9"/>
        <v>23</v>
      </c>
      <c r="AG27" s="36">
        <v>10</v>
      </c>
      <c r="AI27" s="31">
        <f t="shared" si="10"/>
        <v>23</v>
      </c>
      <c r="AJ27" s="36">
        <v>40</v>
      </c>
      <c r="AL27" s="31">
        <f t="shared" si="11"/>
        <v>23</v>
      </c>
      <c r="AM27" s="36">
        <v>23</v>
      </c>
    </row>
    <row r="28" spans="2:39" x14ac:dyDescent="0.25">
      <c r="B28" s="31">
        <f t="shared" si="0"/>
        <v>27</v>
      </c>
      <c r="C28" s="36">
        <v>15</v>
      </c>
      <c r="E28" s="31">
        <f t="shared" si="1"/>
        <v>30</v>
      </c>
      <c r="F28" s="36">
        <v>61</v>
      </c>
      <c r="H28" s="31">
        <v>28</v>
      </c>
      <c r="I28" s="36">
        <v>14</v>
      </c>
      <c r="K28" s="31">
        <f t="shared" si="2"/>
        <v>24</v>
      </c>
      <c r="L28" s="36">
        <v>24</v>
      </c>
      <c r="N28" s="31">
        <f t="shared" si="3"/>
        <v>24</v>
      </c>
      <c r="O28" s="36">
        <v>20</v>
      </c>
      <c r="Q28" s="31">
        <f t="shared" si="4"/>
        <v>24</v>
      </c>
      <c r="R28" s="36">
        <v>16</v>
      </c>
      <c r="T28" s="31">
        <f t="shared" si="5"/>
        <v>24</v>
      </c>
      <c r="U28" s="36">
        <v>16</v>
      </c>
      <c r="W28" s="31">
        <f t="shared" si="6"/>
        <v>24</v>
      </c>
      <c r="X28" s="36">
        <v>6</v>
      </c>
      <c r="Z28" s="31">
        <f t="shared" si="7"/>
        <v>24</v>
      </c>
      <c r="AA28" s="36">
        <v>12</v>
      </c>
      <c r="AC28" s="31">
        <f t="shared" si="8"/>
        <v>24</v>
      </c>
      <c r="AD28" s="36">
        <v>52</v>
      </c>
      <c r="AF28" s="31">
        <f t="shared" si="9"/>
        <v>24</v>
      </c>
      <c r="AG28" s="36">
        <v>11</v>
      </c>
      <c r="AI28" s="31">
        <f t="shared" si="10"/>
        <v>24</v>
      </c>
      <c r="AJ28" s="36">
        <v>41</v>
      </c>
      <c r="AL28" s="31">
        <f t="shared" si="11"/>
        <v>24</v>
      </c>
      <c r="AM28" s="36">
        <v>34</v>
      </c>
    </row>
    <row r="29" spans="2:39" x14ac:dyDescent="0.25">
      <c r="B29" s="31">
        <f t="shared" si="0"/>
        <v>28</v>
      </c>
      <c r="C29" s="36">
        <v>16</v>
      </c>
      <c r="E29" s="31">
        <f t="shared" si="1"/>
        <v>31</v>
      </c>
      <c r="F29" s="36">
        <v>64</v>
      </c>
      <c r="H29" s="31">
        <v>29</v>
      </c>
      <c r="I29" s="36">
        <v>14</v>
      </c>
      <c r="K29" s="31">
        <f t="shared" si="2"/>
        <v>25</v>
      </c>
      <c r="L29" s="36">
        <v>36</v>
      </c>
      <c r="N29" s="31">
        <f t="shared" si="3"/>
        <v>25</v>
      </c>
      <c r="O29" s="36">
        <v>21</v>
      </c>
      <c r="Q29" s="31">
        <f t="shared" si="4"/>
        <v>25</v>
      </c>
      <c r="R29" s="36">
        <v>17</v>
      </c>
      <c r="T29" s="31">
        <f t="shared" si="5"/>
        <v>25</v>
      </c>
      <c r="U29" s="36">
        <v>18</v>
      </c>
      <c r="W29" s="31">
        <f t="shared" si="6"/>
        <v>25</v>
      </c>
      <c r="X29" s="36">
        <v>7</v>
      </c>
      <c r="Z29" s="31">
        <f t="shared" si="7"/>
        <v>25</v>
      </c>
      <c r="AA29" s="36">
        <v>13</v>
      </c>
      <c r="AC29" s="31">
        <f t="shared" si="8"/>
        <v>25</v>
      </c>
      <c r="AD29" s="36">
        <v>53</v>
      </c>
      <c r="AF29" s="31">
        <f t="shared" si="9"/>
        <v>25</v>
      </c>
      <c r="AG29" s="36">
        <v>13</v>
      </c>
      <c r="AI29" s="31">
        <f t="shared" si="10"/>
        <v>25</v>
      </c>
      <c r="AJ29" s="36">
        <v>42</v>
      </c>
      <c r="AL29" s="31">
        <f t="shared" si="11"/>
        <v>25</v>
      </c>
      <c r="AM29" s="36">
        <v>25</v>
      </c>
    </row>
    <row r="30" spans="2:39" x14ac:dyDescent="0.25">
      <c r="B30" s="31">
        <f t="shared" si="0"/>
        <v>29</v>
      </c>
      <c r="C30" s="36">
        <v>17</v>
      </c>
      <c r="E30" s="31">
        <f t="shared" si="1"/>
        <v>32</v>
      </c>
      <c r="F30" s="36">
        <v>65</v>
      </c>
      <c r="H30" s="31">
        <v>30</v>
      </c>
      <c r="I30" s="36">
        <v>15</v>
      </c>
      <c r="K30" s="31">
        <f t="shared" si="2"/>
        <v>26</v>
      </c>
      <c r="L30" s="36">
        <v>37</v>
      </c>
      <c r="N30" s="31">
        <f t="shared" si="3"/>
        <v>26</v>
      </c>
      <c r="O30" s="36">
        <v>22</v>
      </c>
      <c r="Q30" s="31">
        <f t="shared" si="4"/>
        <v>26</v>
      </c>
      <c r="R30" s="36">
        <v>18</v>
      </c>
      <c r="T30" s="31">
        <f t="shared" si="5"/>
        <v>26</v>
      </c>
      <c r="U30" s="36">
        <v>20</v>
      </c>
      <c r="W30" s="31">
        <f t="shared" si="6"/>
        <v>26</v>
      </c>
      <c r="X30" s="36">
        <v>7</v>
      </c>
      <c r="Z30" s="31">
        <f t="shared" si="7"/>
        <v>26</v>
      </c>
      <c r="AA30" s="36">
        <v>14</v>
      </c>
      <c r="AC30" s="31">
        <f t="shared" si="8"/>
        <v>26</v>
      </c>
      <c r="AD30" s="36">
        <v>55</v>
      </c>
      <c r="AF30" s="31">
        <f t="shared" si="9"/>
        <v>26</v>
      </c>
      <c r="AG30" s="36">
        <v>14</v>
      </c>
      <c r="AI30" s="31">
        <f t="shared" si="10"/>
        <v>26</v>
      </c>
      <c r="AJ30" s="36">
        <v>43</v>
      </c>
      <c r="AL30" s="31">
        <f t="shared" si="11"/>
        <v>26</v>
      </c>
      <c r="AM30" s="36">
        <v>36</v>
      </c>
    </row>
    <row r="31" spans="2:39" x14ac:dyDescent="0.25">
      <c r="B31" s="31">
        <f t="shared" si="0"/>
        <v>30</v>
      </c>
      <c r="C31" s="36">
        <v>18</v>
      </c>
      <c r="E31" s="31">
        <f t="shared" si="1"/>
        <v>33</v>
      </c>
      <c r="F31" s="36">
        <v>67</v>
      </c>
      <c r="H31" s="31">
        <v>31</v>
      </c>
      <c r="I31" s="36">
        <v>16</v>
      </c>
      <c r="K31" s="31">
        <f t="shared" si="2"/>
        <v>27</v>
      </c>
      <c r="L31" s="36">
        <v>39</v>
      </c>
      <c r="N31" s="31">
        <f t="shared" si="3"/>
        <v>27</v>
      </c>
      <c r="O31" s="36">
        <v>23</v>
      </c>
      <c r="Q31" s="31">
        <f t="shared" si="4"/>
        <v>27</v>
      </c>
      <c r="R31" s="36">
        <v>20</v>
      </c>
      <c r="T31" s="31">
        <f t="shared" si="5"/>
        <v>27</v>
      </c>
      <c r="U31" s="36">
        <v>21</v>
      </c>
      <c r="W31" s="31">
        <f t="shared" si="6"/>
        <v>27</v>
      </c>
      <c r="X31" s="36">
        <v>8</v>
      </c>
      <c r="Z31" s="31">
        <f t="shared" si="7"/>
        <v>27</v>
      </c>
      <c r="AA31" s="36">
        <v>16</v>
      </c>
      <c r="AC31" s="31">
        <f t="shared" si="8"/>
        <v>27</v>
      </c>
      <c r="AD31" s="36">
        <v>56</v>
      </c>
      <c r="AF31" s="31">
        <f t="shared" si="9"/>
        <v>27</v>
      </c>
      <c r="AG31" s="36">
        <v>15</v>
      </c>
      <c r="AI31" s="31">
        <f t="shared" si="10"/>
        <v>27</v>
      </c>
      <c r="AJ31" s="36">
        <v>45</v>
      </c>
      <c r="AL31" s="31">
        <f t="shared" si="11"/>
        <v>27</v>
      </c>
      <c r="AM31" s="36">
        <v>37</v>
      </c>
    </row>
    <row r="32" spans="2:39" x14ac:dyDescent="0.25">
      <c r="B32" s="31">
        <f t="shared" si="0"/>
        <v>31</v>
      </c>
      <c r="C32" s="36">
        <v>19</v>
      </c>
      <c r="E32" s="31">
        <f t="shared" si="1"/>
        <v>34</v>
      </c>
      <c r="F32" s="36">
        <v>70</v>
      </c>
      <c r="H32" s="31">
        <v>32</v>
      </c>
      <c r="I32" s="36">
        <v>16</v>
      </c>
      <c r="K32" s="31">
        <f t="shared" si="2"/>
        <v>28</v>
      </c>
      <c r="L32" s="36">
        <v>40</v>
      </c>
      <c r="N32" s="31">
        <f t="shared" si="3"/>
        <v>28</v>
      </c>
      <c r="O32" s="36">
        <v>23</v>
      </c>
      <c r="Q32" s="31">
        <f t="shared" si="4"/>
        <v>28</v>
      </c>
      <c r="R32" s="36">
        <v>23</v>
      </c>
      <c r="T32" s="31">
        <f t="shared" si="5"/>
        <v>28</v>
      </c>
      <c r="U32" s="36">
        <v>22</v>
      </c>
      <c r="W32" s="31">
        <f t="shared" si="6"/>
        <v>28</v>
      </c>
      <c r="X32" s="36">
        <v>8</v>
      </c>
      <c r="Z32" s="31">
        <f t="shared" si="7"/>
        <v>28</v>
      </c>
      <c r="AA32" s="36">
        <v>19</v>
      </c>
      <c r="AC32" s="31">
        <f t="shared" si="8"/>
        <v>28</v>
      </c>
      <c r="AD32" s="36">
        <v>58</v>
      </c>
      <c r="AF32" s="31">
        <f t="shared" si="9"/>
        <v>28</v>
      </c>
      <c r="AG32" s="36">
        <v>16</v>
      </c>
      <c r="AI32" s="31">
        <f t="shared" si="10"/>
        <v>28</v>
      </c>
      <c r="AJ32" s="36">
        <v>46</v>
      </c>
      <c r="AL32" s="31">
        <f t="shared" si="11"/>
        <v>28</v>
      </c>
      <c r="AM32" s="36">
        <v>37</v>
      </c>
    </row>
    <row r="33" spans="2:39" x14ac:dyDescent="0.25">
      <c r="B33" s="31">
        <f t="shared" si="0"/>
        <v>32</v>
      </c>
      <c r="C33" s="36">
        <v>20</v>
      </c>
      <c r="E33" s="31">
        <f t="shared" si="1"/>
        <v>35</v>
      </c>
      <c r="F33" s="36">
        <v>71</v>
      </c>
      <c r="H33" s="31">
        <v>33</v>
      </c>
      <c r="I33" s="36">
        <v>17</v>
      </c>
      <c r="K33" s="31">
        <f t="shared" si="2"/>
        <v>29</v>
      </c>
      <c r="L33" s="36">
        <v>41</v>
      </c>
      <c r="N33" s="31">
        <f t="shared" si="3"/>
        <v>29</v>
      </c>
      <c r="O33" s="36">
        <v>23</v>
      </c>
      <c r="Q33" s="31">
        <f t="shared" si="4"/>
        <v>29</v>
      </c>
      <c r="R33" s="36">
        <v>25</v>
      </c>
      <c r="T33" s="31">
        <f t="shared" si="5"/>
        <v>29</v>
      </c>
      <c r="U33" s="36">
        <v>23</v>
      </c>
      <c r="W33" s="31">
        <f t="shared" si="6"/>
        <v>29</v>
      </c>
      <c r="X33" s="36">
        <v>8</v>
      </c>
      <c r="Z33" s="31">
        <f t="shared" si="7"/>
        <v>29</v>
      </c>
      <c r="AA33" s="36">
        <v>22</v>
      </c>
      <c r="AC33" s="31">
        <f t="shared" si="8"/>
        <v>29</v>
      </c>
      <c r="AD33" s="36">
        <v>59</v>
      </c>
      <c r="AF33" s="31">
        <f t="shared" si="9"/>
        <v>29</v>
      </c>
      <c r="AG33" s="36">
        <v>17</v>
      </c>
      <c r="AI33" s="31">
        <f t="shared" si="10"/>
        <v>29</v>
      </c>
      <c r="AJ33" s="36">
        <v>48</v>
      </c>
      <c r="AL33" s="31">
        <f t="shared" si="11"/>
        <v>29</v>
      </c>
      <c r="AM33" s="36">
        <v>38</v>
      </c>
    </row>
    <row r="34" spans="2:39" x14ac:dyDescent="0.25">
      <c r="B34" s="31">
        <f t="shared" si="0"/>
        <v>33</v>
      </c>
      <c r="C34" s="36">
        <v>21</v>
      </c>
      <c r="E34" s="31">
        <f t="shared" si="1"/>
        <v>36</v>
      </c>
      <c r="F34" s="36">
        <v>72</v>
      </c>
      <c r="H34" s="31">
        <v>34</v>
      </c>
      <c r="I34" s="36">
        <v>18</v>
      </c>
      <c r="K34" s="31">
        <f t="shared" si="2"/>
        <v>30</v>
      </c>
      <c r="L34" s="36">
        <v>42</v>
      </c>
      <c r="N34" s="31">
        <f t="shared" si="3"/>
        <v>30</v>
      </c>
      <c r="O34" s="36">
        <v>24</v>
      </c>
      <c r="Q34" s="31">
        <f t="shared" si="4"/>
        <v>30</v>
      </c>
      <c r="R34" s="36">
        <v>26</v>
      </c>
      <c r="T34" s="31">
        <f t="shared" si="5"/>
        <v>30</v>
      </c>
      <c r="U34" s="36">
        <v>24</v>
      </c>
      <c r="W34" s="31">
        <f t="shared" si="6"/>
        <v>30</v>
      </c>
      <c r="X34" s="36">
        <v>9</v>
      </c>
      <c r="Z34" s="31">
        <f t="shared" si="7"/>
        <v>30</v>
      </c>
      <c r="AA34" s="36">
        <v>25</v>
      </c>
      <c r="AC34" s="31">
        <f t="shared" si="8"/>
        <v>30</v>
      </c>
      <c r="AD34" s="36">
        <v>60</v>
      </c>
      <c r="AF34" s="31">
        <f t="shared" si="9"/>
        <v>30</v>
      </c>
      <c r="AG34" s="36">
        <v>19</v>
      </c>
      <c r="AI34" s="31">
        <f t="shared" si="10"/>
        <v>30</v>
      </c>
      <c r="AJ34" s="36">
        <v>49</v>
      </c>
      <c r="AL34" s="31">
        <f t="shared" si="11"/>
        <v>30</v>
      </c>
      <c r="AM34" s="36">
        <v>39</v>
      </c>
    </row>
    <row r="35" spans="2:39" x14ac:dyDescent="0.25">
      <c r="B35" s="31">
        <f t="shared" si="0"/>
        <v>34</v>
      </c>
      <c r="C35" s="36">
        <v>22</v>
      </c>
      <c r="E35" s="31">
        <f t="shared" si="1"/>
        <v>37</v>
      </c>
      <c r="F35" s="36">
        <v>73</v>
      </c>
      <c r="H35" s="31">
        <v>35</v>
      </c>
      <c r="I35" s="36">
        <v>19</v>
      </c>
      <c r="K35" s="31">
        <f t="shared" si="2"/>
        <v>31</v>
      </c>
      <c r="L35" s="36">
        <v>43</v>
      </c>
      <c r="N35" s="31">
        <f t="shared" si="3"/>
        <v>31</v>
      </c>
      <c r="O35" s="36">
        <v>25</v>
      </c>
      <c r="Q35" s="31">
        <f t="shared" si="4"/>
        <v>31</v>
      </c>
      <c r="R35" s="36">
        <v>28</v>
      </c>
      <c r="T35" s="31">
        <f t="shared" si="5"/>
        <v>31</v>
      </c>
      <c r="U35" s="36">
        <v>25</v>
      </c>
      <c r="W35" s="31">
        <f t="shared" si="6"/>
        <v>31</v>
      </c>
      <c r="X35" s="36">
        <v>9</v>
      </c>
      <c r="Z35" s="31">
        <f t="shared" si="7"/>
        <v>31</v>
      </c>
      <c r="AA35" s="36">
        <v>28</v>
      </c>
      <c r="AC35" s="31">
        <f t="shared" si="8"/>
        <v>31</v>
      </c>
      <c r="AD35" s="36">
        <v>61</v>
      </c>
      <c r="AF35" s="31">
        <f t="shared" si="9"/>
        <v>31</v>
      </c>
      <c r="AG35" s="36">
        <v>20</v>
      </c>
      <c r="AI35" s="31">
        <f t="shared" si="10"/>
        <v>31</v>
      </c>
      <c r="AJ35" s="36">
        <v>50</v>
      </c>
      <c r="AL35" s="31">
        <f t="shared" si="11"/>
        <v>31</v>
      </c>
      <c r="AM35" s="36">
        <v>40</v>
      </c>
    </row>
    <row r="36" spans="2:39" x14ac:dyDescent="0.25">
      <c r="B36" s="31">
        <f t="shared" si="0"/>
        <v>35</v>
      </c>
      <c r="C36" s="36">
        <v>23</v>
      </c>
      <c r="E36" s="31">
        <f t="shared" si="1"/>
        <v>38</v>
      </c>
      <c r="F36" s="36">
        <v>76</v>
      </c>
      <c r="H36" s="31">
        <v>36</v>
      </c>
      <c r="I36" s="36">
        <v>20</v>
      </c>
      <c r="K36" s="31">
        <f t="shared" si="2"/>
        <v>32</v>
      </c>
      <c r="L36" s="36">
        <v>46</v>
      </c>
      <c r="N36" s="31">
        <f t="shared" si="3"/>
        <v>32</v>
      </c>
      <c r="O36" s="36">
        <v>26</v>
      </c>
      <c r="Q36" s="31">
        <f t="shared" si="4"/>
        <v>32</v>
      </c>
      <c r="R36" s="36">
        <v>29</v>
      </c>
      <c r="T36" s="31">
        <f t="shared" si="5"/>
        <v>32</v>
      </c>
      <c r="U36" s="36">
        <v>26</v>
      </c>
      <c r="W36" s="31">
        <f t="shared" si="6"/>
        <v>32</v>
      </c>
      <c r="X36" s="36">
        <v>9</v>
      </c>
      <c r="Z36" s="31">
        <f t="shared" si="7"/>
        <v>32</v>
      </c>
      <c r="AA36" s="36">
        <v>31</v>
      </c>
      <c r="AC36" s="31">
        <f t="shared" si="8"/>
        <v>32</v>
      </c>
      <c r="AD36" s="36">
        <v>64</v>
      </c>
      <c r="AF36" s="31">
        <f t="shared" si="9"/>
        <v>32</v>
      </c>
      <c r="AG36" s="36">
        <v>21</v>
      </c>
      <c r="AI36" s="31">
        <f t="shared" si="10"/>
        <v>32</v>
      </c>
      <c r="AJ36" s="36">
        <v>51</v>
      </c>
      <c r="AL36" s="31">
        <f t="shared" si="11"/>
        <v>32</v>
      </c>
      <c r="AM36" s="36">
        <v>41</v>
      </c>
    </row>
    <row r="37" spans="2:39" x14ac:dyDescent="0.25">
      <c r="B37" s="31">
        <f t="shared" si="0"/>
        <v>36</v>
      </c>
      <c r="C37" s="36">
        <v>24</v>
      </c>
      <c r="E37" s="31">
        <f t="shared" si="1"/>
        <v>39</v>
      </c>
      <c r="F37" s="36">
        <v>77</v>
      </c>
      <c r="H37" s="31">
        <v>37</v>
      </c>
      <c r="I37" s="36">
        <v>21</v>
      </c>
      <c r="K37" s="31">
        <f t="shared" si="2"/>
        <v>33</v>
      </c>
      <c r="L37" s="36">
        <v>48</v>
      </c>
      <c r="N37" s="31">
        <f t="shared" si="3"/>
        <v>33</v>
      </c>
      <c r="O37" s="36">
        <v>27</v>
      </c>
      <c r="Q37" s="31">
        <f t="shared" si="4"/>
        <v>33</v>
      </c>
      <c r="R37" s="36">
        <v>30</v>
      </c>
      <c r="T37" s="31">
        <f t="shared" si="5"/>
        <v>33</v>
      </c>
      <c r="U37" s="36">
        <v>26</v>
      </c>
      <c r="W37" s="31">
        <f t="shared" si="6"/>
        <v>33</v>
      </c>
      <c r="X37" s="36">
        <v>9</v>
      </c>
      <c r="Z37" s="31">
        <f t="shared" si="7"/>
        <v>33</v>
      </c>
      <c r="AA37" s="36">
        <v>32</v>
      </c>
      <c r="AC37" s="31">
        <f t="shared" si="8"/>
        <v>33</v>
      </c>
      <c r="AD37" s="36">
        <v>65</v>
      </c>
      <c r="AF37" s="31">
        <f t="shared" si="9"/>
        <v>33</v>
      </c>
      <c r="AG37" s="36">
        <v>22</v>
      </c>
      <c r="AI37" s="31">
        <f t="shared" si="10"/>
        <v>33</v>
      </c>
      <c r="AJ37" s="36">
        <v>52</v>
      </c>
      <c r="AL37" s="31">
        <f t="shared" si="11"/>
        <v>33</v>
      </c>
      <c r="AM37" s="36">
        <v>42</v>
      </c>
    </row>
    <row r="38" spans="2:39" x14ac:dyDescent="0.25">
      <c r="B38" s="31">
        <f t="shared" si="0"/>
        <v>37</v>
      </c>
      <c r="C38" s="36">
        <v>25</v>
      </c>
      <c r="E38" s="31">
        <f t="shared" si="1"/>
        <v>40</v>
      </c>
      <c r="F38" s="36">
        <v>79</v>
      </c>
      <c r="H38" s="31">
        <v>38</v>
      </c>
      <c r="I38" s="36">
        <v>22</v>
      </c>
      <c r="K38" s="31">
        <f t="shared" si="2"/>
        <v>34</v>
      </c>
      <c r="L38" s="36">
        <v>49</v>
      </c>
      <c r="N38" s="31">
        <f t="shared" si="3"/>
        <v>34</v>
      </c>
      <c r="O38" s="36">
        <v>28</v>
      </c>
      <c r="Q38" s="31">
        <f t="shared" si="4"/>
        <v>34</v>
      </c>
      <c r="R38" s="36">
        <v>31</v>
      </c>
      <c r="T38" s="31">
        <f t="shared" si="5"/>
        <v>34</v>
      </c>
      <c r="U38" s="36">
        <v>27</v>
      </c>
      <c r="W38" s="31">
        <f t="shared" si="6"/>
        <v>34</v>
      </c>
      <c r="X38" s="36">
        <v>10</v>
      </c>
      <c r="Z38" s="31">
        <f t="shared" si="7"/>
        <v>34</v>
      </c>
      <c r="AA38" s="36">
        <v>34</v>
      </c>
      <c r="AC38" s="31">
        <f t="shared" si="8"/>
        <v>34</v>
      </c>
      <c r="AD38" s="36">
        <v>66</v>
      </c>
      <c r="AF38" s="31">
        <f t="shared" si="9"/>
        <v>34</v>
      </c>
      <c r="AG38" s="36">
        <v>24</v>
      </c>
      <c r="AI38" s="31">
        <f t="shared" si="10"/>
        <v>34</v>
      </c>
      <c r="AJ38" s="36">
        <v>54</v>
      </c>
      <c r="AL38" s="31">
        <f t="shared" si="11"/>
        <v>34</v>
      </c>
      <c r="AM38" s="36">
        <v>34</v>
      </c>
    </row>
    <row r="39" spans="2:39" x14ac:dyDescent="0.25">
      <c r="B39" s="31">
        <f t="shared" si="0"/>
        <v>38</v>
      </c>
      <c r="C39" s="36">
        <v>27</v>
      </c>
      <c r="E39" s="31">
        <f t="shared" si="1"/>
        <v>41</v>
      </c>
      <c r="F39" s="36">
        <v>82</v>
      </c>
      <c r="H39" s="31">
        <v>39</v>
      </c>
      <c r="I39" s="36">
        <v>23</v>
      </c>
      <c r="K39" s="31">
        <f t="shared" si="2"/>
        <v>35</v>
      </c>
      <c r="L39" s="36">
        <v>51</v>
      </c>
      <c r="N39" s="31">
        <f t="shared" si="3"/>
        <v>35</v>
      </c>
      <c r="O39" s="36">
        <v>28</v>
      </c>
      <c r="Q39" s="31">
        <f t="shared" si="4"/>
        <v>35</v>
      </c>
      <c r="R39" s="36">
        <v>34</v>
      </c>
      <c r="T39" s="31">
        <f t="shared" si="5"/>
        <v>35</v>
      </c>
      <c r="U39" s="36">
        <v>28</v>
      </c>
      <c r="W39" s="31">
        <f t="shared" si="6"/>
        <v>35</v>
      </c>
      <c r="X39" s="36">
        <v>10</v>
      </c>
      <c r="Z39" s="31">
        <f t="shared" si="7"/>
        <v>35</v>
      </c>
      <c r="AA39" s="36">
        <v>35</v>
      </c>
      <c r="AC39" s="31">
        <f t="shared" si="8"/>
        <v>35</v>
      </c>
      <c r="AD39" s="36">
        <v>67</v>
      </c>
      <c r="AF39" s="31">
        <f t="shared" si="9"/>
        <v>35</v>
      </c>
      <c r="AG39" s="36">
        <v>25</v>
      </c>
      <c r="AI39" s="31">
        <f t="shared" si="10"/>
        <v>35</v>
      </c>
      <c r="AJ39" s="36">
        <v>55</v>
      </c>
      <c r="AL39" s="31">
        <f t="shared" si="11"/>
        <v>35</v>
      </c>
      <c r="AM39" s="36">
        <v>44</v>
      </c>
    </row>
    <row r="40" spans="2:39" ht="15.75" thickBot="1" x14ac:dyDescent="0.3">
      <c r="B40" s="31">
        <f t="shared" si="0"/>
        <v>39</v>
      </c>
      <c r="C40" s="36">
        <v>28</v>
      </c>
      <c r="E40" s="31">
        <f t="shared" si="1"/>
        <v>42</v>
      </c>
      <c r="F40" s="36">
        <v>85</v>
      </c>
      <c r="H40" s="31">
        <v>40</v>
      </c>
      <c r="I40" s="36">
        <v>24</v>
      </c>
      <c r="K40" s="31">
        <f t="shared" si="2"/>
        <v>36</v>
      </c>
      <c r="L40" s="36">
        <v>52</v>
      </c>
      <c r="N40" s="31">
        <f t="shared" si="3"/>
        <v>36</v>
      </c>
      <c r="O40" s="36">
        <v>28</v>
      </c>
      <c r="Q40" s="31">
        <f t="shared" si="4"/>
        <v>36</v>
      </c>
      <c r="R40" s="36">
        <v>35</v>
      </c>
      <c r="T40" s="31">
        <f t="shared" si="5"/>
        <v>36</v>
      </c>
      <c r="U40" s="36">
        <v>28</v>
      </c>
      <c r="W40" s="31">
        <f t="shared" si="6"/>
        <v>36</v>
      </c>
      <c r="X40" s="36">
        <v>10</v>
      </c>
      <c r="Z40" s="31">
        <f t="shared" si="7"/>
        <v>36</v>
      </c>
      <c r="AA40" s="36">
        <v>36</v>
      </c>
      <c r="AC40" s="31">
        <f t="shared" si="8"/>
        <v>36</v>
      </c>
      <c r="AD40" s="36">
        <v>70</v>
      </c>
      <c r="AF40" s="31">
        <f t="shared" si="9"/>
        <v>36</v>
      </c>
      <c r="AG40" s="36">
        <v>28</v>
      </c>
      <c r="AI40" s="33">
        <f t="shared" si="10"/>
        <v>36</v>
      </c>
      <c r="AJ40" s="128">
        <v>58</v>
      </c>
      <c r="AL40" s="31">
        <f t="shared" si="11"/>
        <v>36</v>
      </c>
      <c r="AM40" s="36">
        <v>45</v>
      </c>
    </row>
    <row r="41" spans="2:39" x14ac:dyDescent="0.25">
      <c r="B41" s="31">
        <f t="shared" si="0"/>
        <v>40</v>
      </c>
      <c r="C41" s="36">
        <v>29</v>
      </c>
      <c r="E41" s="31">
        <f t="shared" si="1"/>
        <v>43</v>
      </c>
      <c r="F41" s="36">
        <v>88</v>
      </c>
      <c r="H41" s="31">
        <v>41</v>
      </c>
      <c r="I41" s="36">
        <v>25</v>
      </c>
      <c r="K41" s="31">
        <f t="shared" si="2"/>
        <v>37</v>
      </c>
      <c r="L41" s="36">
        <v>54</v>
      </c>
      <c r="N41" s="31">
        <f t="shared" si="3"/>
        <v>37</v>
      </c>
      <c r="O41" s="36">
        <v>29</v>
      </c>
      <c r="Q41" s="31">
        <f t="shared" si="4"/>
        <v>37</v>
      </c>
      <c r="R41" s="36">
        <v>36</v>
      </c>
      <c r="T41" s="31">
        <f t="shared" si="5"/>
        <v>37</v>
      </c>
      <c r="U41" s="36">
        <v>29</v>
      </c>
      <c r="W41" s="31">
        <f t="shared" si="6"/>
        <v>37</v>
      </c>
      <c r="X41" s="36">
        <v>11</v>
      </c>
      <c r="Z41" s="31">
        <f t="shared" si="7"/>
        <v>37</v>
      </c>
      <c r="AA41" s="36">
        <v>37</v>
      </c>
      <c r="AC41" s="31">
        <f t="shared" si="8"/>
        <v>37</v>
      </c>
      <c r="AD41" s="36">
        <v>71</v>
      </c>
      <c r="AF41" s="31">
        <f t="shared" si="9"/>
        <v>37</v>
      </c>
      <c r="AG41" s="36">
        <v>30</v>
      </c>
      <c r="AJ41" s="2" t="s">
        <v>4</v>
      </c>
      <c r="AL41" s="31">
        <f t="shared" si="11"/>
        <v>37</v>
      </c>
      <c r="AM41" s="36">
        <v>46</v>
      </c>
    </row>
    <row r="42" spans="2:39" x14ac:dyDescent="0.25">
      <c r="B42" s="31">
        <f t="shared" si="0"/>
        <v>41</v>
      </c>
      <c r="C42" s="36">
        <v>30</v>
      </c>
      <c r="E42" s="31">
        <f t="shared" si="1"/>
        <v>44</v>
      </c>
      <c r="F42" s="36">
        <v>91</v>
      </c>
      <c r="H42" s="31">
        <v>42</v>
      </c>
      <c r="I42" s="36">
        <v>27</v>
      </c>
      <c r="K42" s="31">
        <f t="shared" si="2"/>
        <v>38</v>
      </c>
      <c r="L42" s="36">
        <v>55</v>
      </c>
      <c r="N42" s="31">
        <f t="shared" si="3"/>
        <v>38</v>
      </c>
      <c r="O42" s="36">
        <v>29</v>
      </c>
      <c r="Q42" s="31">
        <f t="shared" si="4"/>
        <v>38</v>
      </c>
      <c r="R42" s="36">
        <v>37</v>
      </c>
      <c r="T42" s="31">
        <f t="shared" si="5"/>
        <v>38</v>
      </c>
      <c r="U42" s="36">
        <v>30</v>
      </c>
      <c r="W42" s="31">
        <f t="shared" si="6"/>
        <v>38</v>
      </c>
      <c r="X42" s="36">
        <v>11</v>
      </c>
      <c r="Z42" s="31">
        <f t="shared" si="7"/>
        <v>38</v>
      </c>
      <c r="AA42" s="36">
        <v>40</v>
      </c>
      <c r="AC42" s="31">
        <f t="shared" si="8"/>
        <v>38</v>
      </c>
      <c r="AD42" s="36">
        <v>73</v>
      </c>
      <c r="AF42" s="31">
        <f t="shared" si="9"/>
        <v>38</v>
      </c>
      <c r="AG42" s="36">
        <v>31</v>
      </c>
      <c r="AL42" s="31">
        <f t="shared" si="11"/>
        <v>38</v>
      </c>
      <c r="AM42" s="36">
        <v>47</v>
      </c>
    </row>
    <row r="43" spans="2:39" x14ac:dyDescent="0.25">
      <c r="B43" s="31">
        <f t="shared" si="0"/>
        <v>42</v>
      </c>
      <c r="C43" s="36">
        <v>31</v>
      </c>
      <c r="E43" s="31">
        <f t="shared" si="1"/>
        <v>45</v>
      </c>
      <c r="F43" s="36">
        <v>95</v>
      </c>
      <c r="H43" s="31">
        <v>43</v>
      </c>
      <c r="I43" s="36">
        <v>28</v>
      </c>
      <c r="K43" s="31">
        <f t="shared" si="2"/>
        <v>39</v>
      </c>
      <c r="L43" s="36">
        <v>58</v>
      </c>
      <c r="N43" s="31">
        <f t="shared" si="3"/>
        <v>39</v>
      </c>
      <c r="O43" s="36">
        <v>30</v>
      </c>
      <c r="Q43" s="31">
        <f t="shared" si="4"/>
        <v>39</v>
      </c>
      <c r="R43" s="36">
        <v>37</v>
      </c>
      <c r="T43" s="31">
        <f t="shared" si="5"/>
        <v>39</v>
      </c>
      <c r="U43" s="36">
        <v>31</v>
      </c>
      <c r="W43" s="31">
        <f t="shared" si="6"/>
        <v>39</v>
      </c>
      <c r="X43" s="36">
        <v>11</v>
      </c>
      <c r="Z43" s="31">
        <f t="shared" si="7"/>
        <v>39</v>
      </c>
      <c r="AA43" s="36">
        <v>41</v>
      </c>
      <c r="AC43" s="31">
        <f t="shared" si="8"/>
        <v>39</v>
      </c>
      <c r="AD43" s="36">
        <v>76</v>
      </c>
      <c r="AF43" s="31">
        <f t="shared" si="9"/>
        <v>39</v>
      </c>
      <c r="AG43" s="36">
        <v>32</v>
      </c>
      <c r="AL43" s="31">
        <f t="shared" si="11"/>
        <v>39</v>
      </c>
      <c r="AM43" s="36">
        <v>48</v>
      </c>
    </row>
    <row r="44" spans="2:39" x14ac:dyDescent="0.25">
      <c r="B44" s="31">
        <f t="shared" si="0"/>
        <v>43</v>
      </c>
      <c r="C44" s="36">
        <v>31</v>
      </c>
      <c r="E44" s="131">
        <f>E43+1</f>
        <v>46</v>
      </c>
      <c r="F44" s="132">
        <v>95</v>
      </c>
      <c r="H44" s="31">
        <v>44</v>
      </c>
      <c r="I44" s="36">
        <v>29</v>
      </c>
      <c r="K44" s="31">
        <f t="shared" si="2"/>
        <v>40</v>
      </c>
      <c r="L44" s="36">
        <v>61</v>
      </c>
      <c r="N44" s="31">
        <f t="shared" si="3"/>
        <v>40</v>
      </c>
      <c r="O44" s="36">
        <v>31</v>
      </c>
      <c r="Q44" s="31">
        <f t="shared" si="4"/>
        <v>40</v>
      </c>
      <c r="R44" s="36">
        <v>38</v>
      </c>
      <c r="T44" s="31">
        <f t="shared" si="5"/>
        <v>40</v>
      </c>
      <c r="U44" s="36">
        <v>32</v>
      </c>
      <c r="W44" s="31">
        <f t="shared" si="6"/>
        <v>40</v>
      </c>
      <c r="X44" s="36">
        <v>12</v>
      </c>
      <c r="Z44" s="31">
        <f t="shared" si="7"/>
        <v>40</v>
      </c>
      <c r="AA44" s="36">
        <v>42</v>
      </c>
      <c r="AC44" s="31">
        <f t="shared" si="8"/>
        <v>40</v>
      </c>
      <c r="AD44" s="36">
        <v>79</v>
      </c>
      <c r="AF44" s="31">
        <f t="shared" si="9"/>
        <v>40</v>
      </c>
      <c r="AG44" s="36">
        <v>34</v>
      </c>
      <c r="AL44" s="31">
        <f t="shared" si="11"/>
        <v>40</v>
      </c>
      <c r="AM44" s="36">
        <v>49</v>
      </c>
    </row>
    <row r="45" spans="2:39" x14ac:dyDescent="0.25">
      <c r="B45" s="31">
        <f t="shared" si="0"/>
        <v>44</v>
      </c>
      <c r="C45" s="36">
        <v>32</v>
      </c>
      <c r="E45" s="131">
        <f>E44+1</f>
        <v>47</v>
      </c>
      <c r="F45" s="132">
        <v>95</v>
      </c>
      <c r="H45" s="31">
        <v>45</v>
      </c>
      <c r="I45" s="36">
        <v>30</v>
      </c>
      <c r="K45" s="31">
        <f t="shared" si="2"/>
        <v>41</v>
      </c>
      <c r="L45" s="36">
        <v>64</v>
      </c>
      <c r="N45" s="31">
        <f t="shared" si="3"/>
        <v>41</v>
      </c>
      <c r="O45" s="36">
        <v>31</v>
      </c>
      <c r="Q45" s="31">
        <f t="shared" si="4"/>
        <v>41</v>
      </c>
      <c r="R45" s="36">
        <v>40</v>
      </c>
      <c r="T45" s="31">
        <f t="shared" si="5"/>
        <v>41</v>
      </c>
      <c r="U45" s="36">
        <v>33</v>
      </c>
      <c r="W45" s="31">
        <f t="shared" si="6"/>
        <v>41</v>
      </c>
      <c r="X45" s="36">
        <v>12</v>
      </c>
      <c r="Z45" s="31">
        <f t="shared" si="7"/>
        <v>41</v>
      </c>
      <c r="AA45" s="36">
        <v>43</v>
      </c>
      <c r="AC45" s="31">
        <f t="shared" si="8"/>
        <v>41</v>
      </c>
      <c r="AD45" s="36">
        <v>82</v>
      </c>
      <c r="AF45" s="31">
        <f t="shared" si="9"/>
        <v>41</v>
      </c>
      <c r="AG45" s="36">
        <v>35</v>
      </c>
      <c r="AL45" s="31">
        <f t="shared" si="11"/>
        <v>41</v>
      </c>
      <c r="AM45" s="36">
        <v>49</v>
      </c>
    </row>
    <row r="46" spans="2:39" x14ac:dyDescent="0.25">
      <c r="B46" s="31">
        <f t="shared" si="0"/>
        <v>45</v>
      </c>
      <c r="C46" s="36">
        <v>33</v>
      </c>
      <c r="E46" s="131">
        <f t="shared" ref="E46:E52" si="12">E45+1</f>
        <v>48</v>
      </c>
      <c r="F46" s="132">
        <v>95</v>
      </c>
      <c r="H46" s="31">
        <v>46</v>
      </c>
      <c r="I46" s="36">
        <v>31</v>
      </c>
      <c r="K46" s="31">
        <f t="shared" si="2"/>
        <v>42</v>
      </c>
      <c r="L46" s="36">
        <v>67</v>
      </c>
      <c r="N46" s="31">
        <f t="shared" si="3"/>
        <v>42</v>
      </c>
      <c r="O46" s="36">
        <v>31</v>
      </c>
      <c r="Q46" s="31">
        <f t="shared" si="4"/>
        <v>42</v>
      </c>
      <c r="R46" s="36">
        <v>41</v>
      </c>
      <c r="T46" s="31">
        <f t="shared" si="5"/>
        <v>42</v>
      </c>
      <c r="U46" s="36">
        <v>34</v>
      </c>
      <c r="W46" s="31">
        <f t="shared" si="6"/>
        <v>42</v>
      </c>
      <c r="X46" s="36">
        <v>12</v>
      </c>
      <c r="Z46" s="31">
        <f t="shared" si="7"/>
        <v>42</v>
      </c>
      <c r="AA46" s="36">
        <v>44</v>
      </c>
      <c r="AC46" s="31">
        <f t="shared" si="8"/>
        <v>42</v>
      </c>
      <c r="AD46" s="36">
        <v>85</v>
      </c>
      <c r="AF46" s="31">
        <f t="shared" si="9"/>
        <v>42</v>
      </c>
      <c r="AG46" s="36">
        <v>36</v>
      </c>
      <c r="AL46" s="31">
        <f t="shared" si="11"/>
        <v>42</v>
      </c>
      <c r="AM46" s="36">
        <v>50</v>
      </c>
    </row>
    <row r="47" spans="2:39" x14ac:dyDescent="0.25">
      <c r="B47" s="31">
        <f t="shared" si="0"/>
        <v>46</v>
      </c>
      <c r="C47" s="36">
        <v>34</v>
      </c>
      <c r="E47" s="131">
        <f t="shared" si="12"/>
        <v>49</v>
      </c>
      <c r="F47" s="132">
        <v>95</v>
      </c>
      <c r="H47" s="31">
        <v>47</v>
      </c>
      <c r="I47" s="36">
        <v>34</v>
      </c>
      <c r="K47" s="31">
        <f t="shared" si="2"/>
        <v>43</v>
      </c>
      <c r="L47" s="36">
        <v>71</v>
      </c>
      <c r="N47" s="31">
        <f t="shared" si="3"/>
        <v>43</v>
      </c>
      <c r="O47" s="36">
        <v>32</v>
      </c>
      <c r="Q47" s="31">
        <f t="shared" si="4"/>
        <v>43</v>
      </c>
      <c r="R47" s="36">
        <v>42</v>
      </c>
      <c r="T47" s="31">
        <f t="shared" si="5"/>
        <v>43</v>
      </c>
      <c r="U47" s="36">
        <v>34</v>
      </c>
      <c r="W47" s="31">
        <f t="shared" si="6"/>
        <v>43</v>
      </c>
      <c r="X47" s="36">
        <v>13</v>
      </c>
      <c r="Z47" s="31">
        <f t="shared" si="7"/>
        <v>43</v>
      </c>
      <c r="AA47" s="36">
        <v>46</v>
      </c>
      <c r="AC47" s="31">
        <f t="shared" si="8"/>
        <v>43</v>
      </c>
      <c r="AD47" s="36">
        <v>91</v>
      </c>
      <c r="AF47" s="31">
        <f t="shared" si="9"/>
        <v>43</v>
      </c>
      <c r="AG47" s="36">
        <v>37</v>
      </c>
      <c r="AL47" s="31">
        <f t="shared" si="11"/>
        <v>43</v>
      </c>
      <c r="AM47" s="36">
        <v>51</v>
      </c>
    </row>
    <row r="48" spans="2:39" x14ac:dyDescent="0.25">
      <c r="B48" s="31">
        <f t="shared" si="0"/>
        <v>47</v>
      </c>
      <c r="C48" s="36">
        <v>34</v>
      </c>
      <c r="E48" s="131">
        <f t="shared" si="12"/>
        <v>50</v>
      </c>
      <c r="F48" s="132">
        <v>95</v>
      </c>
      <c r="H48" s="31">
        <v>48</v>
      </c>
      <c r="I48" s="36">
        <v>37</v>
      </c>
      <c r="K48" s="31">
        <f t="shared" si="2"/>
        <v>44</v>
      </c>
      <c r="L48" s="36">
        <v>71</v>
      </c>
      <c r="N48" s="31">
        <f t="shared" si="3"/>
        <v>44</v>
      </c>
      <c r="O48" s="36">
        <v>32</v>
      </c>
      <c r="Q48" s="31">
        <f t="shared" si="4"/>
        <v>44</v>
      </c>
      <c r="R48" s="36">
        <v>43</v>
      </c>
      <c r="T48" s="31">
        <f t="shared" si="5"/>
        <v>44</v>
      </c>
      <c r="U48" s="36">
        <v>35</v>
      </c>
      <c r="W48" s="31">
        <f t="shared" si="6"/>
        <v>44</v>
      </c>
      <c r="X48" s="36">
        <v>13</v>
      </c>
      <c r="Z48" s="31">
        <f t="shared" si="7"/>
        <v>44</v>
      </c>
      <c r="AA48" s="36">
        <v>47</v>
      </c>
      <c r="AC48" s="31">
        <f t="shared" si="8"/>
        <v>44</v>
      </c>
      <c r="AD48" s="36">
        <v>95</v>
      </c>
      <c r="AF48" s="31">
        <f t="shared" si="9"/>
        <v>44</v>
      </c>
      <c r="AG48" s="36">
        <v>40</v>
      </c>
      <c r="AL48" s="31">
        <f t="shared" si="11"/>
        <v>44</v>
      </c>
      <c r="AM48" s="36">
        <v>52</v>
      </c>
    </row>
    <row r="49" spans="2:39" x14ac:dyDescent="0.25">
      <c r="B49" s="31">
        <f t="shared" si="0"/>
        <v>48</v>
      </c>
      <c r="C49" s="36">
        <v>35</v>
      </c>
      <c r="E49" s="131">
        <f t="shared" si="12"/>
        <v>51</v>
      </c>
      <c r="F49" s="132">
        <v>95</v>
      </c>
      <c r="H49" s="31">
        <v>49</v>
      </c>
      <c r="I49" s="36">
        <v>40</v>
      </c>
      <c r="K49" s="31">
        <f t="shared" si="2"/>
        <v>45</v>
      </c>
      <c r="L49" s="36">
        <v>71</v>
      </c>
      <c r="N49" s="31">
        <f t="shared" si="3"/>
        <v>45</v>
      </c>
      <c r="O49" s="36">
        <v>33</v>
      </c>
      <c r="Q49" s="31">
        <f t="shared" si="4"/>
        <v>45</v>
      </c>
      <c r="R49" s="36">
        <v>43</v>
      </c>
      <c r="T49" s="31">
        <f t="shared" si="5"/>
        <v>45</v>
      </c>
      <c r="U49" s="36">
        <v>36</v>
      </c>
      <c r="W49" s="31">
        <f t="shared" si="6"/>
        <v>45</v>
      </c>
      <c r="X49" s="36">
        <v>13</v>
      </c>
      <c r="Z49" s="31">
        <f t="shared" si="7"/>
        <v>45</v>
      </c>
      <c r="AA49" s="36">
        <v>48</v>
      </c>
      <c r="AC49" s="31">
        <f t="shared" si="8"/>
        <v>45</v>
      </c>
      <c r="AD49" s="36">
        <v>95</v>
      </c>
      <c r="AF49" s="31">
        <f t="shared" si="9"/>
        <v>45</v>
      </c>
      <c r="AG49" s="36">
        <v>41</v>
      </c>
      <c r="AL49" s="31">
        <f t="shared" si="11"/>
        <v>45</v>
      </c>
      <c r="AM49" s="36">
        <v>52</v>
      </c>
    </row>
    <row r="50" spans="2:39" x14ac:dyDescent="0.25">
      <c r="B50" s="31">
        <f t="shared" si="0"/>
        <v>49</v>
      </c>
      <c r="C50" s="36">
        <v>36</v>
      </c>
      <c r="E50" s="131">
        <f t="shared" si="12"/>
        <v>52</v>
      </c>
      <c r="F50" s="132">
        <v>95</v>
      </c>
      <c r="H50" s="31">
        <v>50</v>
      </c>
      <c r="I50" s="36">
        <v>41</v>
      </c>
      <c r="K50" s="31">
        <f t="shared" si="2"/>
        <v>46</v>
      </c>
      <c r="L50" s="36">
        <v>71</v>
      </c>
      <c r="N50" s="31">
        <f t="shared" si="3"/>
        <v>46</v>
      </c>
      <c r="O50" s="36">
        <v>34</v>
      </c>
      <c r="Q50" s="31">
        <f t="shared" si="4"/>
        <v>46</v>
      </c>
      <c r="R50" s="36">
        <v>44</v>
      </c>
      <c r="T50" s="31">
        <f t="shared" si="5"/>
        <v>46</v>
      </c>
      <c r="U50" s="36">
        <v>37</v>
      </c>
      <c r="W50" s="31">
        <f t="shared" si="6"/>
        <v>46</v>
      </c>
      <c r="X50" s="36">
        <v>14</v>
      </c>
      <c r="Z50" s="31">
        <f t="shared" si="7"/>
        <v>46</v>
      </c>
      <c r="AA50" s="36">
        <v>49</v>
      </c>
      <c r="AC50" s="31">
        <f t="shared" si="8"/>
        <v>46</v>
      </c>
      <c r="AD50" s="36">
        <v>95</v>
      </c>
      <c r="AF50" s="31">
        <f t="shared" si="9"/>
        <v>46</v>
      </c>
      <c r="AG50" s="36">
        <v>43</v>
      </c>
      <c r="AL50" s="31">
        <f t="shared" si="11"/>
        <v>46</v>
      </c>
      <c r="AM50" s="36">
        <v>53</v>
      </c>
    </row>
    <row r="51" spans="2:39" x14ac:dyDescent="0.25">
      <c r="B51" s="31">
        <f t="shared" si="0"/>
        <v>50</v>
      </c>
      <c r="C51" s="36">
        <v>37</v>
      </c>
      <c r="E51" s="131">
        <f t="shared" si="12"/>
        <v>53</v>
      </c>
      <c r="F51" s="132">
        <v>95</v>
      </c>
      <c r="H51" s="31">
        <v>51</v>
      </c>
      <c r="I51" s="36">
        <v>43</v>
      </c>
      <c r="K51" s="31">
        <f t="shared" si="2"/>
        <v>47</v>
      </c>
      <c r="L51" s="36">
        <v>71</v>
      </c>
      <c r="N51" s="31">
        <f t="shared" si="3"/>
        <v>47</v>
      </c>
      <c r="O51" s="36">
        <v>34</v>
      </c>
      <c r="Q51" s="31">
        <f t="shared" si="4"/>
        <v>47</v>
      </c>
      <c r="R51" s="36">
        <v>45</v>
      </c>
      <c r="T51" s="31">
        <f t="shared" si="5"/>
        <v>47</v>
      </c>
      <c r="U51" s="36">
        <v>38</v>
      </c>
      <c r="W51" s="31">
        <f t="shared" si="6"/>
        <v>47</v>
      </c>
      <c r="X51" s="36">
        <v>14</v>
      </c>
      <c r="Z51" s="31">
        <f t="shared" si="7"/>
        <v>47</v>
      </c>
      <c r="AA51" s="36">
        <v>50</v>
      </c>
      <c r="AC51" s="31">
        <f t="shared" si="8"/>
        <v>47</v>
      </c>
      <c r="AD51" s="36">
        <v>95</v>
      </c>
      <c r="AF51" s="31">
        <f t="shared" si="9"/>
        <v>47</v>
      </c>
      <c r="AG51" s="36">
        <v>46</v>
      </c>
      <c r="AL51" s="31">
        <f t="shared" si="11"/>
        <v>47</v>
      </c>
      <c r="AM51" s="36">
        <v>54</v>
      </c>
    </row>
    <row r="52" spans="2:39" ht="15.75" thickBot="1" x14ac:dyDescent="0.3">
      <c r="B52" s="31">
        <f t="shared" si="0"/>
        <v>51</v>
      </c>
      <c r="C52" s="36">
        <v>37</v>
      </c>
      <c r="E52" s="133">
        <f t="shared" si="12"/>
        <v>54</v>
      </c>
      <c r="F52" s="134">
        <v>95</v>
      </c>
      <c r="H52" s="31">
        <v>52</v>
      </c>
      <c r="I52" s="36">
        <v>46</v>
      </c>
      <c r="K52" s="31">
        <f t="shared" si="2"/>
        <v>48</v>
      </c>
      <c r="L52" s="36">
        <v>71</v>
      </c>
      <c r="N52" s="31">
        <f t="shared" si="3"/>
        <v>48</v>
      </c>
      <c r="O52" s="36">
        <v>35</v>
      </c>
      <c r="Q52" s="31">
        <f t="shared" si="4"/>
        <v>48</v>
      </c>
      <c r="R52" s="36">
        <v>46</v>
      </c>
      <c r="T52" s="31">
        <f t="shared" si="5"/>
        <v>48</v>
      </c>
      <c r="U52" s="36">
        <v>39</v>
      </c>
      <c r="W52" s="31">
        <f t="shared" si="6"/>
        <v>48</v>
      </c>
      <c r="X52" s="36">
        <v>15</v>
      </c>
      <c r="Z52" s="31">
        <f t="shared" si="7"/>
        <v>48</v>
      </c>
      <c r="AA52" s="36">
        <v>52</v>
      </c>
      <c r="AC52" s="31">
        <f t="shared" si="8"/>
        <v>48</v>
      </c>
      <c r="AD52" s="36">
        <v>95</v>
      </c>
      <c r="AF52" s="31">
        <f t="shared" si="9"/>
        <v>48</v>
      </c>
      <c r="AG52" s="36">
        <v>47</v>
      </c>
      <c r="AL52" s="33">
        <f t="shared" si="11"/>
        <v>48</v>
      </c>
      <c r="AM52" s="128">
        <v>55</v>
      </c>
    </row>
    <row r="53" spans="2:39" x14ac:dyDescent="0.25">
      <c r="B53" s="31">
        <f t="shared" si="0"/>
        <v>52</v>
      </c>
      <c r="C53" s="36">
        <v>38</v>
      </c>
      <c r="H53" s="31">
        <v>53</v>
      </c>
      <c r="I53" s="36">
        <v>49</v>
      </c>
      <c r="K53" s="31">
        <f t="shared" si="2"/>
        <v>49</v>
      </c>
      <c r="L53" s="36">
        <v>71</v>
      </c>
      <c r="N53" s="31">
        <f t="shared" si="3"/>
        <v>49</v>
      </c>
      <c r="O53" s="36">
        <v>35</v>
      </c>
      <c r="Q53" s="31">
        <f t="shared" si="4"/>
        <v>49</v>
      </c>
      <c r="R53" s="36">
        <v>47</v>
      </c>
      <c r="T53" s="31">
        <f t="shared" si="5"/>
        <v>49</v>
      </c>
      <c r="U53" s="36">
        <v>40</v>
      </c>
      <c r="W53" s="31">
        <f t="shared" si="6"/>
        <v>49</v>
      </c>
      <c r="X53" s="36">
        <v>15</v>
      </c>
      <c r="Z53" s="31">
        <f t="shared" si="7"/>
        <v>49</v>
      </c>
      <c r="AA53" s="36">
        <v>53</v>
      </c>
      <c r="AC53" s="31">
        <f t="shared" si="8"/>
        <v>49</v>
      </c>
      <c r="AD53" s="36">
        <v>95</v>
      </c>
      <c r="AF53" s="31">
        <f t="shared" si="9"/>
        <v>49</v>
      </c>
      <c r="AG53" s="36">
        <v>49</v>
      </c>
    </row>
    <row r="54" spans="2:39" ht="15.75" thickBot="1" x14ac:dyDescent="0.3">
      <c r="B54" s="31">
        <f t="shared" si="0"/>
        <v>53</v>
      </c>
      <c r="C54" s="36">
        <v>40</v>
      </c>
      <c r="H54" s="31">
        <v>54</v>
      </c>
      <c r="I54" s="36">
        <v>55</v>
      </c>
      <c r="K54" s="33">
        <f t="shared" si="2"/>
        <v>50</v>
      </c>
      <c r="L54" s="128">
        <v>71</v>
      </c>
      <c r="N54" s="31">
        <f t="shared" si="3"/>
        <v>50</v>
      </c>
      <c r="O54" s="36">
        <v>36</v>
      </c>
      <c r="Q54" s="31">
        <f t="shared" si="4"/>
        <v>50</v>
      </c>
      <c r="R54" s="36">
        <v>48</v>
      </c>
      <c r="T54" s="31">
        <f t="shared" si="5"/>
        <v>50</v>
      </c>
      <c r="U54" s="36">
        <v>42</v>
      </c>
      <c r="W54" s="31">
        <f t="shared" si="6"/>
        <v>50</v>
      </c>
      <c r="X54" s="36">
        <v>16</v>
      </c>
      <c r="Z54" s="31">
        <f t="shared" si="7"/>
        <v>50</v>
      </c>
      <c r="AA54" s="36">
        <v>55</v>
      </c>
      <c r="AC54" s="33">
        <f t="shared" si="8"/>
        <v>50</v>
      </c>
      <c r="AD54" s="128">
        <v>95</v>
      </c>
      <c r="AF54" s="31">
        <f t="shared" si="9"/>
        <v>50</v>
      </c>
      <c r="AG54" s="36">
        <v>52</v>
      </c>
    </row>
    <row r="55" spans="2:39" x14ac:dyDescent="0.25">
      <c r="B55" s="31">
        <f t="shared" si="0"/>
        <v>54</v>
      </c>
      <c r="C55" s="36">
        <v>41</v>
      </c>
      <c r="H55" s="31">
        <v>55</v>
      </c>
      <c r="I55" s="36">
        <v>61</v>
      </c>
      <c r="N55" s="31">
        <f t="shared" si="3"/>
        <v>51</v>
      </c>
      <c r="O55" s="36">
        <v>37</v>
      </c>
      <c r="Q55" s="31">
        <f t="shared" si="4"/>
        <v>51</v>
      </c>
      <c r="R55" s="36">
        <v>49</v>
      </c>
      <c r="T55" s="31">
        <f t="shared" si="5"/>
        <v>51</v>
      </c>
      <c r="U55" s="36">
        <v>43</v>
      </c>
      <c r="W55" s="31">
        <f t="shared" si="6"/>
        <v>51</v>
      </c>
      <c r="X55" s="36">
        <v>16</v>
      </c>
      <c r="Z55" s="31">
        <f t="shared" si="7"/>
        <v>51</v>
      </c>
      <c r="AA55" s="36">
        <v>56</v>
      </c>
      <c r="AF55" s="31">
        <f t="shared" si="9"/>
        <v>51</v>
      </c>
      <c r="AG55" s="36">
        <v>55</v>
      </c>
    </row>
    <row r="56" spans="2:39" ht="15.75" thickBot="1" x14ac:dyDescent="0.3">
      <c r="B56" s="31">
        <f t="shared" si="0"/>
        <v>55</v>
      </c>
      <c r="C56" s="36">
        <v>42</v>
      </c>
      <c r="H56" s="31">
        <v>56</v>
      </c>
      <c r="I56" s="36">
        <v>67</v>
      </c>
      <c r="N56" s="31">
        <f t="shared" si="3"/>
        <v>52</v>
      </c>
      <c r="O56" s="36">
        <v>37</v>
      </c>
      <c r="Q56" s="33">
        <f t="shared" si="4"/>
        <v>52</v>
      </c>
      <c r="R56" s="128">
        <v>51</v>
      </c>
      <c r="T56" s="31">
        <f t="shared" si="5"/>
        <v>52</v>
      </c>
      <c r="U56" s="36">
        <v>44</v>
      </c>
      <c r="W56" s="31">
        <f t="shared" si="6"/>
        <v>52</v>
      </c>
      <c r="X56" s="36">
        <v>17</v>
      </c>
      <c r="Z56" s="31">
        <f t="shared" si="7"/>
        <v>52</v>
      </c>
      <c r="AA56" s="36">
        <v>58</v>
      </c>
      <c r="AF56" s="31">
        <f t="shared" si="9"/>
        <v>52</v>
      </c>
      <c r="AG56" s="36">
        <v>61</v>
      </c>
    </row>
    <row r="57" spans="2:39" x14ac:dyDescent="0.25">
      <c r="B57" s="31">
        <f t="shared" si="0"/>
        <v>56</v>
      </c>
      <c r="C57" s="36">
        <v>43</v>
      </c>
      <c r="H57" s="31">
        <v>57</v>
      </c>
      <c r="I57" s="36">
        <v>71</v>
      </c>
      <c r="N57" s="31">
        <f t="shared" si="3"/>
        <v>53</v>
      </c>
      <c r="O57" s="36">
        <v>39</v>
      </c>
      <c r="T57" s="31">
        <f t="shared" si="5"/>
        <v>53</v>
      </c>
      <c r="U57" s="36">
        <v>45</v>
      </c>
      <c r="W57" s="31">
        <f t="shared" si="6"/>
        <v>53</v>
      </c>
      <c r="X57" s="36">
        <v>18</v>
      </c>
      <c r="Z57" s="31">
        <f t="shared" si="7"/>
        <v>53</v>
      </c>
      <c r="AA57" s="36">
        <v>59</v>
      </c>
      <c r="AF57" s="31">
        <f t="shared" si="9"/>
        <v>53</v>
      </c>
      <c r="AG57" s="36">
        <v>64</v>
      </c>
    </row>
    <row r="58" spans="2:39" x14ac:dyDescent="0.25">
      <c r="B58" s="31">
        <f t="shared" si="0"/>
        <v>57</v>
      </c>
      <c r="C58" s="36">
        <v>44</v>
      </c>
      <c r="H58" s="31">
        <v>58</v>
      </c>
      <c r="I58" s="36">
        <v>71</v>
      </c>
      <c r="N58" s="31">
        <f t="shared" si="3"/>
        <v>54</v>
      </c>
      <c r="O58" s="36">
        <v>40</v>
      </c>
      <c r="T58" s="31">
        <f t="shared" si="5"/>
        <v>54</v>
      </c>
      <c r="U58" s="36">
        <v>46</v>
      </c>
      <c r="W58" s="31">
        <f t="shared" si="6"/>
        <v>54</v>
      </c>
      <c r="X58" s="36">
        <v>54</v>
      </c>
      <c r="Z58" s="31">
        <f t="shared" si="7"/>
        <v>54</v>
      </c>
      <c r="AA58" s="36">
        <v>61</v>
      </c>
      <c r="AF58" s="31">
        <f t="shared" si="9"/>
        <v>54</v>
      </c>
      <c r="AG58" s="36">
        <v>67</v>
      </c>
    </row>
    <row r="59" spans="2:39" x14ac:dyDescent="0.25">
      <c r="B59" s="31">
        <f t="shared" si="0"/>
        <v>58</v>
      </c>
      <c r="C59" s="36">
        <v>46</v>
      </c>
      <c r="H59" s="31">
        <v>59</v>
      </c>
      <c r="I59" s="36">
        <v>71</v>
      </c>
      <c r="N59" s="31">
        <f t="shared" si="3"/>
        <v>55</v>
      </c>
      <c r="O59" s="36">
        <v>41</v>
      </c>
      <c r="T59" s="31">
        <v>55</v>
      </c>
      <c r="U59" s="36">
        <v>47</v>
      </c>
      <c r="W59" s="31">
        <f t="shared" si="6"/>
        <v>55</v>
      </c>
      <c r="X59" s="36">
        <v>21</v>
      </c>
      <c r="Z59" s="31">
        <f t="shared" si="7"/>
        <v>55</v>
      </c>
      <c r="AA59" s="36">
        <v>64</v>
      </c>
      <c r="AF59" s="31">
        <f t="shared" si="9"/>
        <v>55</v>
      </c>
      <c r="AG59" s="36">
        <v>71</v>
      </c>
    </row>
    <row r="60" spans="2:39" ht="15.75" thickBot="1" x14ac:dyDescent="0.3">
      <c r="B60" s="31">
        <f t="shared" si="0"/>
        <v>59</v>
      </c>
      <c r="C60" s="36">
        <v>49</v>
      </c>
      <c r="H60" s="33">
        <v>60</v>
      </c>
      <c r="I60" s="128">
        <v>71</v>
      </c>
      <c r="N60" s="31">
        <f t="shared" si="3"/>
        <v>56</v>
      </c>
      <c r="O60" s="36">
        <v>42</v>
      </c>
      <c r="T60" s="31">
        <v>56</v>
      </c>
      <c r="U60" s="36">
        <v>48</v>
      </c>
      <c r="W60" s="31">
        <f t="shared" si="6"/>
        <v>56</v>
      </c>
      <c r="X60" s="36">
        <v>22</v>
      </c>
      <c r="Z60" s="31">
        <f t="shared" si="7"/>
        <v>56</v>
      </c>
      <c r="AA60" s="36">
        <v>67</v>
      </c>
      <c r="AF60" s="31">
        <f t="shared" si="9"/>
        <v>56</v>
      </c>
      <c r="AG60" s="36">
        <v>71</v>
      </c>
    </row>
    <row r="61" spans="2:39" x14ac:dyDescent="0.25">
      <c r="B61" s="31">
        <f t="shared" si="0"/>
        <v>60</v>
      </c>
      <c r="C61" s="36">
        <v>52</v>
      </c>
      <c r="N61" s="31">
        <f t="shared" si="3"/>
        <v>57</v>
      </c>
      <c r="O61" s="36">
        <v>43</v>
      </c>
      <c r="T61" s="31">
        <v>57</v>
      </c>
      <c r="U61" s="36">
        <v>49</v>
      </c>
      <c r="W61" s="31">
        <f t="shared" si="6"/>
        <v>57</v>
      </c>
      <c r="X61" s="36">
        <v>23</v>
      </c>
      <c r="Z61" s="31">
        <f t="shared" si="7"/>
        <v>57</v>
      </c>
      <c r="AA61" s="36">
        <v>71</v>
      </c>
      <c r="AF61" s="31">
        <f t="shared" si="9"/>
        <v>57</v>
      </c>
      <c r="AG61" s="36">
        <v>71</v>
      </c>
    </row>
    <row r="62" spans="2:39" x14ac:dyDescent="0.25">
      <c r="B62" s="31">
        <f t="shared" si="0"/>
        <v>61</v>
      </c>
      <c r="C62" s="36">
        <v>55</v>
      </c>
      <c r="N62" s="31">
        <f t="shared" si="3"/>
        <v>58</v>
      </c>
      <c r="O62" s="36">
        <v>44</v>
      </c>
      <c r="T62" s="31">
        <v>58</v>
      </c>
      <c r="U62" s="36">
        <v>50</v>
      </c>
      <c r="W62" s="31">
        <f t="shared" si="6"/>
        <v>58</v>
      </c>
      <c r="X62" s="36">
        <v>24</v>
      </c>
      <c r="Z62" s="31">
        <f t="shared" si="7"/>
        <v>58</v>
      </c>
      <c r="AA62" s="36">
        <v>71</v>
      </c>
      <c r="AF62" s="31">
        <f t="shared" si="9"/>
        <v>58</v>
      </c>
      <c r="AG62" s="36">
        <v>71</v>
      </c>
    </row>
    <row r="63" spans="2:39" x14ac:dyDescent="0.25">
      <c r="B63" s="31">
        <f t="shared" si="0"/>
        <v>62</v>
      </c>
      <c r="C63" s="36">
        <v>61</v>
      </c>
      <c r="N63" s="31">
        <f t="shared" si="3"/>
        <v>59</v>
      </c>
      <c r="O63" s="36">
        <v>45</v>
      </c>
      <c r="T63" s="31">
        <v>59</v>
      </c>
      <c r="U63" s="36">
        <v>51</v>
      </c>
      <c r="W63" s="31">
        <f t="shared" si="6"/>
        <v>59</v>
      </c>
      <c r="X63" s="36">
        <v>25</v>
      </c>
      <c r="Z63" s="31">
        <f t="shared" si="7"/>
        <v>59</v>
      </c>
      <c r="AA63" s="36">
        <v>71</v>
      </c>
      <c r="AF63" s="31">
        <f t="shared" si="9"/>
        <v>59</v>
      </c>
      <c r="AG63" s="36">
        <v>71</v>
      </c>
    </row>
    <row r="64" spans="2:39" ht="15.75" thickBot="1" x14ac:dyDescent="0.3">
      <c r="B64" s="31">
        <f t="shared" si="0"/>
        <v>63</v>
      </c>
      <c r="C64" s="36">
        <v>64</v>
      </c>
      <c r="N64" s="31">
        <f t="shared" si="3"/>
        <v>60</v>
      </c>
      <c r="O64" s="36">
        <v>46</v>
      </c>
      <c r="T64" s="31">
        <v>60</v>
      </c>
      <c r="U64" s="36">
        <v>52</v>
      </c>
      <c r="W64" s="31">
        <f t="shared" si="6"/>
        <v>60</v>
      </c>
      <c r="X64" s="36">
        <v>27</v>
      </c>
      <c r="Z64" s="33">
        <f t="shared" si="7"/>
        <v>60</v>
      </c>
      <c r="AA64" s="128">
        <v>71</v>
      </c>
      <c r="AF64" s="33">
        <f t="shared" si="9"/>
        <v>60</v>
      </c>
      <c r="AG64" s="128">
        <v>71</v>
      </c>
    </row>
    <row r="65" spans="2:24" x14ac:dyDescent="0.25">
      <c r="B65" s="31">
        <f t="shared" si="0"/>
        <v>64</v>
      </c>
      <c r="C65" s="36">
        <v>67</v>
      </c>
      <c r="N65" s="31">
        <f t="shared" si="3"/>
        <v>61</v>
      </c>
      <c r="O65" s="36">
        <v>48</v>
      </c>
      <c r="T65" s="31">
        <v>61</v>
      </c>
      <c r="U65" s="36">
        <v>54</v>
      </c>
      <c r="W65" s="31">
        <f t="shared" si="6"/>
        <v>61</v>
      </c>
      <c r="X65" s="36">
        <v>28</v>
      </c>
    </row>
    <row r="66" spans="2:24" ht="15.75" thickBot="1" x14ac:dyDescent="0.3">
      <c r="B66" s="33">
        <f t="shared" si="0"/>
        <v>65</v>
      </c>
      <c r="C66" s="128">
        <v>71</v>
      </c>
      <c r="N66" s="31">
        <f t="shared" si="3"/>
        <v>62</v>
      </c>
      <c r="O66" s="36">
        <v>49</v>
      </c>
      <c r="T66" s="31">
        <v>62</v>
      </c>
      <c r="U66" s="36">
        <v>55</v>
      </c>
      <c r="W66" s="31">
        <f t="shared" si="6"/>
        <v>62</v>
      </c>
      <c r="X66" s="36">
        <v>30</v>
      </c>
    </row>
    <row r="67" spans="2:24" x14ac:dyDescent="0.25">
      <c r="B67" s="2">
        <f>B66+1</f>
        <v>66</v>
      </c>
      <c r="C67" s="2">
        <v>71</v>
      </c>
      <c r="N67" s="31">
        <f t="shared" si="3"/>
        <v>63</v>
      </c>
      <c r="O67" s="36">
        <v>52</v>
      </c>
      <c r="T67" s="31">
        <v>63</v>
      </c>
      <c r="U67" s="36">
        <v>58</v>
      </c>
      <c r="W67" s="31">
        <f t="shared" si="6"/>
        <v>63</v>
      </c>
      <c r="X67" s="36">
        <v>31</v>
      </c>
    </row>
    <row r="68" spans="2:24" x14ac:dyDescent="0.25">
      <c r="B68" s="2">
        <f t="shared" ref="B68:B75" si="13">B67+1</f>
        <v>67</v>
      </c>
      <c r="C68" s="2">
        <v>71</v>
      </c>
      <c r="N68" s="31">
        <f t="shared" si="3"/>
        <v>64</v>
      </c>
      <c r="O68" s="36">
        <v>54</v>
      </c>
      <c r="T68" s="31">
        <v>64</v>
      </c>
      <c r="U68" s="36">
        <v>59</v>
      </c>
      <c r="W68" s="31">
        <f t="shared" si="6"/>
        <v>64</v>
      </c>
      <c r="X68" s="36">
        <v>32</v>
      </c>
    </row>
    <row r="69" spans="2:24" ht="15.75" thickBot="1" x14ac:dyDescent="0.3">
      <c r="B69" s="2">
        <f t="shared" si="13"/>
        <v>68</v>
      </c>
      <c r="C69" s="2">
        <v>71</v>
      </c>
      <c r="N69" s="31">
        <f t="shared" si="3"/>
        <v>65</v>
      </c>
      <c r="O69" s="36">
        <v>55</v>
      </c>
      <c r="T69" s="33">
        <v>65</v>
      </c>
      <c r="U69" s="128">
        <v>60</v>
      </c>
      <c r="W69" s="31">
        <f t="shared" si="6"/>
        <v>65</v>
      </c>
      <c r="X69" s="36">
        <v>33</v>
      </c>
    </row>
    <row r="70" spans="2:24" x14ac:dyDescent="0.25">
      <c r="B70" s="2">
        <f t="shared" si="13"/>
        <v>69</v>
      </c>
      <c r="C70" s="2">
        <v>71</v>
      </c>
      <c r="N70" s="31">
        <f t="shared" ref="N70:N92" si="14">N69+1</f>
        <v>66</v>
      </c>
      <c r="O70" s="36">
        <v>56</v>
      </c>
      <c r="W70" s="31">
        <f t="shared" ref="W70:W96" si="15">W69+1</f>
        <v>66</v>
      </c>
      <c r="X70" s="36">
        <v>34</v>
      </c>
    </row>
    <row r="71" spans="2:24" x14ac:dyDescent="0.25">
      <c r="B71" s="2">
        <f t="shared" si="13"/>
        <v>70</v>
      </c>
      <c r="C71" s="2">
        <v>71</v>
      </c>
      <c r="N71" s="31">
        <f t="shared" si="14"/>
        <v>67</v>
      </c>
      <c r="O71" s="36">
        <v>58</v>
      </c>
      <c r="W71" s="31">
        <f t="shared" si="15"/>
        <v>67</v>
      </c>
      <c r="X71" s="36">
        <v>35</v>
      </c>
    </row>
    <row r="72" spans="2:24" x14ac:dyDescent="0.25">
      <c r="B72" s="2">
        <f t="shared" si="13"/>
        <v>71</v>
      </c>
      <c r="C72" s="2">
        <v>71</v>
      </c>
      <c r="N72" s="31">
        <f t="shared" si="14"/>
        <v>68</v>
      </c>
      <c r="O72" s="36">
        <v>59</v>
      </c>
      <c r="W72" s="31">
        <f t="shared" si="15"/>
        <v>68</v>
      </c>
      <c r="X72" s="36">
        <v>36</v>
      </c>
    </row>
    <row r="73" spans="2:24" x14ac:dyDescent="0.25">
      <c r="B73" s="2">
        <f t="shared" si="13"/>
        <v>72</v>
      </c>
      <c r="C73" s="2">
        <v>71</v>
      </c>
      <c r="N73" s="31">
        <f t="shared" si="14"/>
        <v>69</v>
      </c>
      <c r="O73" s="36">
        <v>60</v>
      </c>
      <c r="W73" s="31">
        <f t="shared" si="15"/>
        <v>69</v>
      </c>
      <c r="X73" s="36">
        <v>37</v>
      </c>
    </row>
    <row r="74" spans="2:24" x14ac:dyDescent="0.25">
      <c r="B74" s="2">
        <f t="shared" si="13"/>
        <v>73</v>
      </c>
      <c r="C74" s="2">
        <v>71</v>
      </c>
      <c r="N74" s="31">
        <f t="shared" si="14"/>
        <v>70</v>
      </c>
      <c r="O74" s="36">
        <v>61</v>
      </c>
      <c r="W74" s="31">
        <f t="shared" si="15"/>
        <v>70</v>
      </c>
      <c r="X74" s="36">
        <v>39</v>
      </c>
    </row>
    <row r="75" spans="2:24" x14ac:dyDescent="0.25">
      <c r="B75" s="2">
        <f t="shared" si="13"/>
        <v>74</v>
      </c>
      <c r="C75" s="2">
        <v>71</v>
      </c>
      <c r="N75" s="31">
        <f t="shared" si="14"/>
        <v>71</v>
      </c>
      <c r="O75" s="36">
        <v>64</v>
      </c>
      <c r="W75" s="31">
        <f t="shared" si="15"/>
        <v>71</v>
      </c>
      <c r="X75" s="36">
        <v>40</v>
      </c>
    </row>
    <row r="76" spans="2:24" x14ac:dyDescent="0.25">
      <c r="N76" s="31">
        <f t="shared" si="14"/>
        <v>72</v>
      </c>
      <c r="O76" s="36">
        <v>61</v>
      </c>
      <c r="W76" s="31">
        <f t="shared" si="15"/>
        <v>72</v>
      </c>
      <c r="X76" s="36">
        <v>41</v>
      </c>
    </row>
    <row r="77" spans="2:24" x14ac:dyDescent="0.25">
      <c r="N77" s="31">
        <f t="shared" si="14"/>
        <v>73</v>
      </c>
      <c r="O77" s="36">
        <v>62</v>
      </c>
      <c r="W77" s="31">
        <f t="shared" si="15"/>
        <v>73</v>
      </c>
      <c r="X77" s="36">
        <v>43</v>
      </c>
    </row>
    <row r="78" spans="2:24" x14ac:dyDescent="0.25">
      <c r="N78" s="31">
        <f t="shared" si="14"/>
        <v>74</v>
      </c>
      <c r="O78" s="36">
        <v>68</v>
      </c>
      <c r="W78" s="31">
        <f t="shared" si="15"/>
        <v>74</v>
      </c>
      <c r="X78" s="36">
        <v>46</v>
      </c>
    </row>
    <row r="79" spans="2:24" x14ac:dyDescent="0.25">
      <c r="N79" s="31">
        <f t="shared" si="14"/>
        <v>75</v>
      </c>
      <c r="O79" s="36">
        <v>70</v>
      </c>
      <c r="W79" s="31">
        <f t="shared" si="15"/>
        <v>75</v>
      </c>
      <c r="X79" s="36">
        <v>47</v>
      </c>
    </row>
    <row r="80" spans="2:24" x14ac:dyDescent="0.25">
      <c r="N80" s="31">
        <f t="shared" si="14"/>
        <v>76</v>
      </c>
      <c r="O80" s="36">
        <v>70</v>
      </c>
      <c r="W80" s="31">
        <f t="shared" si="15"/>
        <v>76</v>
      </c>
      <c r="X80" s="36">
        <v>49</v>
      </c>
    </row>
    <row r="81" spans="14:24" x14ac:dyDescent="0.25">
      <c r="N81" s="31">
        <f t="shared" si="14"/>
        <v>77</v>
      </c>
      <c r="O81" s="36">
        <v>71</v>
      </c>
      <c r="W81" s="31">
        <f t="shared" si="15"/>
        <v>77</v>
      </c>
      <c r="X81" s="36">
        <v>52</v>
      </c>
    </row>
    <row r="82" spans="14:24" x14ac:dyDescent="0.25">
      <c r="N82" s="31">
        <f t="shared" si="14"/>
        <v>78</v>
      </c>
      <c r="O82" s="36">
        <v>72</v>
      </c>
      <c r="W82" s="31">
        <f t="shared" si="15"/>
        <v>78</v>
      </c>
      <c r="X82" s="36">
        <v>55</v>
      </c>
    </row>
    <row r="83" spans="14:24" x14ac:dyDescent="0.25">
      <c r="N83" s="31">
        <f t="shared" si="14"/>
        <v>79</v>
      </c>
      <c r="O83" s="36">
        <v>73</v>
      </c>
      <c r="W83" s="31">
        <f t="shared" si="15"/>
        <v>79</v>
      </c>
      <c r="X83" s="36">
        <v>58</v>
      </c>
    </row>
    <row r="84" spans="14:24" x14ac:dyDescent="0.25">
      <c r="N84" s="31">
        <f t="shared" si="14"/>
        <v>80</v>
      </c>
      <c r="O84" s="36">
        <v>74</v>
      </c>
      <c r="W84" s="31">
        <f t="shared" si="15"/>
        <v>80</v>
      </c>
      <c r="X84" s="36">
        <v>59</v>
      </c>
    </row>
    <row r="85" spans="14:24" x14ac:dyDescent="0.25">
      <c r="N85" s="31">
        <f t="shared" si="14"/>
        <v>81</v>
      </c>
      <c r="O85" s="36">
        <v>76</v>
      </c>
      <c r="W85" s="31">
        <f t="shared" si="15"/>
        <v>81</v>
      </c>
      <c r="X85" s="36">
        <v>60</v>
      </c>
    </row>
    <row r="86" spans="14:24" x14ac:dyDescent="0.25">
      <c r="N86" s="31">
        <f t="shared" si="14"/>
        <v>82</v>
      </c>
      <c r="O86" s="36">
        <v>79</v>
      </c>
      <c r="W86" s="31">
        <f t="shared" si="15"/>
        <v>82</v>
      </c>
      <c r="X86" s="36">
        <v>61</v>
      </c>
    </row>
    <row r="87" spans="14:24" x14ac:dyDescent="0.25">
      <c r="N87" s="31">
        <f t="shared" si="14"/>
        <v>83</v>
      </c>
      <c r="O87" s="36">
        <v>85</v>
      </c>
      <c r="W87" s="31">
        <f t="shared" si="15"/>
        <v>83</v>
      </c>
      <c r="X87" s="36">
        <v>64</v>
      </c>
    </row>
    <row r="88" spans="14:24" x14ac:dyDescent="0.25">
      <c r="N88" s="31">
        <f t="shared" si="14"/>
        <v>84</v>
      </c>
      <c r="O88" s="36">
        <v>89</v>
      </c>
      <c r="W88" s="31">
        <f t="shared" si="15"/>
        <v>84</v>
      </c>
      <c r="X88" s="36">
        <v>67</v>
      </c>
    </row>
    <row r="89" spans="14:24" x14ac:dyDescent="0.25">
      <c r="N89" s="31">
        <f t="shared" si="14"/>
        <v>85</v>
      </c>
      <c r="O89" s="36">
        <v>92</v>
      </c>
      <c r="W89" s="31">
        <f t="shared" si="15"/>
        <v>85</v>
      </c>
      <c r="X89" s="36">
        <v>71</v>
      </c>
    </row>
    <row r="90" spans="14:24" x14ac:dyDescent="0.25">
      <c r="N90" s="31">
        <f t="shared" si="14"/>
        <v>86</v>
      </c>
      <c r="O90" s="36">
        <v>95</v>
      </c>
      <c r="W90" s="31">
        <f t="shared" si="15"/>
        <v>86</v>
      </c>
      <c r="X90" s="36">
        <v>71</v>
      </c>
    </row>
    <row r="91" spans="14:24" x14ac:dyDescent="0.25">
      <c r="N91" s="31">
        <f t="shared" si="14"/>
        <v>87</v>
      </c>
      <c r="O91" s="36">
        <v>95</v>
      </c>
      <c r="W91" s="31">
        <f t="shared" si="15"/>
        <v>87</v>
      </c>
      <c r="X91" s="36">
        <v>71</v>
      </c>
    </row>
    <row r="92" spans="14:24" ht="15.75" thickBot="1" x14ac:dyDescent="0.3">
      <c r="N92" s="33">
        <f t="shared" si="14"/>
        <v>88</v>
      </c>
      <c r="O92" s="128">
        <v>95</v>
      </c>
      <c r="W92" s="31">
        <f t="shared" si="15"/>
        <v>88</v>
      </c>
      <c r="X92" s="36">
        <v>71</v>
      </c>
    </row>
    <row r="93" spans="14:24" x14ac:dyDescent="0.25">
      <c r="W93" s="31">
        <f t="shared" si="15"/>
        <v>89</v>
      </c>
      <c r="X93" s="36">
        <v>71</v>
      </c>
    </row>
    <row r="94" spans="14:24" x14ac:dyDescent="0.25">
      <c r="W94" s="31">
        <f t="shared" si="15"/>
        <v>90</v>
      </c>
      <c r="X94" s="36">
        <v>71</v>
      </c>
    </row>
    <row r="95" spans="14:24" x14ac:dyDescent="0.25">
      <c r="W95" s="31">
        <f t="shared" si="15"/>
        <v>91</v>
      </c>
      <c r="X95" s="36">
        <v>71</v>
      </c>
    </row>
    <row r="96" spans="14:24" ht="15.75" thickBot="1" x14ac:dyDescent="0.3">
      <c r="W96" s="33">
        <f t="shared" si="15"/>
        <v>92</v>
      </c>
      <c r="X96" s="128">
        <v>71</v>
      </c>
    </row>
  </sheetData>
  <sheetProtection algorithmName="SHA-512" hashValue="Rr0108UCMIhq34xBQLfdkMYwcgtDwGqCI47BtYVSDMM0nvv7wVk0SdRYM2qykgtoGRWckfrXT8jbI2xr3Q0OJA==" saltValue="tt7R9xeO19VSEnC5qn33xQ==" spinCount="100000" sheet="1" objects="1" scenarios="1"/>
  <mergeCells count="13">
    <mergeCell ref="B2:C2"/>
    <mergeCell ref="E2:F2"/>
    <mergeCell ref="H2:I2"/>
    <mergeCell ref="K2:L2"/>
    <mergeCell ref="N2:O2"/>
    <mergeCell ref="AI2:AJ2"/>
    <mergeCell ref="AL2:AM2"/>
    <mergeCell ref="Q2:R2"/>
    <mergeCell ref="T2:U2"/>
    <mergeCell ref="W2:X2"/>
    <mergeCell ref="Z2:AA2"/>
    <mergeCell ref="AC2:AD2"/>
    <mergeCell ref="AF2:A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57FD-FEF6-4B99-A43D-16AFD26CE254}">
  <dimension ref="A1:BC1120"/>
  <sheetViews>
    <sheetView topLeftCell="AD1" zoomScale="80" zoomScaleNormal="80" workbookViewId="0">
      <selection activeCell="AZ6" sqref="AZ6"/>
    </sheetView>
  </sheetViews>
  <sheetFormatPr defaultRowHeight="18.75" x14ac:dyDescent="0.3"/>
  <cols>
    <col min="1" max="4" width="9.140625" style="135"/>
    <col min="5" max="5" width="9.140625" style="136"/>
    <col min="6" max="6" width="9.140625" style="137"/>
    <col min="7" max="7" width="9.140625" style="138"/>
    <col min="8" max="8" width="9.140625" style="135"/>
    <col min="9" max="9" width="9.140625" style="136"/>
    <col min="10" max="10" width="9.140625" style="139"/>
    <col min="11" max="11" width="9.140625" style="138"/>
    <col min="12" max="12" width="9.140625" style="137"/>
    <col min="13" max="13" width="9.140625" style="136"/>
    <col min="14" max="14" width="9.140625" style="139"/>
    <col min="15" max="15" width="9.140625" style="138"/>
    <col min="16" max="16" width="9.140625" style="135"/>
    <col min="17" max="17" width="9.140625" style="136"/>
    <col min="18" max="18" width="9.140625" style="139"/>
    <col min="19" max="19" width="9.140625" style="138"/>
    <col min="20" max="20" width="9.140625" style="135"/>
    <col min="21" max="21" width="9.140625" style="136"/>
    <col min="22" max="22" width="9.140625" style="139"/>
    <col min="23" max="23" width="9.140625" style="138"/>
    <col min="24" max="24" width="9.140625" style="135"/>
    <col min="25" max="25" width="9.140625" style="136"/>
    <col min="26" max="26" width="9.140625" style="139"/>
    <col min="27" max="27" width="9.140625" style="138"/>
    <col min="28" max="28" width="9.140625" style="135"/>
    <col min="29" max="29" width="9.140625" style="136"/>
    <col min="30" max="30" width="9.140625" style="139"/>
    <col min="31" max="31" width="9.140625" style="138"/>
    <col min="32" max="32" width="9.140625" style="135"/>
    <col min="33" max="33" width="9.140625" style="136"/>
    <col min="34" max="34" width="9.140625" style="137"/>
    <col min="35" max="35" width="9.140625" style="138"/>
    <col min="36" max="36" width="9.140625" style="135"/>
    <col min="37" max="37" width="9.140625" style="136"/>
    <col min="38" max="38" width="9.140625" style="139"/>
    <col min="39" max="39" width="9.140625" style="138"/>
    <col min="40" max="40" width="9.140625" style="137"/>
    <col min="41" max="41" width="9.140625" style="136"/>
    <col min="42" max="42" width="9.140625" style="139"/>
    <col min="43" max="43" width="9.140625" style="138"/>
    <col min="44" max="44" width="9.140625" style="135"/>
    <col min="45" max="45" width="9.140625" style="136"/>
    <col min="46" max="46" width="9.140625" style="139"/>
    <col min="47" max="47" width="9.140625" style="138"/>
    <col min="48" max="48" width="9.140625" style="135"/>
    <col min="49" max="49" width="9.140625" style="136"/>
    <col min="50" max="50" width="9.140625" style="139"/>
    <col min="51" max="51" width="9.140625" style="138"/>
    <col min="52" max="52" width="9.140625" style="135"/>
    <col min="53" max="53" width="9.140625" style="136"/>
    <col min="54" max="54" width="9.140625" style="139"/>
    <col min="55" max="55" width="9.140625" style="138"/>
    <col min="56" max="16384" width="9.140625" style="135"/>
  </cols>
  <sheetData>
    <row r="1" spans="1:55" x14ac:dyDescent="0.3">
      <c r="A1" s="135" t="s">
        <v>861</v>
      </c>
    </row>
    <row r="2" spans="1:55" ht="19.5" thickBot="1" x14ac:dyDescent="0.35"/>
    <row r="3" spans="1:55" x14ac:dyDescent="0.3">
      <c r="D3" s="335" t="s">
        <v>885</v>
      </c>
      <c r="E3" s="336"/>
      <c r="F3" s="336"/>
      <c r="G3" s="337"/>
      <c r="H3" s="335" t="s">
        <v>889</v>
      </c>
      <c r="I3" s="336"/>
      <c r="J3" s="336"/>
      <c r="K3" s="337"/>
      <c r="L3" s="338" t="s">
        <v>891</v>
      </c>
      <c r="M3" s="339"/>
      <c r="N3" s="339"/>
      <c r="O3" s="340"/>
      <c r="P3" s="341" t="s">
        <v>232</v>
      </c>
      <c r="Q3" s="342"/>
      <c r="R3" s="342"/>
      <c r="S3" s="343"/>
      <c r="T3" s="335" t="s">
        <v>892</v>
      </c>
      <c r="U3" s="336"/>
      <c r="V3" s="336"/>
      <c r="W3" s="337"/>
      <c r="X3" s="335" t="s">
        <v>893</v>
      </c>
      <c r="Y3" s="336"/>
      <c r="Z3" s="336"/>
      <c r="AA3" s="337"/>
      <c r="AB3" s="335" t="s">
        <v>894</v>
      </c>
      <c r="AC3" s="336"/>
      <c r="AD3" s="336"/>
      <c r="AE3" s="337"/>
      <c r="AF3" s="335" t="s">
        <v>896</v>
      </c>
      <c r="AG3" s="336"/>
      <c r="AH3" s="336"/>
      <c r="AI3" s="337"/>
      <c r="AJ3" s="335" t="s">
        <v>897</v>
      </c>
      <c r="AK3" s="336"/>
      <c r="AL3" s="336"/>
      <c r="AM3" s="337"/>
      <c r="AN3" s="335" t="s">
        <v>898</v>
      </c>
      <c r="AO3" s="336"/>
      <c r="AP3" s="336"/>
      <c r="AQ3" s="337"/>
      <c r="AR3" s="335" t="s">
        <v>899</v>
      </c>
      <c r="AS3" s="336"/>
      <c r="AT3" s="336"/>
      <c r="AU3" s="337"/>
      <c r="AV3" s="335" t="s">
        <v>900</v>
      </c>
      <c r="AW3" s="336"/>
      <c r="AX3" s="336"/>
      <c r="AY3" s="337"/>
      <c r="AZ3" s="335" t="s">
        <v>901</v>
      </c>
      <c r="BA3" s="336"/>
      <c r="BB3" s="336"/>
      <c r="BC3" s="337"/>
    </row>
    <row r="4" spans="1:55" ht="19.5" thickBot="1" x14ac:dyDescent="0.35">
      <c r="D4" s="140" t="s">
        <v>3</v>
      </c>
      <c r="E4" s="141" t="s">
        <v>886</v>
      </c>
      <c r="F4" s="142" t="s">
        <v>887</v>
      </c>
      <c r="G4" s="143" t="s">
        <v>888</v>
      </c>
      <c r="H4" s="140" t="s">
        <v>3</v>
      </c>
      <c r="I4" s="141" t="s">
        <v>890</v>
      </c>
      <c r="J4" s="144" t="s">
        <v>887</v>
      </c>
      <c r="K4" s="143" t="s">
        <v>888</v>
      </c>
      <c r="L4" s="145" t="s">
        <v>3</v>
      </c>
      <c r="M4" s="146" t="s">
        <v>886</v>
      </c>
      <c r="N4" s="147" t="s">
        <v>887</v>
      </c>
      <c r="O4" s="148" t="s">
        <v>888</v>
      </c>
      <c r="P4" s="140" t="s">
        <v>3</v>
      </c>
      <c r="Q4" s="141" t="s">
        <v>890</v>
      </c>
      <c r="R4" s="144" t="s">
        <v>887</v>
      </c>
      <c r="S4" s="143" t="s">
        <v>888</v>
      </c>
      <c r="T4" s="140" t="s">
        <v>3</v>
      </c>
      <c r="U4" s="141" t="s">
        <v>890</v>
      </c>
      <c r="V4" s="144" t="s">
        <v>887</v>
      </c>
      <c r="W4" s="143" t="s">
        <v>888</v>
      </c>
      <c r="X4" s="140" t="s">
        <v>3</v>
      </c>
      <c r="Y4" s="141" t="s">
        <v>890</v>
      </c>
      <c r="Z4" s="144" t="s">
        <v>887</v>
      </c>
      <c r="AA4" s="143" t="s">
        <v>888</v>
      </c>
      <c r="AB4" s="140" t="s">
        <v>3</v>
      </c>
      <c r="AC4" s="141" t="s">
        <v>890</v>
      </c>
      <c r="AD4" s="144" t="s">
        <v>887</v>
      </c>
      <c r="AE4" s="143" t="s">
        <v>888</v>
      </c>
      <c r="AF4" s="140" t="s">
        <v>3</v>
      </c>
      <c r="AG4" s="141" t="s">
        <v>890</v>
      </c>
      <c r="AH4" s="144" t="s">
        <v>887</v>
      </c>
      <c r="AI4" s="143" t="s">
        <v>888</v>
      </c>
      <c r="AJ4" s="140" t="s">
        <v>3</v>
      </c>
      <c r="AK4" s="141" t="s">
        <v>890</v>
      </c>
      <c r="AL4" s="144" t="s">
        <v>887</v>
      </c>
      <c r="AM4" s="143" t="s">
        <v>888</v>
      </c>
      <c r="AN4" s="140" t="s">
        <v>3</v>
      </c>
      <c r="AO4" s="141" t="s">
        <v>890</v>
      </c>
      <c r="AP4" s="144" t="s">
        <v>887</v>
      </c>
      <c r="AQ4" s="143" t="s">
        <v>888</v>
      </c>
      <c r="AR4" s="140" t="s">
        <v>3</v>
      </c>
      <c r="AS4" s="141" t="s">
        <v>890</v>
      </c>
      <c r="AT4" s="144" t="s">
        <v>887</v>
      </c>
      <c r="AU4" s="143" t="s">
        <v>888</v>
      </c>
      <c r="AV4" s="140" t="s">
        <v>3</v>
      </c>
      <c r="AW4" s="141" t="s">
        <v>890</v>
      </c>
      <c r="AX4" s="144" t="s">
        <v>887</v>
      </c>
      <c r="AY4" s="143" t="s">
        <v>888</v>
      </c>
      <c r="AZ4" s="140" t="s">
        <v>3</v>
      </c>
      <c r="BA4" s="141" t="s">
        <v>890</v>
      </c>
      <c r="BB4" s="144" t="s">
        <v>887</v>
      </c>
      <c r="BC4" s="143" t="s">
        <v>888</v>
      </c>
    </row>
    <row r="5" spans="1:55" x14ac:dyDescent="0.3">
      <c r="D5" s="135">
        <f>Summary!L8+0.01*Summary!D5</f>
        <v>36.25</v>
      </c>
      <c r="E5" s="149">
        <v>1</v>
      </c>
      <c r="F5" s="150">
        <v>2</v>
      </c>
      <c r="G5" s="151" t="s">
        <v>862</v>
      </c>
      <c r="H5" s="169">
        <f>Summary!L8+0.01*Summary!D6</f>
        <v>36.159999999999997</v>
      </c>
      <c r="I5" s="136">
        <v>24</v>
      </c>
      <c r="J5" s="139">
        <v>1</v>
      </c>
      <c r="K5" s="138" t="s">
        <v>883</v>
      </c>
      <c r="L5" s="136">
        <f>Summary!L8+0.01*Summary!D9</f>
        <v>36.159999999999997</v>
      </c>
      <c r="M5" s="136">
        <v>1</v>
      </c>
      <c r="N5" s="139">
        <v>2</v>
      </c>
      <c r="O5" s="138" t="s">
        <v>883</v>
      </c>
      <c r="P5" s="169">
        <f>Summary!L8+0.01*Summary!D10</f>
        <v>36.06</v>
      </c>
      <c r="Q5" s="136">
        <v>24</v>
      </c>
      <c r="R5" s="139">
        <v>1</v>
      </c>
      <c r="S5" s="138" t="s">
        <v>883</v>
      </c>
      <c r="T5" s="169">
        <f>Summary!L8+0.01*Summary!D11</f>
        <v>36</v>
      </c>
      <c r="U5" s="136">
        <v>1</v>
      </c>
      <c r="V5" s="139">
        <v>2</v>
      </c>
      <c r="W5" s="138" t="s">
        <v>883</v>
      </c>
      <c r="X5" s="169">
        <f>Summary!L8+0.01*Summary!D14</f>
        <v>36.1</v>
      </c>
      <c r="Y5" s="136">
        <v>1</v>
      </c>
      <c r="Z5" s="139">
        <v>2</v>
      </c>
      <c r="AA5" s="138" t="s">
        <v>883</v>
      </c>
      <c r="AB5" s="169">
        <f>Summary!L8+0.01*Summary!D15</f>
        <v>36.14</v>
      </c>
      <c r="AC5" s="136">
        <v>1</v>
      </c>
      <c r="AD5" s="139">
        <v>2</v>
      </c>
      <c r="AE5" s="138" t="s">
        <v>883</v>
      </c>
      <c r="AF5" s="135">
        <f>Summary!L8+0.01*Summary!D18</f>
        <v>36.299999999999997</v>
      </c>
      <c r="AG5" s="136">
        <v>1</v>
      </c>
      <c r="AH5" s="137">
        <v>2</v>
      </c>
      <c r="AI5" s="138" t="s">
        <v>883</v>
      </c>
      <c r="AJ5" s="169">
        <f>Summary!L8+0.01*Summary!D19</f>
        <v>36.28</v>
      </c>
      <c r="AK5" s="136">
        <v>1</v>
      </c>
      <c r="AL5" s="139">
        <v>2</v>
      </c>
      <c r="AM5" s="138" t="s">
        <v>883</v>
      </c>
      <c r="AN5" s="136">
        <f>Summary!L8+0.01*Summary!D20</f>
        <v>36.119999999999997</v>
      </c>
      <c r="AO5" s="136">
        <v>24</v>
      </c>
      <c r="AP5" s="139">
        <v>1</v>
      </c>
      <c r="AQ5" s="138" t="s">
        <v>862</v>
      </c>
      <c r="AR5" s="169">
        <f>Summary!L8+0.01*Summary!D23</f>
        <v>36.28</v>
      </c>
      <c r="AS5" s="136">
        <v>1</v>
      </c>
      <c r="AT5" s="139">
        <v>2</v>
      </c>
      <c r="AU5" s="138" t="s">
        <v>883</v>
      </c>
      <c r="AV5" s="169">
        <f>Summary!L8+0.01*Summary!D24</f>
        <v>36.159999999999997</v>
      </c>
      <c r="AW5" s="136">
        <v>24</v>
      </c>
      <c r="AX5" s="139">
        <v>1</v>
      </c>
      <c r="AY5" s="138" t="s">
        <v>883</v>
      </c>
      <c r="AZ5" s="135">
        <f>Summary!L8+0.01*Summary!D25</f>
        <v>36.1</v>
      </c>
      <c r="BA5" s="136">
        <v>1</v>
      </c>
      <c r="BB5" s="139">
        <v>2</v>
      </c>
      <c r="BC5" s="138" t="s">
        <v>883</v>
      </c>
    </row>
    <row r="6" spans="1:55" x14ac:dyDescent="0.3">
      <c r="E6" s="152">
        <v>1.01</v>
      </c>
      <c r="F6" s="153">
        <v>4</v>
      </c>
      <c r="G6" s="154" t="s">
        <v>863</v>
      </c>
      <c r="I6" s="136">
        <v>24.01</v>
      </c>
      <c r="J6" s="139">
        <v>3</v>
      </c>
      <c r="K6" s="138">
        <v>1</v>
      </c>
      <c r="M6" s="136">
        <v>1.01</v>
      </c>
      <c r="N6" s="139">
        <v>4</v>
      </c>
      <c r="O6" s="138">
        <v>2</v>
      </c>
      <c r="Q6" s="136">
        <v>24.01</v>
      </c>
      <c r="R6" s="139">
        <v>2</v>
      </c>
      <c r="S6" s="138" t="s">
        <v>883</v>
      </c>
      <c r="U6" s="136">
        <v>1.01</v>
      </c>
      <c r="V6" s="139">
        <v>4</v>
      </c>
      <c r="W6" s="138">
        <v>2</v>
      </c>
      <c r="Y6" s="136">
        <v>1.01</v>
      </c>
      <c r="Z6" s="139">
        <v>4</v>
      </c>
      <c r="AA6" s="138">
        <v>2</v>
      </c>
      <c r="AC6" s="136">
        <v>1.01</v>
      </c>
      <c r="AD6" s="139">
        <v>4</v>
      </c>
      <c r="AE6" s="138">
        <v>2</v>
      </c>
      <c r="AG6" s="136">
        <v>1.01</v>
      </c>
      <c r="AH6" s="137">
        <v>4</v>
      </c>
      <c r="AI6" s="138">
        <v>2</v>
      </c>
      <c r="AK6" s="136">
        <v>1.01</v>
      </c>
      <c r="AL6" s="139">
        <v>4</v>
      </c>
      <c r="AM6" s="138">
        <v>2</v>
      </c>
      <c r="AO6" s="136">
        <v>24.06</v>
      </c>
      <c r="AP6" s="139">
        <v>2</v>
      </c>
      <c r="AQ6" s="138" t="s">
        <v>883</v>
      </c>
      <c r="AS6" s="136">
        <v>1.01</v>
      </c>
      <c r="AT6" s="139">
        <v>4</v>
      </c>
      <c r="AU6" s="138">
        <v>2</v>
      </c>
      <c r="AW6" s="136">
        <v>24.02</v>
      </c>
      <c r="AX6" s="139">
        <v>2</v>
      </c>
      <c r="AY6" s="138" t="s">
        <v>883</v>
      </c>
      <c r="BA6" s="136">
        <v>1.01</v>
      </c>
      <c r="BB6" s="139">
        <v>4</v>
      </c>
      <c r="BC6" s="138">
        <v>2</v>
      </c>
    </row>
    <row r="7" spans="1:55" x14ac:dyDescent="0.3">
      <c r="E7" s="152">
        <v>1.02</v>
      </c>
      <c r="F7" s="153">
        <v>6</v>
      </c>
      <c r="G7" s="155" t="s">
        <v>864</v>
      </c>
      <c r="I7" s="136">
        <v>24.02</v>
      </c>
      <c r="J7" s="139">
        <v>4</v>
      </c>
      <c r="K7" s="138">
        <v>2</v>
      </c>
      <c r="M7" s="136">
        <v>1.02</v>
      </c>
      <c r="N7" s="139">
        <v>6</v>
      </c>
      <c r="O7" s="138">
        <v>9</v>
      </c>
      <c r="Q7" s="136">
        <v>24.02</v>
      </c>
      <c r="R7" s="139">
        <v>3</v>
      </c>
      <c r="S7" s="138">
        <v>1</v>
      </c>
      <c r="U7" s="136">
        <v>1.02</v>
      </c>
      <c r="V7" s="139">
        <v>6</v>
      </c>
      <c r="W7" s="138">
        <v>9</v>
      </c>
      <c r="Y7" s="136">
        <v>1.02</v>
      </c>
      <c r="Z7" s="139">
        <v>6</v>
      </c>
      <c r="AA7" s="138">
        <v>9</v>
      </c>
      <c r="AC7" s="136">
        <v>1.02</v>
      </c>
      <c r="AD7" s="139">
        <v>6</v>
      </c>
      <c r="AE7" s="138">
        <v>9</v>
      </c>
      <c r="AG7" s="136">
        <v>1.02</v>
      </c>
      <c r="AH7" s="137">
        <v>6</v>
      </c>
      <c r="AI7" s="138">
        <v>9</v>
      </c>
      <c r="AK7" s="136">
        <v>1.02</v>
      </c>
      <c r="AL7" s="139">
        <v>6</v>
      </c>
      <c r="AM7" s="138">
        <v>9</v>
      </c>
      <c r="AO7" s="136">
        <v>24.08</v>
      </c>
      <c r="AP7" s="139">
        <v>3</v>
      </c>
      <c r="AQ7" s="138">
        <v>1</v>
      </c>
      <c r="AS7" s="136">
        <v>1.02</v>
      </c>
      <c r="AT7" s="139">
        <v>6</v>
      </c>
      <c r="AU7" s="138">
        <v>9</v>
      </c>
      <c r="AW7" s="136">
        <v>24.03</v>
      </c>
      <c r="AX7" s="139">
        <v>3</v>
      </c>
      <c r="AY7" s="138">
        <v>1</v>
      </c>
      <c r="BA7" s="136">
        <v>1.02</v>
      </c>
      <c r="BB7" s="139">
        <v>6</v>
      </c>
      <c r="BC7" s="138">
        <v>9</v>
      </c>
    </row>
    <row r="8" spans="1:55" x14ac:dyDescent="0.3">
      <c r="E8" s="152">
        <v>1.03</v>
      </c>
      <c r="F8" s="153">
        <v>8</v>
      </c>
      <c r="G8" s="155" t="s">
        <v>865</v>
      </c>
      <c r="I8" s="136">
        <v>24.03</v>
      </c>
      <c r="J8" s="139">
        <v>5</v>
      </c>
      <c r="K8" s="138">
        <v>5</v>
      </c>
      <c r="M8" s="136">
        <v>1.03</v>
      </c>
      <c r="N8" s="139">
        <v>7</v>
      </c>
      <c r="O8" s="138">
        <v>16</v>
      </c>
      <c r="Q8" s="136">
        <v>24.03</v>
      </c>
      <c r="R8" s="139">
        <v>4</v>
      </c>
      <c r="S8" s="138">
        <v>2</v>
      </c>
      <c r="U8" s="136">
        <v>1.03</v>
      </c>
      <c r="V8" s="139">
        <v>8</v>
      </c>
      <c r="W8" s="138">
        <v>25</v>
      </c>
      <c r="Y8" s="136">
        <v>1.03</v>
      </c>
      <c r="Z8" s="139">
        <v>7</v>
      </c>
      <c r="AA8" s="138">
        <v>16</v>
      </c>
      <c r="AC8" s="136">
        <v>1.03</v>
      </c>
      <c r="AD8" s="139">
        <v>8</v>
      </c>
      <c r="AE8" s="138">
        <v>25</v>
      </c>
      <c r="AG8" s="136">
        <v>1.03</v>
      </c>
      <c r="AH8" s="137">
        <v>8</v>
      </c>
      <c r="AI8" s="138">
        <v>25</v>
      </c>
      <c r="AK8" s="136">
        <v>1.03</v>
      </c>
      <c r="AL8" s="139">
        <v>8</v>
      </c>
      <c r="AM8" s="138">
        <v>25</v>
      </c>
      <c r="AO8" s="136">
        <v>24.09</v>
      </c>
      <c r="AP8" s="139">
        <v>4</v>
      </c>
      <c r="AQ8" s="138">
        <v>2</v>
      </c>
      <c r="AS8" s="136">
        <v>1.03</v>
      </c>
      <c r="AT8" s="139">
        <v>7</v>
      </c>
      <c r="AU8" s="138">
        <v>16</v>
      </c>
      <c r="AW8" s="136">
        <v>24.04</v>
      </c>
      <c r="AX8" s="139">
        <v>4</v>
      </c>
      <c r="AY8" s="138">
        <v>2</v>
      </c>
      <c r="BA8" s="136">
        <v>1.03</v>
      </c>
      <c r="BB8" s="139">
        <v>8</v>
      </c>
      <c r="BC8" s="138">
        <v>25</v>
      </c>
    </row>
    <row r="9" spans="1:55" x14ac:dyDescent="0.3">
      <c r="E9" s="152">
        <v>1.04</v>
      </c>
      <c r="F9" s="153">
        <v>10</v>
      </c>
      <c r="G9" s="155" t="s">
        <v>866</v>
      </c>
      <c r="I9" s="136">
        <v>24.04</v>
      </c>
      <c r="J9" s="139">
        <v>6</v>
      </c>
      <c r="K9" s="138">
        <v>9</v>
      </c>
      <c r="M9" s="136">
        <v>1.04</v>
      </c>
      <c r="N9" s="139">
        <v>8</v>
      </c>
      <c r="O9" s="138">
        <v>25</v>
      </c>
      <c r="Q9" s="136">
        <v>24.04</v>
      </c>
      <c r="R9" s="139">
        <v>5</v>
      </c>
      <c r="S9" s="138">
        <v>5</v>
      </c>
      <c r="U9" s="136">
        <v>1.04</v>
      </c>
      <c r="V9" s="139">
        <v>10</v>
      </c>
      <c r="W9" s="138">
        <v>50</v>
      </c>
      <c r="Y9" s="136">
        <v>1.04</v>
      </c>
      <c r="Z9" s="139">
        <v>8</v>
      </c>
      <c r="AA9" s="138">
        <v>25</v>
      </c>
      <c r="AC9" s="136">
        <v>1.04</v>
      </c>
      <c r="AD9" s="139">
        <v>10</v>
      </c>
      <c r="AE9" s="138">
        <v>50</v>
      </c>
      <c r="AG9" s="136">
        <v>1.04</v>
      </c>
      <c r="AH9" s="137">
        <v>9</v>
      </c>
      <c r="AI9" s="138">
        <v>37</v>
      </c>
      <c r="AK9" s="136">
        <v>1.04</v>
      </c>
      <c r="AL9" s="139">
        <v>10</v>
      </c>
      <c r="AM9" s="138">
        <v>50</v>
      </c>
      <c r="AO9" s="136">
        <v>24.1</v>
      </c>
      <c r="AP9" s="139">
        <v>5</v>
      </c>
      <c r="AQ9" s="138">
        <v>5</v>
      </c>
      <c r="AS9" s="136">
        <v>1.04</v>
      </c>
      <c r="AT9" s="139">
        <v>8</v>
      </c>
      <c r="AU9" s="138">
        <v>25</v>
      </c>
      <c r="AW9" s="136">
        <v>24.05</v>
      </c>
      <c r="AX9" s="139">
        <v>5</v>
      </c>
      <c r="AY9" s="138">
        <v>5</v>
      </c>
      <c r="BA9" s="136">
        <v>1.04</v>
      </c>
      <c r="BB9" s="139">
        <v>10</v>
      </c>
      <c r="BC9" s="138">
        <v>50</v>
      </c>
    </row>
    <row r="10" spans="1:55" x14ac:dyDescent="0.3">
      <c r="E10" s="152">
        <v>1.05</v>
      </c>
      <c r="F10" s="153">
        <v>11</v>
      </c>
      <c r="G10" s="155" t="s">
        <v>867</v>
      </c>
      <c r="I10" s="136">
        <v>24.05</v>
      </c>
      <c r="J10" s="139">
        <v>7</v>
      </c>
      <c r="K10" s="138">
        <v>16</v>
      </c>
      <c r="M10" s="136">
        <v>1.05</v>
      </c>
      <c r="N10" s="139">
        <v>9</v>
      </c>
      <c r="O10" s="138">
        <v>37</v>
      </c>
      <c r="Q10" s="136">
        <v>24.06</v>
      </c>
      <c r="R10" s="139">
        <v>6</v>
      </c>
      <c r="S10" s="138">
        <v>9</v>
      </c>
      <c r="U10" s="136">
        <v>1.05</v>
      </c>
      <c r="V10" s="139">
        <v>11</v>
      </c>
      <c r="W10" s="138">
        <v>63</v>
      </c>
      <c r="Y10" s="136">
        <v>1.05</v>
      </c>
      <c r="Z10" s="139">
        <v>9</v>
      </c>
      <c r="AA10" s="138">
        <v>37</v>
      </c>
      <c r="AC10" s="136">
        <v>1.05</v>
      </c>
      <c r="AD10" s="139">
        <v>11</v>
      </c>
      <c r="AE10" s="138">
        <v>63</v>
      </c>
      <c r="AG10" s="136">
        <v>1.05</v>
      </c>
      <c r="AH10" s="137">
        <v>10</v>
      </c>
      <c r="AI10" s="138">
        <v>50</v>
      </c>
      <c r="AK10" s="136">
        <v>1.05</v>
      </c>
      <c r="AL10" s="139">
        <v>12</v>
      </c>
      <c r="AM10" s="138">
        <v>75</v>
      </c>
      <c r="AO10" s="136">
        <v>24.11</v>
      </c>
      <c r="AP10" s="139">
        <v>6</v>
      </c>
      <c r="AQ10" s="138">
        <v>9</v>
      </c>
      <c r="AS10" s="136">
        <v>1.05</v>
      </c>
      <c r="AT10" s="139">
        <v>9</v>
      </c>
      <c r="AU10" s="138">
        <v>37</v>
      </c>
      <c r="AW10" s="136">
        <v>24.06</v>
      </c>
      <c r="AX10" s="139">
        <v>6</v>
      </c>
      <c r="AY10" s="138">
        <v>9</v>
      </c>
      <c r="BA10" s="136">
        <v>1.05</v>
      </c>
      <c r="BB10" s="139">
        <v>11</v>
      </c>
      <c r="BC10" s="138">
        <v>63</v>
      </c>
    </row>
    <row r="11" spans="1:55" x14ac:dyDescent="0.3">
      <c r="E11" s="152">
        <v>1.06</v>
      </c>
      <c r="F11" s="153">
        <v>12</v>
      </c>
      <c r="G11" s="155" t="s">
        <v>868</v>
      </c>
      <c r="I11" s="136">
        <v>24.06</v>
      </c>
      <c r="J11" s="139">
        <v>8</v>
      </c>
      <c r="K11" s="138">
        <v>25</v>
      </c>
      <c r="M11" s="136">
        <v>1.06</v>
      </c>
      <c r="N11" s="139">
        <v>10</v>
      </c>
      <c r="O11" s="138">
        <v>50</v>
      </c>
      <c r="Q11" s="136">
        <v>24.08</v>
      </c>
      <c r="R11" s="139">
        <v>7</v>
      </c>
      <c r="S11" s="138">
        <v>16</v>
      </c>
      <c r="U11" s="136">
        <v>1.06</v>
      </c>
      <c r="V11" s="139">
        <v>12</v>
      </c>
      <c r="W11" s="138">
        <v>75</v>
      </c>
      <c r="Y11" s="136">
        <v>1.06</v>
      </c>
      <c r="Z11" s="139">
        <v>10</v>
      </c>
      <c r="AA11" s="138">
        <v>50</v>
      </c>
      <c r="AC11" s="136">
        <v>1.06</v>
      </c>
      <c r="AD11" s="139">
        <v>12</v>
      </c>
      <c r="AE11" s="138">
        <v>75</v>
      </c>
      <c r="AG11" s="136">
        <v>1.06</v>
      </c>
      <c r="AH11" s="137">
        <v>11</v>
      </c>
      <c r="AI11" s="138">
        <v>63</v>
      </c>
      <c r="AK11" s="136">
        <v>1.06</v>
      </c>
      <c r="AL11" s="139">
        <v>13</v>
      </c>
      <c r="AM11" s="138">
        <v>85</v>
      </c>
      <c r="AO11" s="136">
        <v>24.12</v>
      </c>
      <c r="AP11" s="139">
        <v>7</v>
      </c>
      <c r="AQ11" s="138">
        <v>16</v>
      </c>
      <c r="AS11" s="136">
        <v>1.06</v>
      </c>
      <c r="AT11" s="139">
        <v>10</v>
      </c>
      <c r="AU11" s="138">
        <v>50</v>
      </c>
      <c r="AW11" s="136">
        <v>24.07</v>
      </c>
      <c r="AX11" s="139">
        <v>7</v>
      </c>
      <c r="AY11" s="138">
        <v>16</v>
      </c>
      <c r="BA11" s="136">
        <v>1.06</v>
      </c>
      <c r="BB11" s="139">
        <v>12</v>
      </c>
      <c r="BC11" s="138">
        <v>75</v>
      </c>
    </row>
    <row r="12" spans="1:55" x14ac:dyDescent="0.3">
      <c r="E12" s="152">
        <v>1.07</v>
      </c>
      <c r="F12" s="153">
        <v>13</v>
      </c>
      <c r="G12" s="155" t="s">
        <v>869</v>
      </c>
      <c r="I12" s="136">
        <v>24.07</v>
      </c>
      <c r="J12" s="139">
        <v>9</v>
      </c>
      <c r="K12" s="138">
        <v>37</v>
      </c>
      <c r="M12" s="136">
        <v>1.07</v>
      </c>
      <c r="N12" s="139">
        <v>11</v>
      </c>
      <c r="O12" s="138">
        <v>63</v>
      </c>
      <c r="Q12" s="136">
        <v>24.1</v>
      </c>
      <c r="R12" s="139">
        <v>8</v>
      </c>
      <c r="S12" s="138">
        <v>25</v>
      </c>
      <c r="U12" s="136">
        <v>1.07</v>
      </c>
      <c r="V12" s="139">
        <v>13</v>
      </c>
      <c r="W12" s="138">
        <v>85</v>
      </c>
      <c r="Y12" s="136">
        <v>1.08</v>
      </c>
      <c r="Z12" s="139">
        <v>11</v>
      </c>
      <c r="AA12" s="138">
        <v>63</v>
      </c>
      <c r="AC12" s="136">
        <v>1.07</v>
      </c>
      <c r="AD12" s="139">
        <v>13</v>
      </c>
      <c r="AE12" s="138">
        <v>85</v>
      </c>
      <c r="AG12" s="136">
        <v>1.07</v>
      </c>
      <c r="AH12" s="137">
        <v>12</v>
      </c>
      <c r="AI12" s="138">
        <v>75</v>
      </c>
      <c r="AK12" s="136">
        <v>1.07</v>
      </c>
      <c r="AL12" s="139">
        <v>14</v>
      </c>
      <c r="AM12" s="138">
        <v>91</v>
      </c>
      <c r="AO12" s="136">
        <v>24.13</v>
      </c>
      <c r="AP12" s="139">
        <v>8</v>
      </c>
      <c r="AQ12" s="138">
        <v>25</v>
      </c>
      <c r="AS12" s="136">
        <v>1.07</v>
      </c>
      <c r="AT12" s="139">
        <v>11</v>
      </c>
      <c r="AU12" s="138">
        <v>63</v>
      </c>
      <c r="AW12" s="136">
        <v>24.09</v>
      </c>
      <c r="AX12" s="139">
        <v>8</v>
      </c>
      <c r="AY12" s="138">
        <v>25</v>
      </c>
      <c r="BA12" s="136">
        <v>1.07</v>
      </c>
      <c r="BB12" s="139">
        <v>13</v>
      </c>
      <c r="BC12" s="138">
        <v>85</v>
      </c>
    </row>
    <row r="13" spans="1:55" x14ac:dyDescent="0.3">
      <c r="E13" s="152">
        <v>1.08</v>
      </c>
      <c r="F13" s="153">
        <v>14</v>
      </c>
      <c r="G13" s="155" t="s">
        <v>870</v>
      </c>
      <c r="I13" s="136">
        <v>24.08</v>
      </c>
      <c r="J13" s="139">
        <v>10</v>
      </c>
      <c r="K13" s="138">
        <v>50</v>
      </c>
      <c r="M13" s="136">
        <v>1.08</v>
      </c>
      <c r="N13" s="139">
        <v>12</v>
      </c>
      <c r="O13" s="138">
        <v>75</v>
      </c>
      <c r="Q13" s="136">
        <v>24.13</v>
      </c>
      <c r="R13" s="139">
        <v>9</v>
      </c>
      <c r="S13" s="138">
        <v>37</v>
      </c>
      <c r="U13" s="136">
        <v>1.08</v>
      </c>
      <c r="V13" s="139">
        <v>14</v>
      </c>
      <c r="W13" s="138">
        <v>91</v>
      </c>
      <c r="Y13" s="136">
        <v>1.0900000000000001</v>
      </c>
      <c r="Z13" s="139">
        <v>12</v>
      </c>
      <c r="AA13" s="138">
        <v>75</v>
      </c>
      <c r="AC13" s="136">
        <v>1.08</v>
      </c>
      <c r="AD13" s="139">
        <v>14</v>
      </c>
      <c r="AE13" s="138">
        <v>91</v>
      </c>
      <c r="AG13" s="136">
        <v>1.0900000000000001</v>
      </c>
      <c r="AH13" s="137">
        <v>13</v>
      </c>
      <c r="AI13" s="138">
        <v>85</v>
      </c>
      <c r="AK13" s="136">
        <v>1.08</v>
      </c>
      <c r="AL13" s="139">
        <v>15</v>
      </c>
      <c r="AM13" s="138">
        <v>95</v>
      </c>
      <c r="AO13" s="136">
        <v>24.14</v>
      </c>
      <c r="AP13" s="139">
        <v>9</v>
      </c>
      <c r="AQ13" s="138">
        <v>37</v>
      </c>
      <c r="AS13" s="136">
        <v>1.08</v>
      </c>
      <c r="AT13" s="139">
        <v>12</v>
      </c>
      <c r="AU13" s="138">
        <v>75</v>
      </c>
      <c r="AW13" s="136">
        <v>24.11</v>
      </c>
      <c r="AX13" s="139">
        <v>9</v>
      </c>
      <c r="AY13" s="138">
        <v>37</v>
      </c>
      <c r="BA13" s="136">
        <v>1.08</v>
      </c>
      <c r="BB13" s="139">
        <v>15</v>
      </c>
      <c r="BC13" s="138">
        <v>95</v>
      </c>
    </row>
    <row r="14" spans="1:55" x14ac:dyDescent="0.3">
      <c r="E14" s="152">
        <v>1.0900000000000001</v>
      </c>
      <c r="F14" s="153">
        <v>15</v>
      </c>
      <c r="G14" s="155" t="s">
        <v>871</v>
      </c>
      <c r="I14" s="136">
        <v>24.09</v>
      </c>
      <c r="J14" s="139">
        <v>11</v>
      </c>
      <c r="K14" s="138">
        <v>63</v>
      </c>
      <c r="M14" s="136">
        <v>1.1000000000000001</v>
      </c>
      <c r="N14" s="139">
        <v>13</v>
      </c>
      <c r="O14" s="138">
        <v>85</v>
      </c>
      <c r="Q14" s="136">
        <v>24.15</v>
      </c>
      <c r="R14" s="139">
        <v>10</v>
      </c>
      <c r="S14" s="138">
        <v>50</v>
      </c>
      <c r="U14" s="136">
        <v>1.0900000000000001</v>
      </c>
      <c r="V14" s="139">
        <v>15</v>
      </c>
      <c r="W14" s="138">
        <v>95</v>
      </c>
      <c r="Y14" s="136">
        <v>1.1000000000000001</v>
      </c>
      <c r="Z14" s="139">
        <v>13</v>
      </c>
      <c r="AA14" s="138">
        <v>85</v>
      </c>
      <c r="AC14" s="136">
        <v>1.0900000000000001</v>
      </c>
      <c r="AD14" s="139">
        <v>15</v>
      </c>
      <c r="AE14" s="138">
        <v>95</v>
      </c>
      <c r="AG14" s="136">
        <v>1.1000000000000001</v>
      </c>
      <c r="AH14" s="137">
        <v>14</v>
      </c>
      <c r="AI14" s="138">
        <v>91</v>
      </c>
      <c r="AK14" s="136">
        <v>1.0900000000000001</v>
      </c>
      <c r="AL14" s="139">
        <v>16</v>
      </c>
      <c r="AM14" s="138">
        <v>98</v>
      </c>
      <c r="AO14" s="136">
        <v>24.15</v>
      </c>
      <c r="AP14" s="139">
        <v>10</v>
      </c>
      <c r="AQ14" s="138">
        <v>50</v>
      </c>
      <c r="AS14" s="136">
        <v>1.1000000000000001</v>
      </c>
      <c r="AT14" s="139">
        <v>13</v>
      </c>
      <c r="AU14" s="138">
        <v>85</v>
      </c>
      <c r="AW14" s="136">
        <v>24.12</v>
      </c>
      <c r="AX14" s="139">
        <v>10</v>
      </c>
      <c r="AY14" s="138">
        <v>50</v>
      </c>
      <c r="BA14" s="136">
        <v>1.0900000000000001</v>
      </c>
      <c r="BB14" s="139">
        <v>17</v>
      </c>
      <c r="BC14" s="138">
        <v>99</v>
      </c>
    </row>
    <row r="15" spans="1:55" x14ac:dyDescent="0.3">
      <c r="E15" s="152">
        <v>1.1000000000000001</v>
      </c>
      <c r="F15" s="153">
        <v>16</v>
      </c>
      <c r="G15" s="155" t="s">
        <v>872</v>
      </c>
      <c r="I15" s="136">
        <v>24.1</v>
      </c>
      <c r="J15" s="139">
        <v>12</v>
      </c>
      <c r="K15" s="138">
        <v>75</v>
      </c>
      <c r="M15" s="136">
        <v>1.1100000000000001</v>
      </c>
      <c r="N15" s="139">
        <v>14</v>
      </c>
      <c r="O15" s="138">
        <v>91</v>
      </c>
      <c r="Q15" s="136">
        <v>24.17</v>
      </c>
      <c r="R15" s="139">
        <v>11</v>
      </c>
      <c r="S15" s="138">
        <v>63</v>
      </c>
      <c r="U15" s="136">
        <v>1.1000000000000001</v>
      </c>
      <c r="V15" s="139">
        <v>16</v>
      </c>
      <c r="W15" s="138">
        <v>98</v>
      </c>
      <c r="Y15" s="136">
        <v>1.1100000000000001</v>
      </c>
      <c r="Z15" s="139">
        <v>14</v>
      </c>
      <c r="AA15" s="138">
        <v>91</v>
      </c>
      <c r="AC15" s="136">
        <v>1.1000000000000001</v>
      </c>
      <c r="AD15" s="139">
        <v>16</v>
      </c>
      <c r="AE15" s="138">
        <v>98</v>
      </c>
      <c r="AG15" s="136">
        <v>1.1100000000000001</v>
      </c>
      <c r="AH15" s="137">
        <v>15</v>
      </c>
      <c r="AI15" s="138">
        <v>95</v>
      </c>
      <c r="AK15" s="136">
        <v>1.1000000000000001</v>
      </c>
      <c r="AL15" s="139">
        <v>17</v>
      </c>
      <c r="AM15" s="138">
        <v>99</v>
      </c>
      <c r="AO15" s="136">
        <v>24.16</v>
      </c>
      <c r="AP15" s="139">
        <v>11</v>
      </c>
      <c r="AQ15" s="138">
        <v>63</v>
      </c>
      <c r="AS15" s="136">
        <v>1.1100000000000001</v>
      </c>
      <c r="AT15" s="139">
        <v>14</v>
      </c>
      <c r="AU15" s="138">
        <v>91</v>
      </c>
      <c r="AW15" s="136">
        <v>24.14</v>
      </c>
      <c r="AX15" s="139">
        <v>11</v>
      </c>
      <c r="AY15" s="138">
        <v>63</v>
      </c>
      <c r="BA15" s="136">
        <v>1.1000000000000001</v>
      </c>
      <c r="BB15" s="139">
        <v>18</v>
      </c>
      <c r="BC15" s="138" t="s">
        <v>884</v>
      </c>
    </row>
    <row r="16" spans="1:55" x14ac:dyDescent="0.3">
      <c r="E16" s="152">
        <v>1.1100000000000001</v>
      </c>
      <c r="F16" s="153">
        <v>17</v>
      </c>
      <c r="G16" s="155" t="s">
        <v>873</v>
      </c>
      <c r="I16" s="136">
        <v>24.11</v>
      </c>
      <c r="J16" s="139">
        <v>13</v>
      </c>
      <c r="K16" s="138">
        <v>85</v>
      </c>
      <c r="M16" s="136">
        <v>1.1200000000000001</v>
      </c>
      <c r="N16" s="139">
        <v>15</v>
      </c>
      <c r="O16" s="138">
        <v>95</v>
      </c>
      <c r="Q16" s="136">
        <v>24.2</v>
      </c>
      <c r="R16" s="139">
        <v>12</v>
      </c>
      <c r="S16" s="138">
        <v>75</v>
      </c>
      <c r="U16" s="136">
        <v>1.1100000000000001</v>
      </c>
      <c r="V16" s="139">
        <v>17</v>
      </c>
      <c r="W16" s="138">
        <v>99</v>
      </c>
      <c r="Y16" s="136">
        <v>1.1200000000000001</v>
      </c>
      <c r="Z16" s="139">
        <v>15</v>
      </c>
      <c r="AA16" s="138">
        <v>95</v>
      </c>
      <c r="AC16" s="136">
        <v>1.1100000000000001</v>
      </c>
      <c r="AD16" s="139">
        <v>17</v>
      </c>
      <c r="AE16" s="138">
        <v>99</v>
      </c>
      <c r="AG16" s="136">
        <v>1.1299999999999999</v>
      </c>
      <c r="AH16" s="137">
        <v>16</v>
      </c>
      <c r="AI16" s="138">
        <v>98</v>
      </c>
      <c r="AK16" s="136">
        <v>1.1100000000000001</v>
      </c>
      <c r="AL16" s="139">
        <v>18</v>
      </c>
      <c r="AM16" s="138" t="s">
        <v>884</v>
      </c>
      <c r="AO16" s="136">
        <v>24.17</v>
      </c>
      <c r="AP16" s="139">
        <v>12</v>
      </c>
      <c r="AQ16" s="138">
        <v>75</v>
      </c>
      <c r="AS16" s="136">
        <v>1.1299999999999999</v>
      </c>
      <c r="AT16" s="139">
        <v>15</v>
      </c>
      <c r="AU16" s="138">
        <v>95</v>
      </c>
      <c r="AW16" s="136">
        <v>24.15</v>
      </c>
      <c r="AX16" s="139">
        <v>12</v>
      </c>
      <c r="AY16" s="138">
        <v>75</v>
      </c>
      <c r="BA16" s="136">
        <v>1.1100000000000001</v>
      </c>
      <c r="BB16" s="139">
        <v>19</v>
      </c>
      <c r="BC16" s="138" t="s">
        <v>884</v>
      </c>
    </row>
    <row r="17" spans="5:55" x14ac:dyDescent="0.3">
      <c r="E17" s="152">
        <v>1.1200000000000001</v>
      </c>
      <c r="F17" s="153">
        <v>18</v>
      </c>
      <c r="G17" s="155" t="s">
        <v>874</v>
      </c>
      <c r="I17" s="136">
        <v>24.12</v>
      </c>
      <c r="J17" s="139">
        <v>14</v>
      </c>
      <c r="K17" s="138">
        <v>91</v>
      </c>
      <c r="M17" s="136">
        <v>1.1299999999999999</v>
      </c>
      <c r="N17" s="139">
        <v>16</v>
      </c>
      <c r="O17" s="138">
        <v>98</v>
      </c>
      <c r="Q17" s="136">
        <v>24.22</v>
      </c>
      <c r="R17" s="139">
        <v>13</v>
      </c>
      <c r="S17" s="138">
        <v>85</v>
      </c>
      <c r="U17" s="136">
        <v>1.1200000000000001</v>
      </c>
      <c r="V17" s="139">
        <v>18</v>
      </c>
      <c r="W17" s="138" t="s">
        <v>884</v>
      </c>
      <c r="Y17" s="156">
        <v>1.1399999999999999</v>
      </c>
      <c r="Z17" s="139">
        <v>16</v>
      </c>
      <c r="AA17" s="138">
        <v>98</v>
      </c>
      <c r="AC17" s="136">
        <v>1.1200000000000001</v>
      </c>
      <c r="AD17" s="139">
        <v>18</v>
      </c>
      <c r="AE17" s="138" t="s">
        <v>884</v>
      </c>
      <c r="AG17" s="156">
        <v>1.1399999999999999</v>
      </c>
      <c r="AH17" s="137">
        <v>17</v>
      </c>
      <c r="AI17" s="138">
        <v>99</v>
      </c>
      <c r="AK17" s="136">
        <v>1.1200000000000001</v>
      </c>
      <c r="AL17" s="139">
        <v>19</v>
      </c>
      <c r="AM17" s="138" t="s">
        <v>884</v>
      </c>
      <c r="AO17" s="136">
        <v>24.18</v>
      </c>
      <c r="AP17" s="139">
        <v>13</v>
      </c>
      <c r="AQ17" s="138">
        <v>85</v>
      </c>
      <c r="AS17" s="156">
        <v>1.1399999999999999</v>
      </c>
      <c r="AT17" s="139">
        <v>16</v>
      </c>
      <c r="AU17" s="138">
        <v>98</v>
      </c>
      <c r="AW17" s="136">
        <v>24.17</v>
      </c>
      <c r="AX17" s="139">
        <v>13</v>
      </c>
      <c r="AY17" s="138">
        <v>85</v>
      </c>
      <c r="BA17" s="136">
        <v>2</v>
      </c>
      <c r="BB17" s="139">
        <v>2</v>
      </c>
      <c r="BC17" s="138" t="s">
        <v>883</v>
      </c>
    </row>
    <row r="18" spans="5:55" x14ac:dyDescent="0.3">
      <c r="E18" s="152">
        <v>1.1299999999999999</v>
      </c>
      <c r="F18" s="153">
        <v>19</v>
      </c>
      <c r="G18" s="155" t="s">
        <v>874</v>
      </c>
      <c r="I18" s="136">
        <v>24.14</v>
      </c>
      <c r="J18" s="139">
        <v>15</v>
      </c>
      <c r="K18" s="138">
        <v>95</v>
      </c>
      <c r="M18" s="156">
        <v>1.1399999999999999</v>
      </c>
      <c r="N18" s="139">
        <v>17</v>
      </c>
      <c r="O18" s="138">
        <v>99</v>
      </c>
      <c r="Q18" s="136">
        <v>24.24</v>
      </c>
      <c r="R18" s="139">
        <v>14</v>
      </c>
      <c r="S18" s="138">
        <v>91</v>
      </c>
      <c r="U18" s="156">
        <v>1.1399999999999999</v>
      </c>
      <c r="V18" s="139">
        <v>19</v>
      </c>
      <c r="W18" s="138" t="s">
        <v>884</v>
      </c>
      <c r="Y18" s="136">
        <v>1.1499999999999999</v>
      </c>
      <c r="Z18" s="139">
        <v>17</v>
      </c>
      <c r="AA18" s="138">
        <v>99</v>
      </c>
      <c r="AC18" s="156">
        <v>1.1399999999999999</v>
      </c>
      <c r="AD18" s="139">
        <v>19</v>
      </c>
      <c r="AE18" s="138" t="s">
        <v>884</v>
      </c>
      <c r="AG18" s="136">
        <v>1.1499999999999999</v>
      </c>
      <c r="AH18" s="137">
        <v>18</v>
      </c>
      <c r="AI18" s="138" t="s">
        <v>884</v>
      </c>
      <c r="AK18" s="136">
        <v>2</v>
      </c>
      <c r="AL18" s="139">
        <v>2</v>
      </c>
      <c r="AM18" s="138" t="s">
        <v>883</v>
      </c>
      <c r="AO18" s="136">
        <v>24.19</v>
      </c>
      <c r="AP18" s="139">
        <v>14</v>
      </c>
      <c r="AQ18" s="138">
        <v>91</v>
      </c>
      <c r="AS18" s="136">
        <v>1.1599999999999999</v>
      </c>
      <c r="AT18" s="139">
        <v>17</v>
      </c>
      <c r="AU18" s="138">
        <v>99</v>
      </c>
      <c r="AW18" s="136">
        <v>24.18</v>
      </c>
      <c r="AX18" s="139">
        <v>14</v>
      </c>
      <c r="AY18" s="138">
        <v>91</v>
      </c>
      <c r="BA18" s="136">
        <v>2.0099999999999998</v>
      </c>
      <c r="BB18" s="139">
        <v>4</v>
      </c>
      <c r="BC18" s="138">
        <v>2</v>
      </c>
    </row>
    <row r="19" spans="5:55" x14ac:dyDescent="0.3">
      <c r="E19" s="152">
        <v>2</v>
      </c>
      <c r="F19" s="153">
        <v>2</v>
      </c>
      <c r="G19" s="155" t="s">
        <v>862</v>
      </c>
      <c r="I19" s="136">
        <v>24.15</v>
      </c>
      <c r="J19" s="139">
        <v>16</v>
      </c>
      <c r="K19" s="138">
        <v>98</v>
      </c>
      <c r="M19" s="136">
        <v>1.1499999999999999</v>
      </c>
      <c r="N19" s="139">
        <v>18</v>
      </c>
      <c r="O19" s="138" t="s">
        <v>884</v>
      </c>
      <c r="Q19" s="136">
        <v>24.27</v>
      </c>
      <c r="R19" s="139">
        <v>15</v>
      </c>
      <c r="S19" s="138">
        <v>95</v>
      </c>
      <c r="U19" s="136">
        <v>2</v>
      </c>
      <c r="V19" s="139">
        <v>2</v>
      </c>
      <c r="W19" s="138" t="s">
        <v>883</v>
      </c>
      <c r="Y19" s="136">
        <v>1.1599999999999999</v>
      </c>
      <c r="Z19" s="139">
        <v>18</v>
      </c>
      <c r="AA19" s="138" t="s">
        <v>884</v>
      </c>
      <c r="AC19" s="136">
        <v>2</v>
      </c>
      <c r="AD19" s="139">
        <v>2</v>
      </c>
      <c r="AE19" s="138" t="s">
        <v>883</v>
      </c>
      <c r="AG19" s="136">
        <v>1.19</v>
      </c>
      <c r="AH19" s="137">
        <v>19</v>
      </c>
      <c r="AI19" s="138" t="s">
        <v>884</v>
      </c>
      <c r="AK19" s="136">
        <v>2.0099999999999998</v>
      </c>
      <c r="AL19" s="139">
        <v>3</v>
      </c>
      <c r="AM19" s="138">
        <v>1</v>
      </c>
      <c r="AO19" s="136">
        <v>24.2</v>
      </c>
      <c r="AP19" s="139">
        <v>15</v>
      </c>
      <c r="AQ19" s="138">
        <v>95</v>
      </c>
      <c r="AS19" s="136">
        <v>1.17</v>
      </c>
      <c r="AT19" s="139">
        <v>18</v>
      </c>
      <c r="AU19" s="138" t="s">
        <v>884</v>
      </c>
      <c r="AW19" s="136">
        <v>24.2</v>
      </c>
      <c r="AX19" s="139">
        <v>15</v>
      </c>
      <c r="AY19" s="138">
        <v>95</v>
      </c>
      <c r="BA19" s="136">
        <v>2.02</v>
      </c>
      <c r="BB19" s="139">
        <v>6</v>
      </c>
      <c r="BC19" s="138">
        <v>9</v>
      </c>
    </row>
    <row r="20" spans="5:55" x14ac:dyDescent="0.3">
      <c r="E20" s="152">
        <v>2.0099999999999998</v>
      </c>
      <c r="F20" s="153">
        <v>4</v>
      </c>
      <c r="G20" s="155" t="s">
        <v>863</v>
      </c>
      <c r="I20" s="136">
        <v>24.16</v>
      </c>
      <c r="J20" s="139">
        <v>17</v>
      </c>
      <c r="K20" s="138">
        <v>99</v>
      </c>
      <c r="M20" s="136">
        <v>1.18</v>
      </c>
      <c r="N20" s="139">
        <v>19</v>
      </c>
      <c r="O20" s="138" t="s">
        <v>884</v>
      </c>
      <c r="Q20" s="136">
        <v>24.29</v>
      </c>
      <c r="R20" s="139">
        <v>16</v>
      </c>
      <c r="S20" s="138">
        <v>98</v>
      </c>
      <c r="U20" s="136">
        <v>2.0099999999999998</v>
      </c>
      <c r="V20" s="139">
        <v>3</v>
      </c>
      <c r="W20" s="138">
        <v>1</v>
      </c>
      <c r="Y20" s="136">
        <v>1.17</v>
      </c>
      <c r="Z20" s="139">
        <v>19</v>
      </c>
      <c r="AA20" s="138" t="s">
        <v>884</v>
      </c>
      <c r="AC20" s="136">
        <v>2.0099999999999998</v>
      </c>
      <c r="AD20" s="139">
        <v>4</v>
      </c>
      <c r="AE20" s="138">
        <v>2</v>
      </c>
      <c r="AG20" s="136">
        <v>2</v>
      </c>
      <c r="AH20" s="137">
        <v>2</v>
      </c>
      <c r="AI20" s="138" t="s">
        <v>883</v>
      </c>
      <c r="AK20" s="136">
        <v>2.02</v>
      </c>
      <c r="AL20" s="139">
        <v>5</v>
      </c>
      <c r="AM20" s="138">
        <v>5</v>
      </c>
      <c r="AO20" s="136">
        <v>24.21</v>
      </c>
      <c r="AP20" s="139">
        <v>16</v>
      </c>
      <c r="AQ20" s="138">
        <v>98</v>
      </c>
      <c r="AS20" s="136">
        <v>1.21</v>
      </c>
      <c r="AT20" s="139">
        <v>19</v>
      </c>
      <c r="AU20" s="138" t="s">
        <v>884</v>
      </c>
      <c r="AW20" s="136">
        <v>24.21</v>
      </c>
      <c r="AX20" s="139">
        <v>16</v>
      </c>
      <c r="AY20" s="138">
        <v>98</v>
      </c>
      <c r="BA20" s="136">
        <v>2.0299999999999998</v>
      </c>
      <c r="BB20" s="139">
        <v>8</v>
      </c>
      <c r="BC20" s="138">
        <v>25</v>
      </c>
    </row>
    <row r="21" spans="5:55" x14ac:dyDescent="0.3">
      <c r="E21" s="152">
        <v>2.02</v>
      </c>
      <c r="F21" s="153">
        <v>6</v>
      </c>
      <c r="G21" s="155" t="s">
        <v>864</v>
      </c>
      <c r="I21" s="136">
        <v>24.18</v>
      </c>
      <c r="J21" s="139">
        <v>18</v>
      </c>
      <c r="K21" s="138" t="s">
        <v>884</v>
      </c>
      <c r="M21" s="136">
        <v>2</v>
      </c>
      <c r="N21" s="139">
        <v>2</v>
      </c>
      <c r="O21" s="138" t="s">
        <v>883</v>
      </c>
      <c r="Q21" s="136">
        <v>24.31</v>
      </c>
      <c r="R21" s="139">
        <v>17</v>
      </c>
      <c r="S21" s="138">
        <v>99</v>
      </c>
      <c r="U21" s="136">
        <v>2.02</v>
      </c>
      <c r="V21" s="139">
        <v>5</v>
      </c>
      <c r="W21" s="138">
        <v>5</v>
      </c>
      <c r="Y21" s="136">
        <v>2</v>
      </c>
      <c r="Z21" s="139">
        <v>2</v>
      </c>
      <c r="AA21" s="138" t="s">
        <v>883</v>
      </c>
      <c r="AC21" s="136">
        <v>2.02</v>
      </c>
      <c r="AD21" s="139">
        <v>6</v>
      </c>
      <c r="AE21" s="138">
        <v>9</v>
      </c>
      <c r="AG21" s="136">
        <v>2.0099999999999998</v>
      </c>
      <c r="AH21" s="137">
        <v>3</v>
      </c>
      <c r="AI21" s="138">
        <v>1</v>
      </c>
      <c r="AK21" s="136">
        <v>2.0299999999999998</v>
      </c>
      <c r="AL21" s="139">
        <v>7</v>
      </c>
      <c r="AM21" s="138">
        <v>16</v>
      </c>
      <c r="AO21" s="136">
        <v>24.23</v>
      </c>
      <c r="AP21" s="139">
        <v>17</v>
      </c>
      <c r="AQ21" s="138">
        <v>99</v>
      </c>
      <c r="AS21" s="136">
        <v>2</v>
      </c>
      <c r="AT21" s="139">
        <v>2</v>
      </c>
      <c r="AU21" s="138" t="s">
        <v>883</v>
      </c>
      <c r="AW21" s="136">
        <v>24.23</v>
      </c>
      <c r="AX21" s="139">
        <v>17</v>
      </c>
      <c r="AY21" s="138">
        <v>99</v>
      </c>
      <c r="BA21" s="136">
        <v>2.04</v>
      </c>
      <c r="BB21" s="139">
        <v>9</v>
      </c>
      <c r="BC21" s="138">
        <v>37</v>
      </c>
    </row>
    <row r="22" spans="5:55" x14ac:dyDescent="0.3">
      <c r="E22" s="152">
        <v>2.0299999999999998</v>
      </c>
      <c r="F22" s="153">
        <v>8</v>
      </c>
      <c r="G22" s="155" t="s">
        <v>865</v>
      </c>
      <c r="I22" s="136">
        <v>24.19</v>
      </c>
      <c r="J22" s="139">
        <v>19</v>
      </c>
      <c r="K22" s="138" t="s">
        <v>884</v>
      </c>
      <c r="M22" s="136">
        <v>2.0099999999999998</v>
      </c>
      <c r="N22" s="139">
        <v>3</v>
      </c>
      <c r="O22" s="138">
        <v>1</v>
      </c>
      <c r="Q22" s="136">
        <v>24.34</v>
      </c>
      <c r="R22" s="139">
        <v>18</v>
      </c>
      <c r="S22" s="138" t="s">
        <v>884</v>
      </c>
      <c r="U22" s="136">
        <v>2.0299999999999998</v>
      </c>
      <c r="V22" s="139">
        <v>7</v>
      </c>
      <c r="W22" s="138">
        <v>16</v>
      </c>
      <c r="Y22" s="136">
        <v>2.0099999999999998</v>
      </c>
      <c r="Z22" s="139">
        <v>3</v>
      </c>
      <c r="AA22" s="138">
        <v>1</v>
      </c>
      <c r="AC22" s="136">
        <v>2.0299999999999998</v>
      </c>
      <c r="AD22" s="139">
        <v>7</v>
      </c>
      <c r="AE22" s="138">
        <v>16</v>
      </c>
      <c r="AG22" s="136">
        <v>2.02</v>
      </c>
      <c r="AH22" s="137">
        <v>5</v>
      </c>
      <c r="AI22" s="138">
        <v>5</v>
      </c>
      <c r="AK22" s="136">
        <v>2.04</v>
      </c>
      <c r="AL22" s="139">
        <v>9</v>
      </c>
      <c r="AM22" s="138">
        <v>37</v>
      </c>
      <c r="AO22" s="136">
        <v>24.24</v>
      </c>
      <c r="AP22" s="139">
        <v>18</v>
      </c>
      <c r="AQ22" s="138" t="s">
        <v>884</v>
      </c>
      <c r="AS22" s="136">
        <v>2.0099999999999998</v>
      </c>
      <c r="AT22" s="139">
        <v>3</v>
      </c>
      <c r="AU22" s="138">
        <v>1</v>
      </c>
      <c r="AW22" s="136">
        <v>24.24</v>
      </c>
      <c r="AX22" s="139">
        <v>18</v>
      </c>
      <c r="AY22" s="138" t="s">
        <v>884</v>
      </c>
      <c r="BA22" s="136">
        <v>2.0499999999999998</v>
      </c>
      <c r="BB22" s="139">
        <v>10</v>
      </c>
      <c r="BC22" s="138">
        <v>50</v>
      </c>
    </row>
    <row r="23" spans="5:55" x14ac:dyDescent="0.3">
      <c r="E23" s="152">
        <v>2.04</v>
      </c>
      <c r="F23" s="153">
        <v>10</v>
      </c>
      <c r="G23" s="155" t="s">
        <v>866</v>
      </c>
      <c r="I23" s="136">
        <v>25</v>
      </c>
      <c r="J23" s="139">
        <v>1</v>
      </c>
      <c r="K23" s="138" t="s">
        <v>883</v>
      </c>
      <c r="M23" s="136">
        <v>2.02</v>
      </c>
      <c r="N23" s="139">
        <v>5</v>
      </c>
      <c r="O23" s="138">
        <v>5</v>
      </c>
      <c r="Q23" s="136">
        <v>24.36</v>
      </c>
      <c r="R23" s="139">
        <v>19</v>
      </c>
      <c r="S23" s="138" t="s">
        <v>884</v>
      </c>
      <c r="U23" s="136">
        <v>2.04</v>
      </c>
      <c r="V23" s="139">
        <v>9</v>
      </c>
      <c r="W23" s="138">
        <v>37</v>
      </c>
      <c r="Y23" s="136">
        <v>2.02</v>
      </c>
      <c r="Z23" s="139">
        <v>4</v>
      </c>
      <c r="AA23" s="138">
        <v>2</v>
      </c>
      <c r="AC23" s="136">
        <v>2.04</v>
      </c>
      <c r="AD23" s="139">
        <v>9</v>
      </c>
      <c r="AE23" s="138">
        <v>37</v>
      </c>
      <c r="AG23" s="136">
        <v>2.0299999999999998</v>
      </c>
      <c r="AH23" s="137">
        <v>6</v>
      </c>
      <c r="AI23" s="138">
        <v>9</v>
      </c>
      <c r="AK23" s="136">
        <v>2.0499999999999998</v>
      </c>
      <c r="AL23" s="139">
        <v>10</v>
      </c>
      <c r="AM23" s="138">
        <v>50</v>
      </c>
      <c r="AO23" s="136">
        <v>24.25</v>
      </c>
      <c r="AP23" s="139">
        <v>19</v>
      </c>
      <c r="AQ23" s="138" t="s">
        <v>884</v>
      </c>
      <c r="AS23" s="136">
        <v>2.02</v>
      </c>
      <c r="AT23" s="139">
        <v>5</v>
      </c>
      <c r="AU23" s="138">
        <v>5</v>
      </c>
      <c r="AW23" s="136">
        <v>24.25</v>
      </c>
      <c r="AX23" s="139">
        <v>19</v>
      </c>
      <c r="AY23" s="138" t="s">
        <v>884</v>
      </c>
      <c r="BA23" s="136">
        <v>2.06</v>
      </c>
      <c r="BB23" s="139">
        <v>11</v>
      </c>
      <c r="BC23" s="138">
        <v>63</v>
      </c>
    </row>
    <row r="24" spans="5:55" x14ac:dyDescent="0.3">
      <c r="E24" s="152">
        <v>2.0499999999999998</v>
      </c>
      <c r="F24" s="153">
        <v>11</v>
      </c>
      <c r="G24" s="155" t="s">
        <v>867</v>
      </c>
      <c r="I24" s="136">
        <v>25.01</v>
      </c>
      <c r="J24" s="139">
        <v>3</v>
      </c>
      <c r="K24" s="138">
        <v>1</v>
      </c>
      <c r="M24" s="136">
        <v>2.0299999999999998</v>
      </c>
      <c r="N24" s="139">
        <v>6</v>
      </c>
      <c r="O24" s="138">
        <v>9</v>
      </c>
      <c r="Q24" s="136">
        <v>25</v>
      </c>
      <c r="R24" s="139">
        <v>1</v>
      </c>
      <c r="S24" s="138" t="s">
        <v>883</v>
      </c>
      <c r="U24" s="136">
        <v>2.0499999999999998</v>
      </c>
      <c r="V24" s="139">
        <v>10</v>
      </c>
      <c r="W24" s="138">
        <v>50</v>
      </c>
      <c r="Y24" s="136">
        <v>2.0299999999999998</v>
      </c>
      <c r="Z24" s="139">
        <v>5</v>
      </c>
      <c r="AA24" s="138">
        <v>5</v>
      </c>
      <c r="AC24" s="136">
        <v>2.0499999999999998</v>
      </c>
      <c r="AD24" s="139">
        <v>10</v>
      </c>
      <c r="AE24" s="138">
        <v>50</v>
      </c>
      <c r="AG24" s="136">
        <v>2.04</v>
      </c>
      <c r="AH24" s="137">
        <v>7</v>
      </c>
      <c r="AI24" s="138">
        <v>16</v>
      </c>
      <c r="AK24" s="136">
        <v>2.06</v>
      </c>
      <c r="AL24" s="139">
        <v>11</v>
      </c>
      <c r="AM24" s="138">
        <v>63</v>
      </c>
      <c r="AO24" s="136">
        <v>25</v>
      </c>
      <c r="AP24" s="139">
        <v>1</v>
      </c>
      <c r="AQ24" s="138" t="s">
        <v>883</v>
      </c>
      <c r="AS24" s="136">
        <v>2.0299999999999998</v>
      </c>
      <c r="AT24" s="139">
        <v>6</v>
      </c>
      <c r="AU24" s="138">
        <v>9</v>
      </c>
      <c r="AW24" s="136">
        <v>25</v>
      </c>
      <c r="AX24" s="139">
        <v>1</v>
      </c>
      <c r="AY24" s="138" t="s">
        <v>883</v>
      </c>
      <c r="BA24" s="136">
        <v>2.0699999999999998</v>
      </c>
      <c r="BB24" s="139">
        <v>12</v>
      </c>
      <c r="BC24" s="138">
        <v>75</v>
      </c>
    </row>
    <row r="25" spans="5:55" x14ac:dyDescent="0.3">
      <c r="E25" s="152">
        <v>2.06</v>
      </c>
      <c r="F25" s="153">
        <v>12</v>
      </c>
      <c r="G25" s="155" t="s">
        <v>868</v>
      </c>
      <c r="I25" s="136">
        <v>25.02</v>
      </c>
      <c r="J25" s="139">
        <v>4</v>
      </c>
      <c r="K25" s="138">
        <v>2</v>
      </c>
      <c r="M25" s="136">
        <v>2.04</v>
      </c>
      <c r="N25" s="139">
        <v>7</v>
      </c>
      <c r="O25" s="138">
        <v>16</v>
      </c>
      <c r="Q25" s="136">
        <v>25.01</v>
      </c>
      <c r="R25" s="139">
        <v>2</v>
      </c>
      <c r="S25" s="138" t="s">
        <v>883</v>
      </c>
      <c r="U25" s="136">
        <v>2.06</v>
      </c>
      <c r="V25" s="139">
        <v>11</v>
      </c>
      <c r="W25" s="138">
        <v>63</v>
      </c>
      <c r="Y25" s="136">
        <v>2.04</v>
      </c>
      <c r="Z25" s="139">
        <v>6</v>
      </c>
      <c r="AA25" s="138">
        <v>9</v>
      </c>
      <c r="AC25" s="136">
        <v>2.06</v>
      </c>
      <c r="AD25" s="139">
        <v>11</v>
      </c>
      <c r="AE25" s="138">
        <v>63</v>
      </c>
      <c r="AG25" s="136">
        <v>2.0499999999999998</v>
      </c>
      <c r="AH25" s="137">
        <v>8</v>
      </c>
      <c r="AI25" s="138">
        <v>25</v>
      </c>
      <c r="AK25" s="136">
        <v>2.0699999999999998</v>
      </c>
      <c r="AL25" s="139">
        <v>12</v>
      </c>
      <c r="AM25" s="138">
        <v>75</v>
      </c>
      <c r="AO25" s="136">
        <v>25.06</v>
      </c>
      <c r="AP25" s="139">
        <v>2</v>
      </c>
      <c r="AQ25" s="138" t="s">
        <v>883</v>
      </c>
      <c r="AS25" s="136">
        <v>2.04</v>
      </c>
      <c r="AT25" s="139">
        <v>7</v>
      </c>
      <c r="AU25" s="138">
        <v>16</v>
      </c>
      <c r="AW25" s="136">
        <v>25.02</v>
      </c>
      <c r="AX25" s="139">
        <v>2</v>
      </c>
      <c r="AY25" s="138" t="s">
        <v>883</v>
      </c>
      <c r="BA25" s="136">
        <v>2.08</v>
      </c>
      <c r="BB25" s="139">
        <v>14</v>
      </c>
      <c r="BC25" s="138">
        <v>91</v>
      </c>
    </row>
    <row r="26" spans="5:55" x14ac:dyDescent="0.3">
      <c r="E26" s="152">
        <v>2.0699999999999998</v>
      </c>
      <c r="F26" s="153">
        <v>13</v>
      </c>
      <c r="G26" s="155" t="s">
        <v>869</v>
      </c>
      <c r="I26" s="136">
        <v>25.03</v>
      </c>
      <c r="J26" s="139">
        <v>5</v>
      </c>
      <c r="K26" s="138">
        <v>5</v>
      </c>
      <c r="M26" s="136">
        <v>2.0499999999999998</v>
      </c>
      <c r="N26" s="139">
        <v>8</v>
      </c>
      <c r="O26" s="138">
        <v>25</v>
      </c>
      <c r="Q26" s="136">
        <v>25.02</v>
      </c>
      <c r="R26" s="139">
        <v>3</v>
      </c>
      <c r="S26" s="138">
        <v>1</v>
      </c>
      <c r="U26" s="136">
        <v>2.0699999999999998</v>
      </c>
      <c r="V26" s="139">
        <v>12</v>
      </c>
      <c r="W26" s="138">
        <v>75</v>
      </c>
      <c r="Y26" s="136">
        <v>2.0499999999999998</v>
      </c>
      <c r="Z26" s="139">
        <v>7</v>
      </c>
      <c r="AA26" s="138">
        <v>16</v>
      </c>
      <c r="AC26" s="136">
        <v>2.0699999999999998</v>
      </c>
      <c r="AD26" s="139">
        <v>12</v>
      </c>
      <c r="AE26" s="138">
        <v>75</v>
      </c>
      <c r="AG26" s="136">
        <v>2.06</v>
      </c>
      <c r="AH26" s="137">
        <v>9</v>
      </c>
      <c r="AI26" s="138">
        <v>37</v>
      </c>
      <c r="AK26" s="136">
        <v>2.08</v>
      </c>
      <c r="AL26" s="139">
        <v>13</v>
      </c>
      <c r="AM26" s="138">
        <v>85</v>
      </c>
      <c r="AO26" s="136">
        <v>25.08</v>
      </c>
      <c r="AP26" s="139">
        <v>3</v>
      </c>
      <c r="AQ26" s="138">
        <v>1</v>
      </c>
      <c r="AS26" s="136">
        <v>2.0499999999999998</v>
      </c>
      <c r="AT26" s="139">
        <v>8</v>
      </c>
      <c r="AU26" s="138">
        <v>25</v>
      </c>
      <c r="AW26" s="136">
        <v>25.03</v>
      </c>
      <c r="AX26" s="139">
        <v>3</v>
      </c>
      <c r="AY26" s="138">
        <v>1</v>
      </c>
      <c r="BA26" s="136">
        <v>2.09</v>
      </c>
      <c r="BB26" s="139">
        <v>16</v>
      </c>
      <c r="BC26" s="138">
        <v>98</v>
      </c>
    </row>
    <row r="27" spans="5:55" x14ac:dyDescent="0.3">
      <c r="E27" s="152">
        <v>2.08</v>
      </c>
      <c r="F27" s="153">
        <v>14</v>
      </c>
      <c r="G27" s="155" t="s">
        <v>870</v>
      </c>
      <c r="I27" s="136">
        <v>25.04</v>
      </c>
      <c r="J27" s="139">
        <v>6</v>
      </c>
      <c r="K27" s="138">
        <v>9</v>
      </c>
      <c r="M27" s="136">
        <v>2.06</v>
      </c>
      <c r="N27" s="139">
        <v>9</v>
      </c>
      <c r="O27" s="138">
        <v>37</v>
      </c>
      <c r="Q27" s="136">
        <v>25.03</v>
      </c>
      <c r="R27" s="139">
        <v>4</v>
      </c>
      <c r="S27" s="138">
        <v>2</v>
      </c>
      <c r="U27" s="136">
        <v>2.08</v>
      </c>
      <c r="V27" s="139">
        <v>13</v>
      </c>
      <c r="W27" s="138">
        <v>85</v>
      </c>
      <c r="Y27" s="136">
        <v>2.06</v>
      </c>
      <c r="Z27" s="139">
        <v>8</v>
      </c>
      <c r="AA27" s="138">
        <v>25</v>
      </c>
      <c r="AC27" s="136">
        <v>2.08</v>
      </c>
      <c r="AD27" s="139">
        <v>13</v>
      </c>
      <c r="AE27" s="138">
        <v>85</v>
      </c>
      <c r="AG27" s="136">
        <v>2.0699999999999998</v>
      </c>
      <c r="AH27" s="137">
        <v>10</v>
      </c>
      <c r="AI27" s="138">
        <v>50</v>
      </c>
      <c r="AK27" s="136">
        <v>2.09</v>
      </c>
      <c r="AL27" s="139">
        <v>14</v>
      </c>
      <c r="AM27" s="138">
        <v>91</v>
      </c>
      <c r="AO27" s="136">
        <v>25.09</v>
      </c>
      <c r="AP27" s="139">
        <v>4</v>
      </c>
      <c r="AQ27" s="138">
        <v>2</v>
      </c>
      <c r="AS27" s="136">
        <v>2.06</v>
      </c>
      <c r="AT27" s="139">
        <v>9</v>
      </c>
      <c r="AU27" s="138">
        <v>37</v>
      </c>
      <c r="AW27" s="136">
        <v>25.04</v>
      </c>
      <c r="AX27" s="139">
        <v>4</v>
      </c>
      <c r="AY27" s="138">
        <v>2</v>
      </c>
      <c r="BA27" s="136">
        <v>2.1</v>
      </c>
      <c r="BB27" s="139">
        <v>17</v>
      </c>
      <c r="BC27" s="138">
        <v>99</v>
      </c>
    </row>
    <row r="28" spans="5:55" x14ac:dyDescent="0.3">
      <c r="E28" s="152">
        <v>2.09</v>
      </c>
      <c r="F28" s="153">
        <v>15</v>
      </c>
      <c r="G28" s="155" t="s">
        <v>871</v>
      </c>
      <c r="I28" s="136">
        <v>25.05</v>
      </c>
      <c r="J28" s="139">
        <v>7</v>
      </c>
      <c r="K28" s="138">
        <v>16</v>
      </c>
      <c r="M28" s="136">
        <v>2.0699999999999998</v>
      </c>
      <c r="N28" s="139">
        <v>10</v>
      </c>
      <c r="O28" s="138">
        <v>50</v>
      </c>
      <c r="Q28" s="136">
        <v>25.04</v>
      </c>
      <c r="R28" s="139">
        <v>5</v>
      </c>
      <c r="S28" s="138">
        <v>5</v>
      </c>
      <c r="U28" s="136">
        <v>2.09</v>
      </c>
      <c r="V28" s="139">
        <v>14</v>
      </c>
      <c r="W28" s="138">
        <v>91</v>
      </c>
      <c r="Y28" s="136">
        <v>2.0699999999999998</v>
      </c>
      <c r="Z28" s="139">
        <v>9</v>
      </c>
      <c r="AA28" s="138">
        <v>37</v>
      </c>
      <c r="AC28" s="136">
        <v>2.09</v>
      </c>
      <c r="AD28" s="139">
        <v>14</v>
      </c>
      <c r="AE28" s="138">
        <v>91</v>
      </c>
      <c r="AG28" s="136">
        <v>2.09</v>
      </c>
      <c r="AH28" s="137">
        <v>11</v>
      </c>
      <c r="AI28" s="138">
        <v>63</v>
      </c>
      <c r="AK28" s="136">
        <v>2.1</v>
      </c>
      <c r="AL28" s="139">
        <v>15</v>
      </c>
      <c r="AM28" s="138">
        <v>95</v>
      </c>
      <c r="AO28" s="136">
        <v>25.1</v>
      </c>
      <c r="AP28" s="139">
        <v>5</v>
      </c>
      <c r="AQ28" s="138">
        <v>5</v>
      </c>
      <c r="AS28" s="136">
        <v>2.08</v>
      </c>
      <c r="AT28" s="139">
        <v>10</v>
      </c>
      <c r="AU28" s="138">
        <v>50</v>
      </c>
      <c r="AW28" s="136">
        <v>25.05</v>
      </c>
      <c r="AX28" s="139">
        <v>5</v>
      </c>
      <c r="AY28" s="138">
        <v>5</v>
      </c>
      <c r="BA28" s="136">
        <v>2.11</v>
      </c>
      <c r="BB28" s="139">
        <v>18</v>
      </c>
      <c r="BC28" s="138" t="s">
        <v>884</v>
      </c>
    </row>
    <row r="29" spans="5:55" x14ac:dyDescent="0.3">
      <c r="E29" s="152">
        <v>2.1</v>
      </c>
      <c r="F29" s="153">
        <v>16</v>
      </c>
      <c r="G29" s="155" t="s">
        <v>872</v>
      </c>
      <c r="I29" s="136">
        <v>25.06</v>
      </c>
      <c r="J29" s="139">
        <v>8</v>
      </c>
      <c r="K29" s="138">
        <v>25</v>
      </c>
      <c r="M29" s="136">
        <v>2.08</v>
      </c>
      <c r="N29" s="139">
        <v>11</v>
      </c>
      <c r="O29" s="138">
        <v>63</v>
      </c>
      <c r="Q29" s="136">
        <v>25.06</v>
      </c>
      <c r="R29" s="139">
        <v>6</v>
      </c>
      <c r="S29" s="138">
        <v>9</v>
      </c>
      <c r="U29" s="136">
        <v>2.1</v>
      </c>
      <c r="V29" s="139">
        <v>15</v>
      </c>
      <c r="W29" s="138">
        <v>95</v>
      </c>
      <c r="Y29" s="136">
        <v>2.08</v>
      </c>
      <c r="Z29" s="139">
        <v>10</v>
      </c>
      <c r="AA29" s="138">
        <v>50</v>
      </c>
      <c r="AC29" s="136">
        <v>2.1</v>
      </c>
      <c r="AD29" s="139">
        <v>15</v>
      </c>
      <c r="AE29" s="138">
        <v>95</v>
      </c>
      <c r="AG29" s="136">
        <v>2.1</v>
      </c>
      <c r="AH29" s="137">
        <v>12</v>
      </c>
      <c r="AI29" s="138">
        <v>75</v>
      </c>
      <c r="AK29" s="136">
        <v>2.11</v>
      </c>
      <c r="AL29" s="139">
        <v>16</v>
      </c>
      <c r="AM29" s="138">
        <v>98</v>
      </c>
      <c r="AO29" s="136">
        <v>25.11</v>
      </c>
      <c r="AP29" s="139">
        <v>6</v>
      </c>
      <c r="AQ29" s="138">
        <v>9</v>
      </c>
      <c r="AS29" s="136">
        <v>2.1</v>
      </c>
      <c r="AT29" s="139">
        <v>11</v>
      </c>
      <c r="AU29" s="138">
        <v>63</v>
      </c>
      <c r="AW29" s="136">
        <v>25.06</v>
      </c>
      <c r="AX29" s="139">
        <v>6</v>
      </c>
      <c r="AY29" s="138">
        <v>9</v>
      </c>
      <c r="BA29" s="136">
        <v>2.12</v>
      </c>
      <c r="BB29" s="139">
        <v>19</v>
      </c>
      <c r="BC29" s="138" t="s">
        <v>884</v>
      </c>
    </row>
    <row r="30" spans="5:55" x14ac:dyDescent="0.3">
      <c r="E30" s="152">
        <v>2.11</v>
      </c>
      <c r="F30" s="153">
        <v>17</v>
      </c>
      <c r="G30" s="155" t="s">
        <v>873</v>
      </c>
      <c r="I30" s="136">
        <v>25.07</v>
      </c>
      <c r="J30" s="139">
        <v>9</v>
      </c>
      <c r="K30" s="138">
        <v>37</v>
      </c>
      <c r="M30" s="136">
        <v>2.1</v>
      </c>
      <c r="N30" s="139">
        <v>12</v>
      </c>
      <c r="O30" s="138">
        <v>75</v>
      </c>
      <c r="Q30" s="136">
        <v>25.08</v>
      </c>
      <c r="R30" s="139">
        <v>7</v>
      </c>
      <c r="S30" s="138">
        <v>16</v>
      </c>
      <c r="U30" s="136">
        <v>2.11</v>
      </c>
      <c r="V30" s="139">
        <v>16</v>
      </c>
      <c r="W30" s="138">
        <v>98</v>
      </c>
      <c r="Y30" s="136">
        <v>2.09</v>
      </c>
      <c r="Z30" s="139">
        <v>11</v>
      </c>
      <c r="AA30" s="138">
        <v>63</v>
      </c>
      <c r="AC30" s="136">
        <v>2.11</v>
      </c>
      <c r="AD30" s="139">
        <v>16</v>
      </c>
      <c r="AE30" s="138">
        <v>98</v>
      </c>
      <c r="AG30" s="136">
        <v>2.11</v>
      </c>
      <c r="AH30" s="137">
        <v>13</v>
      </c>
      <c r="AI30" s="138">
        <v>85</v>
      </c>
      <c r="AK30" s="136">
        <v>2.12</v>
      </c>
      <c r="AL30" s="139">
        <v>17</v>
      </c>
      <c r="AM30" s="138">
        <v>99</v>
      </c>
      <c r="AO30" s="136">
        <v>25.12</v>
      </c>
      <c r="AP30" s="139">
        <v>7</v>
      </c>
      <c r="AQ30" s="138">
        <v>16</v>
      </c>
      <c r="AS30" s="136">
        <v>2.11</v>
      </c>
      <c r="AT30" s="139">
        <v>12</v>
      </c>
      <c r="AU30" s="138">
        <v>75</v>
      </c>
      <c r="AW30" s="136">
        <v>25.07</v>
      </c>
      <c r="AX30" s="139">
        <v>7</v>
      </c>
      <c r="AY30" s="138">
        <v>16</v>
      </c>
      <c r="BA30" s="136">
        <v>3</v>
      </c>
      <c r="BB30" s="139">
        <v>1</v>
      </c>
      <c r="BC30" s="138" t="s">
        <v>883</v>
      </c>
    </row>
    <row r="31" spans="5:55" x14ac:dyDescent="0.3">
      <c r="E31" s="152">
        <v>2.12</v>
      </c>
      <c r="F31" s="153">
        <v>18</v>
      </c>
      <c r="G31" s="155" t="s">
        <v>875</v>
      </c>
      <c r="I31" s="136">
        <v>25.08</v>
      </c>
      <c r="J31" s="139">
        <v>10</v>
      </c>
      <c r="K31" s="138">
        <v>50</v>
      </c>
      <c r="M31" s="136">
        <v>2.11</v>
      </c>
      <c r="N31" s="139">
        <v>13</v>
      </c>
      <c r="O31" s="138">
        <v>85</v>
      </c>
      <c r="Q31" s="136">
        <v>25.1</v>
      </c>
      <c r="R31" s="139">
        <v>8</v>
      </c>
      <c r="S31" s="138">
        <v>25</v>
      </c>
      <c r="U31" s="136">
        <v>2.12</v>
      </c>
      <c r="V31" s="139">
        <v>17</v>
      </c>
      <c r="W31" s="138">
        <v>99</v>
      </c>
      <c r="Y31" s="136">
        <v>2.1</v>
      </c>
      <c r="Z31" s="139">
        <v>12</v>
      </c>
      <c r="AA31" s="138">
        <v>75</v>
      </c>
      <c r="AC31" s="136">
        <v>2.12</v>
      </c>
      <c r="AD31" s="139">
        <v>17</v>
      </c>
      <c r="AE31" s="138">
        <v>99</v>
      </c>
      <c r="AG31" s="136">
        <v>2.13</v>
      </c>
      <c r="AH31" s="137">
        <v>14</v>
      </c>
      <c r="AI31" s="138">
        <v>91</v>
      </c>
      <c r="AK31" s="136">
        <v>2.13</v>
      </c>
      <c r="AL31" s="139">
        <v>18</v>
      </c>
      <c r="AM31" s="138" t="s">
        <v>884</v>
      </c>
      <c r="AO31" s="136">
        <v>25.13</v>
      </c>
      <c r="AP31" s="139">
        <v>8</v>
      </c>
      <c r="AQ31" s="138">
        <v>25</v>
      </c>
      <c r="AS31" s="136">
        <v>2.13</v>
      </c>
      <c r="AT31" s="139">
        <v>13</v>
      </c>
      <c r="AU31" s="138">
        <v>85</v>
      </c>
      <c r="AW31" s="136">
        <v>25.09</v>
      </c>
      <c r="AX31" s="139">
        <v>8</v>
      </c>
      <c r="AY31" s="138">
        <v>25</v>
      </c>
      <c r="BA31" s="136">
        <v>3.01</v>
      </c>
      <c r="BB31" s="139">
        <v>3</v>
      </c>
      <c r="BC31" s="138">
        <v>1</v>
      </c>
    </row>
    <row r="32" spans="5:55" x14ac:dyDescent="0.3">
      <c r="E32" s="152">
        <v>2.13</v>
      </c>
      <c r="F32" s="153">
        <v>19</v>
      </c>
      <c r="G32" s="155" t="s">
        <v>874</v>
      </c>
      <c r="I32" s="136">
        <v>25.09</v>
      </c>
      <c r="J32" s="139">
        <v>11</v>
      </c>
      <c r="K32" s="138">
        <v>63</v>
      </c>
      <c r="M32" s="136">
        <v>2.13</v>
      </c>
      <c r="N32" s="139">
        <v>14</v>
      </c>
      <c r="O32" s="138">
        <v>91</v>
      </c>
      <c r="Q32" s="136">
        <v>25.13</v>
      </c>
      <c r="R32" s="139">
        <v>9</v>
      </c>
      <c r="S32" s="138">
        <v>37</v>
      </c>
      <c r="U32" s="136">
        <v>2.14</v>
      </c>
      <c r="V32" s="139">
        <v>18</v>
      </c>
      <c r="W32" s="138" t="s">
        <v>884</v>
      </c>
      <c r="Y32" s="136">
        <v>2.11</v>
      </c>
      <c r="Z32" s="139">
        <v>13</v>
      </c>
      <c r="AA32" s="138">
        <v>85</v>
      </c>
      <c r="AC32" s="136">
        <v>2.13</v>
      </c>
      <c r="AD32" s="139">
        <v>18</v>
      </c>
      <c r="AE32" s="138" t="s">
        <v>884</v>
      </c>
      <c r="AG32" s="136">
        <v>2.14</v>
      </c>
      <c r="AH32" s="137">
        <v>15</v>
      </c>
      <c r="AI32" s="138">
        <v>95</v>
      </c>
      <c r="AK32" s="136">
        <v>2.17</v>
      </c>
      <c r="AL32" s="139">
        <v>19</v>
      </c>
      <c r="AM32" s="138" t="s">
        <v>884</v>
      </c>
      <c r="AO32" s="136">
        <v>25.14</v>
      </c>
      <c r="AP32" s="139">
        <v>9</v>
      </c>
      <c r="AQ32" s="138">
        <v>37</v>
      </c>
      <c r="AS32" s="136">
        <v>2.14</v>
      </c>
      <c r="AT32" s="139">
        <v>14</v>
      </c>
      <c r="AU32" s="138">
        <v>91</v>
      </c>
      <c r="AW32" s="136">
        <v>25.11</v>
      </c>
      <c r="AX32" s="139">
        <v>9</v>
      </c>
      <c r="AY32" s="138">
        <v>37</v>
      </c>
      <c r="BA32" s="136">
        <v>3.02</v>
      </c>
      <c r="BB32" s="139">
        <v>5</v>
      </c>
      <c r="BC32" s="138">
        <v>5</v>
      </c>
    </row>
    <row r="33" spans="5:55" x14ac:dyDescent="0.3">
      <c r="E33" s="152">
        <v>3</v>
      </c>
      <c r="F33" s="153">
        <v>1</v>
      </c>
      <c r="G33" s="155" t="s">
        <v>862</v>
      </c>
      <c r="I33" s="136">
        <v>25.1</v>
      </c>
      <c r="J33" s="139">
        <v>12</v>
      </c>
      <c r="K33" s="138">
        <v>75</v>
      </c>
      <c r="M33" s="136">
        <v>2.14</v>
      </c>
      <c r="N33" s="139">
        <v>15</v>
      </c>
      <c r="O33" s="138">
        <v>95</v>
      </c>
      <c r="Q33" s="136">
        <v>25.15</v>
      </c>
      <c r="R33" s="139">
        <v>10</v>
      </c>
      <c r="S33" s="138">
        <v>50</v>
      </c>
      <c r="U33" s="136">
        <v>2.17</v>
      </c>
      <c r="V33" s="139">
        <v>19</v>
      </c>
      <c r="W33" s="138" t="s">
        <v>884</v>
      </c>
      <c r="Y33" s="136">
        <v>2.12</v>
      </c>
      <c r="Z33" s="139">
        <v>14</v>
      </c>
      <c r="AA33" s="138">
        <v>91</v>
      </c>
      <c r="AC33" s="136">
        <v>2.14</v>
      </c>
      <c r="AD33" s="139">
        <v>19</v>
      </c>
      <c r="AE33" s="138" t="s">
        <v>884</v>
      </c>
      <c r="AG33" s="136">
        <v>2.15</v>
      </c>
      <c r="AH33" s="137">
        <v>16</v>
      </c>
      <c r="AI33" s="138">
        <v>98</v>
      </c>
      <c r="AK33" s="136">
        <v>3</v>
      </c>
      <c r="AL33" s="139">
        <v>1</v>
      </c>
      <c r="AM33" s="138" t="s">
        <v>883</v>
      </c>
      <c r="AO33" s="136">
        <v>25.15</v>
      </c>
      <c r="AP33" s="139">
        <v>10</v>
      </c>
      <c r="AQ33" s="138">
        <v>50</v>
      </c>
      <c r="AS33" s="136">
        <v>2.16</v>
      </c>
      <c r="AT33" s="139">
        <v>15</v>
      </c>
      <c r="AU33" s="138">
        <v>95</v>
      </c>
      <c r="AW33" s="136">
        <v>25.12</v>
      </c>
      <c r="AX33" s="139">
        <v>10</v>
      </c>
      <c r="AY33" s="138">
        <v>50</v>
      </c>
      <c r="BA33" s="136">
        <v>3.03</v>
      </c>
      <c r="BB33" s="139">
        <v>7</v>
      </c>
      <c r="BC33" s="138">
        <v>16</v>
      </c>
    </row>
    <row r="34" spans="5:55" x14ac:dyDescent="0.3">
      <c r="E34" s="152">
        <v>3.01</v>
      </c>
      <c r="F34" s="153">
        <v>3</v>
      </c>
      <c r="G34" s="155" t="s">
        <v>876</v>
      </c>
      <c r="I34" s="136">
        <v>25.11</v>
      </c>
      <c r="J34" s="139">
        <v>13</v>
      </c>
      <c r="K34" s="138">
        <v>85</v>
      </c>
      <c r="M34" s="136">
        <v>2.15</v>
      </c>
      <c r="N34" s="139">
        <v>16</v>
      </c>
      <c r="O34" s="138">
        <v>98</v>
      </c>
      <c r="Q34" s="136">
        <v>25.17</v>
      </c>
      <c r="R34" s="139">
        <v>11</v>
      </c>
      <c r="S34" s="138">
        <v>63</v>
      </c>
      <c r="U34" s="136">
        <v>3</v>
      </c>
      <c r="V34" s="139">
        <v>1</v>
      </c>
      <c r="W34" s="138" t="s">
        <v>883</v>
      </c>
      <c r="Y34" s="136">
        <v>2.14</v>
      </c>
      <c r="Z34" s="139">
        <v>15</v>
      </c>
      <c r="AA34" s="138">
        <v>95</v>
      </c>
      <c r="AC34" s="136">
        <v>3</v>
      </c>
      <c r="AD34" s="139">
        <v>1</v>
      </c>
      <c r="AE34" s="138" t="s">
        <v>883</v>
      </c>
      <c r="AG34" s="136">
        <v>2.17</v>
      </c>
      <c r="AH34" s="137">
        <v>17</v>
      </c>
      <c r="AI34" s="138">
        <v>99</v>
      </c>
      <c r="AK34" s="136">
        <v>3.01</v>
      </c>
      <c r="AL34" s="139">
        <v>3</v>
      </c>
      <c r="AM34" s="138">
        <v>1</v>
      </c>
      <c r="AO34" s="136">
        <v>25.16</v>
      </c>
      <c r="AP34" s="139">
        <v>11</v>
      </c>
      <c r="AQ34" s="138">
        <v>63</v>
      </c>
      <c r="AS34" s="136">
        <v>2.17</v>
      </c>
      <c r="AT34" s="139">
        <v>16</v>
      </c>
      <c r="AU34" s="138">
        <v>98</v>
      </c>
      <c r="AW34" s="136">
        <v>25.14</v>
      </c>
      <c r="AX34" s="139">
        <v>11</v>
      </c>
      <c r="AY34" s="138">
        <v>63</v>
      </c>
      <c r="BA34" s="136">
        <v>3.04</v>
      </c>
      <c r="BB34" s="139">
        <v>9</v>
      </c>
      <c r="BC34" s="138">
        <v>37</v>
      </c>
    </row>
    <row r="35" spans="5:55" x14ac:dyDescent="0.3">
      <c r="E35" s="152">
        <v>3.0199999999999996</v>
      </c>
      <c r="F35" s="153">
        <v>5</v>
      </c>
      <c r="G35" s="155" t="s">
        <v>877</v>
      </c>
      <c r="I35" s="136">
        <v>25.12</v>
      </c>
      <c r="J35" s="139">
        <v>14</v>
      </c>
      <c r="K35" s="138">
        <v>91</v>
      </c>
      <c r="M35" s="136">
        <v>2.16</v>
      </c>
      <c r="N35" s="139">
        <v>17</v>
      </c>
      <c r="O35" s="138">
        <v>99</v>
      </c>
      <c r="Q35" s="136">
        <v>25.2</v>
      </c>
      <c r="R35" s="139">
        <v>12</v>
      </c>
      <c r="S35" s="138">
        <v>75</v>
      </c>
      <c r="U35" s="136">
        <v>3.01</v>
      </c>
      <c r="V35" s="139">
        <v>3</v>
      </c>
      <c r="W35" s="138">
        <v>1</v>
      </c>
      <c r="Y35" s="136">
        <v>2.15</v>
      </c>
      <c r="Z35" s="139">
        <v>16</v>
      </c>
      <c r="AA35" s="138">
        <v>98</v>
      </c>
      <c r="AC35" s="136">
        <v>3.01</v>
      </c>
      <c r="AD35" s="139">
        <v>3</v>
      </c>
      <c r="AE35" s="138">
        <v>1</v>
      </c>
      <c r="AG35" s="136">
        <v>2.23</v>
      </c>
      <c r="AH35" s="137">
        <v>18</v>
      </c>
      <c r="AI35" s="138" t="s">
        <v>884</v>
      </c>
      <c r="AK35" s="136">
        <v>3.02</v>
      </c>
      <c r="AL35" s="139">
        <v>5</v>
      </c>
      <c r="AM35" s="138">
        <v>5</v>
      </c>
      <c r="AO35" s="136">
        <v>25.17</v>
      </c>
      <c r="AP35" s="139">
        <v>12</v>
      </c>
      <c r="AQ35" s="138">
        <v>75</v>
      </c>
      <c r="AS35" s="136">
        <v>2.19</v>
      </c>
      <c r="AT35" s="139">
        <v>17</v>
      </c>
      <c r="AU35" s="138">
        <v>99</v>
      </c>
      <c r="AW35" s="136">
        <v>25.15</v>
      </c>
      <c r="AX35" s="139">
        <v>12</v>
      </c>
      <c r="AY35" s="138">
        <v>75</v>
      </c>
      <c r="BA35" s="136">
        <v>3.05</v>
      </c>
      <c r="BB35" s="139">
        <v>10</v>
      </c>
      <c r="BC35" s="138">
        <v>50</v>
      </c>
    </row>
    <row r="36" spans="5:55" x14ac:dyDescent="0.3">
      <c r="E36" s="152">
        <v>3.0299999999999994</v>
      </c>
      <c r="F36" s="153">
        <v>7</v>
      </c>
      <c r="G36" s="155" t="s">
        <v>878</v>
      </c>
      <c r="I36" s="136">
        <v>25.14</v>
      </c>
      <c r="J36" s="139">
        <v>15</v>
      </c>
      <c r="K36" s="138">
        <v>95</v>
      </c>
      <c r="M36" s="136">
        <v>2.19</v>
      </c>
      <c r="N36" s="139">
        <v>18</v>
      </c>
      <c r="O36" s="138" t="s">
        <v>884</v>
      </c>
      <c r="Q36" s="136">
        <v>25.22</v>
      </c>
      <c r="R36" s="139">
        <v>13</v>
      </c>
      <c r="S36" s="138">
        <v>85</v>
      </c>
      <c r="U36" s="136">
        <v>3.02</v>
      </c>
      <c r="V36" s="139">
        <v>5</v>
      </c>
      <c r="W36" s="138">
        <v>5</v>
      </c>
      <c r="Y36" s="136">
        <v>2.16</v>
      </c>
      <c r="Z36" s="139">
        <v>17</v>
      </c>
      <c r="AA36" s="138">
        <v>99</v>
      </c>
      <c r="AC36" s="136">
        <v>3.02</v>
      </c>
      <c r="AD36" s="139">
        <v>5</v>
      </c>
      <c r="AE36" s="138">
        <v>5</v>
      </c>
      <c r="AG36" s="136">
        <v>2.27</v>
      </c>
      <c r="AH36" s="137">
        <v>19</v>
      </c>
      <c r="AI36" s="138" t="s">
        <v>884</v>
      </c>
      <c r="AK36" s="136">
        <v>3.03</v>
      </c>
      <c r="AL36" s="139">
        <v>7</v>
      </c>
      <c r="AM36" s="138">
        <v>16</v>
      </c>
      <c r="AO36" s="136">
        <v>25.18</v>
      </c>
      <c r="AP36" s="139">
        <v>13</v>
      </c>
      <c r="AQ36" s="138">
        <v>85</v>
      </c>
      <c r="AS36" s="136">
        <v>2.2200000000000002</v>
      </c>
      <c r="AT36" s="139">
        <v>18</v>
      </c>
      <c r="AU36" s="138" t="s">
        <v>884</v>
      </c>
      <c r="AW36" s="136">
        <v>25.17</v>
      </c>
      <c r="AX36" s="139">
        <v>13</v>
      </c>
      <c r="AY36" s="138">
        <v>85</v>
      </c>
      <c r="BA36" s="136">
        <v>3.06</v>
      </c>
      <c r="BB36" s="139">
        <v>11</v>
      </c>
      <c r="BC36" s="138">
        <v>63</v>
      </c>
    </row>
    <row r="37" spans="5:55" x14ac:dyDescent="0.3">
      <c r="E37" s="152">
        <v>3.0399999999999991</v>
      </c>
      <c r="F37" s="153">
        <v>9</v>
      </c>
      <c r="G37" s="155" t="s">
        <v>879</v>
      </c>
      <c r="I37" s="136">
        <v>25.15</v>
      </c>
      <c r="J37" s="139">
        <v>16</v>
      </c>
      <c r="K37" s="138">
        <v>98</v>
      </c>
      <c r="M37" s="136">
        <v>2.2200000000000002</v>
      </c>
      <c r="N37" s="139">
        <v>19</v>
      </c>
      <c r="O37" s="138" t="s">
        <v>884</v>
      </c>
      <c r="Q37" s="136">
        <v>25.24</v>
      </c>
      <c r="R37" s="139">
        <v>14</v>
      </c>
      <c r="S37" s="138">
        <v>91</v>
      </c>
      <c r="U37" s="136">
        <v>3.03</v>
      </c>
      <c r="V37" s="139">
        <v>6</v>
      </c>
      <c r="W37" s="138">
        <v>9</v>
      </c>
      <c r="Y37" s="136">
        <v>2.17</v>
      </c>
      <c r="Z37" s="139">
        <v>18</v>
      </c>
      <c r="AA37" s="138" t="s">
        <v>884</v>
      </c>
      <c r="AC37" s="136">
        <v>3.03</v>
      </c>
      <c r="AD37" s="139">
        <v>7</v>
      </c>
      <c r="AE37" s="138">
        <v>16</v>
      </c>
      <c r="AG37" s="136">
        <v>3</v>
      </c>
      <c r="AH37" s="137">
        <v>1</v>
      </c>
      <c r="AI37" s="138" t="s">
        <v>883</v>
      </c>
      <c r="AK37" s="136">
        <v>3.04</v>
      </c>
      <c r="AL37" s="139">
        <v>8</v>
      </c>
      <c r="AM37" s="138">
        <v>25</v>
      </c>
      <c r="AO37" s="136">
        <v>25.19</v>
      </c>
      <c r="AP37" s="139">
        <v>14</v>
      </c>
      <c r="AQ37" s="138">
        <v>91</v>
      </c>
      <c r="AS37" s="136">
        <v>2.2599999999999998</v>
      </c>
      <c r="AT37" s="139">
        <v>19</v>
      </c>
      <c r="AU37" s="138" t="s">
        <v>884</v>
      </c>
      <c r="AW37" s="136">
        <v>25.18</v>
      </c>
      <c r="AX37" s="139">
        <v>14</v>
      </c>
      <c r="AY37" s="138">
        <v>91</v>
      </c>
      <c r="BA37" s="136">
        <v>3.07</v>
      </c>
      <c r="BB37" s="139">
        <v>12</v>
      </c>
      <c r="BC37" s="138">
        <v>75</v>
      </c>
    </row>
    <row r="38" spans="5:55" x14ac:dyDescent="0.3">
      <c r="E38" s="152">
        <v>3.0499999999999989</v>
      </c>
      <c r="F38" s="153">
        <v>10</v>
      </c>
      <c r="G38" s="155" t="s">
        <v>866</v>
      </c>
      <c r="I38" s="136">
        <v>25.16</v>
      </c>
      <c r="J38" s="139">
        <v>17</v>
      </c>
      <c r="K38" s="138">
        <v>99</v>
      </c>
      <c r="M38" s="136">
        <v>3</v>
      </c>
      <c r="N38" s="139">
        <v>1</v>
      </c>
      <c r="O38" s="138" t="s">
        <v>883</v>
      </c>
      <c r="Q38" s="136">
        <v>25.27</v>
      </c>
      <c r="R38" s="139">
        <v>15</v>
      </c>
      <c r="S38" s="138">
        <v>95</v>
      </c>
      <c r="U38" s="136">
        <v>3.04</v>
      </c>
      <c r="V38" s="139">
        <v>7</v>
      </c>
      <c r="W38" s="138">
        <v>16</v>
      </c>
      <c r="Y38" s="136">
        <v>2.2000000000000002</v>
      </c>
      <c r="Z38" s="139">
        <v>19</v>
      </c>
      <c r="AA38" s="138" t="s">
        <v>884</v>
      </c>
      <c r="AC38" s="136">
        <v>3.04</v>
      </c>
      <c r="AD38" s="139">
        <v>8</v>
      </c>
      <c r="AE38" s="138">
        <v>25</v>
      </c>
      <c r="AG38" s="136">
        <v>3.01</v>
      </c>
      <c r="AH38" s="137">
        <v>3</v>
      </c>
      <c r="AI38" s="138">
        <v>1</v>
      </c>
      <c r="AK38" s="136">
        <v>3.05</v>
      </c>
      <c r="AL38" s="139">
        <v>9</v>
      </c>
      <c r="AM38" s="138">
        <v>37</v>
      </c>
      <c r="AO38" s="136">
        <v>25.2</v>
      </c>
      <c r="AP38" s="139">
        <v>15</v>
      </c>
      <c r="AQ38" s="138">
        <v>95</v>
      </c>
      <c r="AS38" s="136">
        <v>3</v>
      </c>
      <c r="AT38" s="139">
        <v>1</v>
      </c>
      <c r="AU38" s="138" t="s">
        <v>883</v>
      </c>
      <c r="AW38" s="136">
        <v>25.2</v>
      </c>
      <c r="AX38" s="139">
        <v>15</v>
      </c>
      <c r="AY38" s="138">
        <v>95</v>
      </c>
      <c r="BA38" s="136">
        <v>3.08</v>
      </c>
      <c r="BB38" s="139">
        <v>13</v>
      </c>
      <c r="BC38" s="138">
        <v>85</v>
      </c>
    </row>
    <row r="39" spans="5:55" x14ac:dyDescent="0.3">
      <c r="E39" s="152">
        <v>3.0599999999999987</v>
      </c>
      <c r="F39" s="153">
        <v>11</v>
      </c>
      <c r="G39" s="155" t="s">
        <v>867</v>
      </c>
      <c r="I39" s="136">
        <v>25.18</v>
      </c>
      <c r="J39" s="139">
        <v>18</v>
      </c>
      <c r="K39" s="138" t="s">
        <v>884</v>
      </c>
      <c r="M39" s="136">
        <v>3.01</v>
      </c>
      <c r="N39" s="139">
        <v>3</v>
      </c>
      <c r="O39" s="138">
        <v>1</v>
      </c>
      <c r="Q39" s="136">
        <v>25.29</v>
      </c>
      <c r="R39" s="139">
        <v>16</v>
      </c>
      <c r="S39" s="138">
        <v>98</v>
      </c>
      <c r="U39" s="136">
        <v>3.05</v>
      </c>
      <c r="V39" s="139">
        <v>8</v>
      </c>
      <c r="W39" s="138">
        <v>25</v>
      </c>
      <c r="Y39" s="136">
        <v>3</v>
      </c>
      <c r="Z39" s="139">
        <v>1</v>
      </c>
      <c r="AA39" s="138" t="s">
        <v>883</v>
      </c>
      <c r="AC39" s="136">
        <v>3.05</v>
      </c>
      <c r="AD39" s="139">
        <v>9</v>
      </c>
      <c r="AE39" s="138">
        <v>37</v>
      </c>
      <c r="AG39" s="136">
        <v>3.02</v>
      </c>
      <c r="AH39" s="137">
        <v>4</v>
      </c>
      <c r="AI39" s="138">
        <v>2</v>
      </c>
      <c r="AK39" s="136">
        <v>3.06</v>
      </c>
      <c r="AL39" s="139">
        <v>10</v>
      </c>
      <c r="AM39" s="138">
        <v>50</v>
      </c>
      <c r="AO39" s="136">
        <v>25.21</v>
      </c>
      <c r="AP39" s="139">
        <v>16</v>
      </c>
      <c r="AQ39" s="138">
        <v>98</v>
      </c>
      <c r="AS39" s="136">
        <v>3.01</v>
      </c>
      <c r="AT39" s="139">
        <v>3</v>
      </c>
      <c r="AU39" s="138">
        <v>1</v>
      </c>
      <c r="AW39" s="136">
        <v>25.21</v>
      </c>
      <c r="AX39" s="139">
        <v>16</v>
      </c>
      <c r="AY39" s="138">
        <v>98</v>
      </c>
      <c r="BA39" s="136">
        <v>3.09</v>
      </c>
      <c r="BB39" s="139">
        <v>14</v>
      </c>
      <c r="BC39" s="138">
        <v>91</v>
      </c>
    </row>
    <row r="40" spans="5:55" x14ac:dyDescent="0.3">
      <c r="E40" s="152">
        <v>3.0699999999999985</v>
      </c>
      <c r="F40" s="153">
        <v>12</v>
      </c>
      <c r="G40" s="155" t="s">
        <v>868</v>
      </c>
      <c r="I40" s="136">
        <v>25.19</v>
      </c>
      <c r="J40" s="139">
        <v>19</v>
      </c>
      <c r="K40" s="138" t="s">
        <v>884</v>
      </c>
      <c r="M40" s="136">
        <v>3.02</v>
      </c>
      <c r="N40" s="139">
        <v>4</v>
      </c>
      <c r="O40" s="138">
        <v>2</v>
      </c>
      <c r="Q40" s="136">
        <v>25.31</v>
      </c>
      <c r="R40" s="139">
        <v>17</v>
      </c>
      <c r="S40" s="138">
        <v>99</v>
      </c>
      <c r="U40" s="136">
        <v>3.06</v>
      </c>
      <c r="V40" s="139">
        <v>9</v>
      </c>
      <c r="W40" s="138">
        <v>37</v>
      </c>
      <c r="Y40" s="136">
        <v>3.01</v>
      </c>
      <c r="Z40" s="139">
        <v>3</v>
      </c>
      <c r="AA40" s="138">
        <v>1</v>
      </c>
      <c r="AC40" s="136">
        <v>3.06</v>
      </c>
      <c r="AD40" s="139">
        <v>10</v>
      </c>
      <c r="AE40" s="138">
        <v>50</v>
      </c>
      <c r="AG40" s="136">
        <v>3.03</v>
      </c>
      <c r="AH40" s="137">
        <v>5</v>
      </c>
      <c r="AI40" s="138">
        <v>5</v>
      </c>
      <c r="AK40" s="136">
        <v>3.07</v>
      </c>
      <c r="AL40" s="139">
        <v>11</v>
      </c>
      <c r="AM40" s="138">
        <v>63</v>
      </c>
      <c r="AO40" s="136">
        <v>25.23</v>
      </c>
      <c r="AP40" s="139">
        <v>17</v>
      </c>
      <c r="AQ40" s="138">
        <v>99</v>
      </c>
      <c r="AS40" s="136">
        <v>3.02</v>
      </c>
      <c r="AT40" s="139">
        <v>4</v>
      </c>
      <c r="AU40" s="138">
        <v>2</v>
      </c>
      <c r="AW40" s="136">
        <v>25.23</v>
      </c>
      <c r="AX40" s="139">
        <v>17</v>
      </c>
      <c r="AY40" s="138">
        <v>99</v>
      </c>
      <c r="BA40" s="136">
        <v>3.1</v>
      </c>
      <c r="BB40" s="139">
        <v>15</v>
      </c>
      <c r="BC40" s="138">
        <v>95</v>
      </c>
    </row>
    <row r="41" spans="5:55" x14ac:dyDescent="0.3">
      <c r="E41" s="152">
        <v>3.0799999999999983</v>
      </c>
      <c r="F41" s="153">
        <v>13</v>
      </c>
      <c r="G41" s="155" t="s">
        <v>869</v>
      </c>
      <c r="I41" s="136">
        <v>26</v>
      </c>
      <c r="J41" s="139">
        <v>1</v>
      </c>
      <c r="K41" s="138" t="s">
        <v>883</v>
      </c>
      <c r="M41" s="136">
        <v>3.03</v>
      </c>
      <c r="N41" s="139">
        <v>5</v>
      </c>
      <c r="O41" s="138">
        <v>5</v>
      </c>
      <c r="Q41" s="136">
        <v>25.34</v>
      </c>
      <c r="R41" s="139">
        <v>18</v>
      </c>
      <c r="S41" s="138" t="s">
        <v>884</v>
      </c>
      <c r="U41" s="136">
        <v>3.07</v>
      </c>
      <c r="V41" s="139">
        <v>10</v>
      </c>
      <c r="W41" s="138">
        <v>50</v>
      </c>
      <c r="Y41" s="136">
        <v>3.02</v>
      </c>
      <c r="Z41" s="139">
        <v>4</v>
      </c>
      <c r="AA41" s="138">
        <v>2</v>
      </c>
      <c r="AC41" s="136">
        <v>3.07</v>
      </c>
      <c r="AD41" s="139">
        <v>11</v>
      </c>
      <c r="AE41" s="138">
        <v>63</v>
      </c>
      <c r="AG41" s="136">
        <v>3.04</v>
      </c>
      <c r="AH41" s="137">
        <v>6</v>
      </c>
      <c r="AI41" s="138">
        <v>9</v>
      </c>
      <c r="AK41" s="136">
        <v>3.08</v>
      </c>
      <c r="AL41" s="139">
        <v>12</v>
      </c>
      <c r="AM41" s="138">
        <v>75</v>
      </c>
      <c r="AO41" s="136">
        <v>25.24</v>
      </c>
      <c r="AP41" s="139">
        <v>18</v>
      </c>
      <c r="AQ41" s="138" t="s">
        <v>884</v>
      </c>
      <c r="AS41" s="136">
        <v>3.03</v>
      </c>
      <c r="AT41" s="139">
        <v>5</v>
      </c>
      <c r="AU41" s="138">
        <v>5</v>
      </c>
      <c r="AW41" s="136">
        <v>25.24</v>
      </c>
      <c r="AX41" s="139">
        <v>18</v>
      </c>
      <c r="AY41" s="138" t="s">
        <v>884</v>
      </c>
      <c r="BA41" s="136">
        <v>3.11</v>
      </c>
      <c r="BB41" s="139">
        <v>16</v>
      </c>
      <c r="BC41" s="138">
        <v>98</v>
      </c>
    </row>
    <row r="42" spans="5:55" x14ac:dyDescent="0.3">
      <c r="E42" s="152">
        <v>3.0899999999999981</v>
      </c>
      <c r="F42" s="153">
        <v>14</v>
      </c>
      <c r="G42" s="155" t="s">
        <v>870</v>
      </c>
      <c r="I42" s="136">
        <v>26.01</v>
      </c>
      <c r="J42" s="139">
        <v>3</v>
      </c>
      <c r="K42" s="138">
        <v>1</v>
      </c>
      <c r="M42" s="136">
        <v>3.04</v>
      </c>
      <c r="N42" s="139">
        <v>6</v>
      </c>
      <c r="O42" s="138">
        <v>9</v>
      </c>
      <c r="Q42" s="136">
        <v>25.36</v>
      </c>
      <c r="R42" s="139">
        <v>19</v>
      </c>
      <c r="S42" s="138" t="s">
        <v>884</v>
      </c>
      <c r="U42" s="136">
        <v>3.08</v>
      </c>
      <c r="V42" s="139">
        <v>11</v>
      </c>
      <c r="W42" s="138">
        <v>63</v>
      </c>
      <c r="Y42" s="136">
        <v>3.03</v>
      </c>
      <c r="Z42" s="139">
        <v>5</v>
      </c>
      <c r="AA42" s="138">
        <v>5</v>
      </c>
      <c r="AC42" s="136">
        <v>3.08</v>
      </c>
      <c r="AD42" s="139">
        <v>12</v>
      </c>
      <c r="AE42" s="138">
        <v>75</v>
      </c>
      <c r="AG42" s="136">
        <v>3.05</v>
      </c>
      <c r="AH42" s="137">
        <v>7</v>
      </c>
      <c r="AI42" s="138">
        <v>16</v>
      </c>
      <c r="AK42" s="136">
        <v>3.09</v>
      </c>
      <c r="AL42" s="139">
        <v>13</v>
      </c>
      <c r="AM42" s="138">
        <v>85</v>
      </c>
      <c r="AO42" s="136">
        <v>25.25</v>
      </c>
      <c r="AP42" s="139">
        <v>19</v>
      </c>
      <c r="AQ42" s="138" t="s">
        <v>884</v>
      </c>
      <c r="AS42" s="136">
        <v>3.04</v>
      </c>
      <c r="AT42" s="139">
        <v>6</v>
      </c>
      <c r="AU42" s="138">
        <v>9</v>
      </c>
      <c r="AW42" s="136">
        <v>25.25</v>
      </c>
      <c r="AX42" s="139">
        <v>19</v>
      </c>
      <c r="AY42" s="138" t="s">
        <v>884</v>
      </c>
      <c r="BA42" s="136">
        <v>3.12</v>
      </c>
      <c r="BB42" s="139">
        <v>18</v>
      </c>
      <c r="BC42" s="138" t="s">
        <v>884</v>
      </c>
    </row>
    <row r="43" spans="5:55" x14ac:dyDescent="0.3">
      <c r="E43" s="152">
        <v>3.0999999999999979</v>
      </c>
      <c r="F43" s="153">
        <v>15</v>
      </c>
      <c r="G43" s="155" t="s">
        <v>871</v>
      </c>
      <c r="I43" s="136">
        <v>26.02</v>
      </c>
      <c r="J43" s="139">
        <v>4</v>
      </c>
      <c r="K43" s="138">
        <v>2</v>
      </c>
      <c r="M43" s="136">
        <v>3.05</v>
      </c>
      <c r="N43" s="139">
        <v>7</v>
      </c>
      <c r="O43" s="138">
        <v>16</v>
      </c>
      <c r="Q43" s="136">
        <v>26</v>
      </c>
      <c r="R43" s="139">
        <v>1</v>
      </c>
      <c r="S43" s="138" t="s">
        <v>883</v>
      </c>
      <c r="U43" s="136">
        <v>3.09</v>
      </c>
      <c r="V43" s="139">
        <v>12</v>
      </c>
      <c r="W43" s="138">
        <v>75</v>
      </c>
      <c r="Y43" s="136">
        <v>3.04</v>
      </c>
      <c r="Z43" s="139">
        <v>6</v>
      </c>
      <c r="AA43" s="138">
        <v>9</v>
      </c>
      <c r="AC43" s="136">
        <v>3.09</v>
      </c>
      <c r="AD43" s="139">
        <v>13</v>
      </c>
      <c r="AE43" s="138">
        <v>85</v>
      </c>
      <c r="AG43" s="136">
        <v>3.06</v>
      </c>
      <c r="AH43" s="137">
        <v>8</v>
      </c>
      <c r="AI43" s="138">
        <v>25</v>
      </c>
      <c r="AK43" s="136">
        <v>3.1</v>
      </c>
      <c r="AL43" s="139">
        <v>14</v>
      </c>
      <c r="AM43" s="138">
        <v>91</v>
      </c>
      <c r="AO43" s="136">
        <v>26</v>
      </c>
      <c r="AP43" s="139">
        <v>1</v>
      </c>
      <c r="AQ43" s="138" t="s">
        <v>883</v>
      </c>
      <c r="AS43" s="136">
        <v>3.05</v>
      </c>
      <c r="AT43" s="139">
        <v>7</v>
      </c>
      <c r="AU43" s="138">
        <v>16</v>
      </c>
      <c r="AW43" s="136">
        <v>26</v>
      </c>
      <c r="AX43" s="139">
        <v>1</v>
      </c>
      <c r="AY43" s="138" t="s">
        <v>883</v>
      </c>
      <c r="BA43" s="136">
        <v>3.13</v>
      </c>
      <c r="BB43" s="139">
        <v>19</v>
      </c>
      <c r="BC43" s="138" t="s">
        <v>884</v>
      </c>
    </row>
    <row r="44" spans="5:55" x14ac:dyDescent="0.3">
      <c r="E44" s="152">
        <v>3.1099999999999977</v>
      </c>
      <c r="F44" s="153">
        <v>16</v>
      </c>
      <c r="G44" s="155" t="s">
        <v>872</v>
      </c>
      <c r="I44" s="136">
        <v>26.03</v>
      </c>
      <c r="J44" s="139">
        <v>5</v>
      </c>
      <c r="K44" s="138">
        <v>5</v>
      </c>
      <c r="M44" s="136">
        <v>3.07</v>
      </c>
      <c r="N44" s="139">
        <v>8</v>
      </c>
      <c r="O44" s="138">
        <v>25</v>
      </c>
      <c r="Q44" s="136">
        <v>26.01</v>
      </c>
      <c r="R44" s="139">
        <v>2</v>
      </c>
      <c r="S44" s="138" t="s">
        <v>883</v>
      </c>
      <c r="U44" s="136">
        <v>3.1</v>
      </c>
      <c r="V44" s="139">
        <v>13</v>
      </c>
      <c r="W44" s="138">
        <v>85</v>
      </c>
      <c r="Y44" s="136">
        <v>3.06</v>
      </c>
      <c r="Z44" s="139">
        <v>7</v>
      </c>
      <c r="AA44" s="138">
        <v>16</v>
      </c>
      <c r="AC44" s="136">
        <v>3.1</v>
      </c>
      <c r="AD44" s="139">
        <v>14</v>
      </c>
      <c r="AE44" s="138">
        <v>91</v>
      </c>
      <c r="AG44" s="136">
        <v>3.07</v>
      </c>
      <c r="AH44" s="137">
        <v>9</v>
      </c>
      <c r="AI44" s="138">
        <v>37</v>
      </c>
      <c r="AK44" s="136">
        <v>3.12</v>
      </c>
      <c r="AL44" s="139">
        <v>15</v>
      </c>
      <c r="AM44" s="138">
        <v>95</v>
      </c>
      <c r="AO44" s="136">
        <v>26.06</v>
      </c>
      <c r="AP44" s="139">
        <v>2</v>
      </c>
      <c r="AQ44" s="138" t="s">
        <v>883</v>
      </c>
      <c r="AS44" s="136">
        <v>3.07</v>
      </c>
      <c r="AT44" s="139">
        <v>8</v>
      </c>
      <c r="AU44" s="138">
        <v>25</v>
      </c>
      <c r="AW44" s="136">
        <v>26.02</v>
      </c>
      <c r="AX44" s="139">
        <v>2</v>
      </c>
      <c r="AY44" s="138" t="s">
        <v>883</v>
      </c>
      <c r="BA44" s="136">
        <v>4</v>
      </c>
      <c r="BB44" s="139">
        <v>1</v>
      </c>
      <c r="BC44" s="138" t="s">
        <v>883</v>
      </c>
    </row>
    <row r="45" spans="5:55" x14ac:dyDescent="0.3">
      <c r="E45" s="152">
        <v>3.1199999999999974</v>
      </c>
      <c r="F45" s="153">
        <v>17</v>
      </c>
      <c r="G45" s="155" t="s">
        <v>873</v>
      </c>
      <c r="I45" s="136">
        <v>26.04</v>
      </c>
      <c r="J45" s="139">
        <v>6</v>
      </c>
      <c r="K45" s="138">
        <v>9</v>
      </c>
      <c r="M45" s="136">
        <v>3.08</v>
      </c>
      <c r="N45" s="139">
        <v>9</v>
      </c>
      <c r="O45" s="138">
        <v>37</v>
      </c>
      <c r="Q45" s="136">
        <v>26.02</v>
      </c>
      <c r="R45" s="139">
        <v>3</v>
      </c>
      <c r="S45" s="138">
        <v>1</v>
      </c>
      <c r="U45" s="136">
        <v>3.11</v>
      </c>
      <c r="V45" s="139">
        <v>14</v>
      </c>
      <c r="W45" s="138">
        <v>91</v>
      </c>
      <c r="Y45" s="136">
        <v>3.07</v>
      </c>
      <c r="Z45" s="139">
        <v>8</v>
      </c>
      <c r="AA45" s="138">
        <v>25</v>
      </c>
      <c r="AC45" s="136">
        <v>3.11</v>
      </c>
      <c r="AD45" s="139">
        <v>15</v>
      </c>
      <c r="AE45" s="138">
        <v>95</v>
      </c>
      <c r="AG45" s="136">
        <v>3.09</v>
      </c>
      <c r="AH45" s="137">
        <v>10</v>
      </c>
      <c r="AI45" s="138">
        <v>50</v>
      </c>
      <c r="AK45" s="136">
        <v>3.13</v>
      </c>
      <c r="AL45" s="139">
        <v>16</v>
      </c>
      <c r="AM45" s="138">
        <v>98</v>
      </c>
      <c r="AO45" s="136">
        <v>26.08</v>
      </c>
      <c r="AP45" s="139">
        <v>3</v>
      </c>
      <c r="AQ45" s="138">
        <v>1</v>
      </c>
      <c r="AS45" s="136">
        <v>3.08</v>
      </c>
      <c r="AT45" s="139">
        <v>9</v>
      </c>
      <c r="AU45" s="138">
        <v>37</v>
      </c>
      <c r="AW45" s="136">
        <v>26.03</v>
      </c>
      <c r="AX45" s="139">
        <v>3</v>
      </c>
      <c r="AY45" s="138">
        <v>1</v>
      </c>
      <c r="BA45" s="136">
        <v>4.01</v>
      </c>
      <c r="BB45" s="139">
        <v>3</v>
      </c>
      <c r="BC45" s="138">
        <v>1</v>
      </c>
    </row>
    <row r="46" spans="5:55" x14ac:dyDescent="0.3">
      <c r="E46" s="152">
        <v>3.1299999999999972</v>
      </c>
      <c r="F46" s="153">
        <v>18</v>
      </c>
      <c r="G46" s="155" t="s">
        <v>874</v>
      </c>
      <c r="I46" s="136">
        <v>26.05</v>
      </c>
      <c r="J46" s="139">
        <v>7</v>
      </c>
      <c r="K46" s="138">
        <v>16</v>
      </c>
      <c r="M46" s="136">
        <v>3.1</v>
      </c>
      <c r="N46" s="139">
        <v>10</v>
      </c>
      <c r="O46" s="138">
        <v>50</v>
      </c>
      <c r="Q46" s="136">
        <v>26.03</v>
      </c>
      <c r="R46" s="139">
        <v>4</v>
      </c>
      <c r="S46" s="138">
        <v>2</v>
      </c>
      <c r="U46" s="136">
        <v>3.12</v>
      </c>
      <c r="V46" s="139">
        <v>15</v>
      </c>
      <c r="W46" s="138">
        <v>95</v>
      </c>
      <c r="Y46" s="136">
        <v>3.08</v>
      </c>
      <c r="Z46" s="139">
        <v>9</v>
      </c>
      <c r="AA46" s="138">
        <v>37</v>
      </c>
      <c r="AC46" s="136">
        <v>3.12</v>
      </c>
      <c r="AD46" s="139">
        <v>16</v>
      </c>
      <c r="AE46" s="138">
        <v>98</v>
      </c>
      <c r="AG46" s="136">
        <v>3.11</v>
      </c>
      <c r="AH46" s="137">
        <v>11</v>
      </c>
      <c r="AI46" s="138">
        <v>63</v>
      </c>
      <c r="AK46" s="136">
        <v>3.14</v>
      </c>
      <c r="AL46" s="139">
        <v>17</v>
      </c>
      <c r="AM46" s="138">
        <v>99</v>
      </c>
      <c r="AO46" s="136">
        <v>26.09</v>
      </c>
      <c r="AP46" s="139">
        <v>4</v>
      </c>
      <c r="AQ46" s="138">
        <v>2</v>
      </c>
      <c r="AS46" s="136">
        <v>3.1</v>
      </c>
      <c r="AT46" s="139">
        <v>10</v>
      </c>
      <c r="AU46" s="138">
        <v>50</v>
      </c>
      <c r="AW46" s="136">
        <v>26.04</v>
      </c>
      <c r="AX46" s="139">
        <v>4</v>
      </c>
      <c r="AY46" s="138">
        <v>2</v>
      </c>
      <c r="BA46" s="136">
        <v>4.0199999999999996</v>
      </c>
      <c r="BB46" s="139">
        <v>5</v>
      </c>
      <c r="BC46" s="138">
        <v>5</v>
      </c>
    </row>
    <row r="47" spans="5:55" ht="19.5" thickBot="1" x14ac:dyDescent="0.35">
      <c r="E47" s="157">
        <v>3.14</v>
      </c>
      <c r="F47" s="158">
        <v>19</v>
      </c>
      <c r="G47" s="159" t="s">
        <v>874</v>
      </c>
      <c r="I47" s="136">
        <v>26.06</v>
      </c>
      <c r="J47" s="139">
        <v>8</v>
      </c>
      <c r="K47" s="138">
        <v>25</v>
      </c>
      <c r="M47" s="136">
        <v>3.11</v>
      </c>
      <c r="N47" s="139">
        <v>11</v>
      </c>
      <c r="O47" s="138">
        <v>63</v>
      </c>
      <c r="Q47" s="136">
        <v>26.04</v>
      </c>
      <c r="R47" s="139">
        <v>5</v>
      </c>
      <c r="S47" s="138">
        <v>5</v>
      </c>
      <c r="U47" s="136">
        <v>3.13</v>
      </c>
      <c r="V47" s="139">
        <v>16</v>
      </c>
      <c r="W47" s="138">
        <v>98</v>
      </c>
      <c r="Y47" s="136">
        <v>3.09</v>
      </c>
      <c r="Z47" s="139">
        <v>10</v>
      </c>
      <c r="AA47" s="138">
        <v>50</v>
      </c>
      <c r="AC47" s="136">
        <v>3.13</v>
      </c>
      <c r="AD47" s="139">
        <v>17</v>
      </c>
      <c r="AE47" s="138">
        <v>99</v>
      </c>
      <c r="AG47" s="136">
        <v>3.13</v>
      </c>
      <c r="AH47" s="137">
        <v>12</v>
      </c>
      <c r="AI47" s="138">
        <v>75</v>
      </c>
      <c r="AK47" s="136">
        <v>3.15</v>
      </c>
      <c r="AL47" s="139">
        <v>18</v>
      </c>
      <c r="AM47" s="138" t="s">
        <v>884</v>
      </c>
      <c r="AO47" s="136">
        <v>26.1</v>
      </c>
      <c r="AP47" s="139">
        <v>5</v>
      </c>
      <c r="AQ47" s="138">
        <v>5</v>
      </c>
      <c r="AS47" s="136">
        <v>3.11</v>
      </c>
      <c r="AT47" s="139">
        <v>11</v>
      </c>
      <c r="AU47" s="138">
        <v>63</v>
      </c>
      <c r="AW47" s="136">
        <v>26.05</v>
      </c>
      <c r="AX47" s="139">
        <v>5</v>
      </c>
      <c r="AY47" s="138">
        <v>5</v>
      </c>
      <c r="BA47" s="136">
        <v>4.03</v>
      </c>
      <c r="BB47" s="139">
        <v>7</v>
      </c>
      <c r="BC47" s="138">
        <v>16</v>
      </c>
    </row>
    <row r="48" spans="5:55" x14ac:dyDescent="0.3">
      <c r="E48" s="160">
        <v>4</v>
      </c>
      <c r="F48" s="161">
        <v>1</v>
      </c>
      <c r="G48" s="162" t="s">
        <v>862</v>
      </c>
      <c r="I48" s="136">
        <v>26.07</v>
      </c>
      <c r="J48" s="139">
        <v>9</v>
      </c>
      <c r="K48" s="138">
        <v>37</v>
      </c>
      <c r="M48" s="136">
        <v>3.12</v>
      </c>
      <c r="N48" s="139">
        <v>12</v>
      </c>
      <c r="O48" s="138">
        <v>75</v>
      </c>
      <c r="Q48" s="136">
        <v>26.06</v>
      </c>
      <c r="R48" s="139">
        <v>6</v>
      </c>
      <c r="S48" s="138">
        <v>9</v>
      </c>
      <c r="U48" s="136">
        <v>3.15</v>
      </c>
      <c r="V48" s="139">
        <v>17</v>
      </c>
      <c r="W48" s="138">
        <v>99</v>
      </c>
      <c r="Y48" s="136">
        <v>3.11</v>
      </c>
      <c r="Z48" s="139">
        <v>11</v>
      </c>
      <c r="AA48" s="138">
        <v>63</v>
      </c>
      <c r="AC48" s="136">
        <v>3.14</v>
      </c>
      <c r="AD48" s="139">
        <v>18</v>
      </c>
      <c r="AE48" s="138" t="s">
        <v>884</v>
      </c>
      <c r="AG48" s="136">
        <v>3.15</v>
      </c>
      <c r="AH48" s="137">
        <v>13</v>
      </c>
      <c r="AI48" s="138">
        <v>85</v>
      </c>
      <c r="AK48" s="136">
        <v>3.19</v>
      </c>
      <c r="AL48" s="139">
        <v>19</v>
      </c>
      <c r="AM48" s="138" t="s">
        <v>884</v>
      </c>
      <c r="AO48" s="136">
        <v>26.11</v>
      </c>
      <c r="AP48" s="139">
        <v>6</v>
      </c>
      <c r="AQ48" s="138">
        <v>9</v>
      </c>
      <c r="AS48" s="136">
        <v>3.13</v>
      </c>
      <c r="AT48" s="139">
        <v>12</v>
      </c>
      <c r="AU48" s="138">
        <v>75</v>
      </c>
      <c r="AW48" s="136">
        <v>26.06</v>
      </c>
      <c r="AX48" s="139">
        <v>6</v>
      </c>
      <c r="AY48" s="138">
        <v>9</v>
      </c>
      <c r="BA48" s="136">
        <v>4.04</v>
      </c>
      <c r="BB48" s="139">
        <v>8</v>
      </c>
      <c r="BC48" s="138">
        <v>25</v>
      </c>
    </row>
    <row r="49" spans="5:55" x14ac:dyDescent="0.3">
      <c r="E49" s="152">
        <v>4.01</v>
      </c>
      <c r="F49" s="153">
        <v>3</v>
      </c>
      <c r="G49" s="155" t="s">
        <v>876</v>
      </c>
      <c r="H49" s="135" t="s">
        <v>4</v>
      </c>
      <c r="I49" s="136">
        <v>26.08</v>
      </c>
      <c r="J49" s="139">
        <v>10</v>
      </c>
      <c r="K49" s="138">
        <v>50</v>
      </c>
      <c r="M49" s="136">
        <v>3.13</v>
      </c>
      <c r="N49" s="139">
        <v>13</v>
      </c>
      <c r="O49" s="138">
        <v>85</v>
      </c>
      <c r="Q49" s="136">
        <v>26.08</v>
      </c>
      <c r="R49" s="139">
        <v>7</v>
      </c>
      <c r="S49" s="138">
        <v>16</v>
      </c>
      <c r="U49" s="136">
        <v>3.16</v>
      </c>
      <c r="V49" s="139">
        <v>18</v>
      </c>
      <c r="W49" s="138" t="s">
        <v>884</v>
      </c>
      <c r="Y49" s="136">
        <v>3.12</v>
      </c>
      <c r="Z49" s="139">
        <v>12</v>
      </c>
      <c r="AA49" s="138">
        <v>75</v>
      </c>
      <c r="AC49" s="136">
        <v>3.16</v>
      </c>
      <c r="AD49" s="139">
        <v>19</v>
      </c>
      <c r="AE49" s="138" t="s">
        <v>884</v>
      </c>
      <c r="AG49" s="136">
        <v>3.17</v>
      </c>
      <c r="AH49" s="137">
        <v>14</v>
      </c>
      <c r="AI49" s="138">
        <v>91</v>
      </c>
      <c r="AK49" s="136">
        <v>4</v>
      </c>
      <c r="AL49" s="139">
        <v>1</v>
      </c>
      <c r="AM49" s="138" t="s">
        <v>883</v>
      </c>
      <c r="AO49" s="136">
        <v>26.12</v>
      </c>
      <c r="AP49" s="139">
        <v>7</v>
      </c>
      <c r="AQ49" s="138">
        <v>16</v>
      </c>
      <c r="AS49" s="136">
        <v>3.15</v>
      </c>
      <c r="AT49" s="139">
        <v>13</v>
      </c>
      <c r="AU49" s="138">
        <v>85</v>
      </c>
      <c r="AW49" s="136">
        <v>26.07</v>
      </c>
      <c r="AX49" s="139">
        <v>7</v>
      </c>
      <c r="AY49" s="138">
        <v>16</v>
      </c>
      <c r="BA49" s="136">
        <v>4.05</v>
      </c>
      <c r="BB49" s="139">
        <v>9</v>
      </c>
      <c r="BC49" s="138">
        <v>37</v>
      </c>
    </row>
    <row r="50" spans="5:55" x14ac:dyDescent="0.3">
      <c r="E50" s="152">
        <v>4.0199999999999996</v>
      </c>
      <c r="F50" s="153">
        <v>5</v>
      </c>
      <c r="G50" s="155" t="s">
        <v>877</v>
      </c>
      <c r="I50" s="136">
        <v>26.09</v>
      </c>
      <c r="J50" s="139">
        <v>11</v>
      </c>
      <c r="K50" s="138">
        <v>63</v>
      </c>
      <c r="M50" s="136">
        <v>3.15</v>
      </c>
      <c r="N50" s="139">
        <v>14</v>
      </c>
      <c r="O50" s="138">
        <v>91</v>
      </c>
      <c r="Q50" s="136">
        <v>26.1</v>
      </c>
      <c r="R50" s="139">
        <v>8</v>
      </c>
      <c r="S50" s="138">
        <v>25</v>
      </c>
      <c r="U50" s="136">
        <v>3.18</v>
      </c>
      <c r="V50" s="139">
        <v>19</v>
      </c>
      <c r="W50" s="138" t="s">
        <v>884</v>
      </c>
      <c r="Y50" s="136">
        <v>3.13</v>
      </c>
      <c r="Z50" s="139">
        <v>13</v>
      </c>
      <c r="AA50" s="138">
        <v>85</v>
      </c>
      <c r="AC50" s="136">
        <v>4</v>
      </c>
      <c r="AD50" s="139">
        <v>1</v>
      </c>
      <c r="AE50" s="138" t="s">
        <v>883</v>
      </c>
      <c r="AG50" s="136">
        <v>3.19</v>
      </c>
      <c r="AH50" s="137">
        <v>15</v>
      </c>
      <c r="AI50" s="138">
        <v>95</v>
      </c>
      <c r="AK50" s="136">
        <v>4.01</v>
      </c>
      <c r="AL50" s="139">
        <v>3</v>
      </c>
      <c r="AM50" s="138">
        <v>1</v>
      </c>
      <c r="AO50" s="136">
        <v>26.13</v>
      </c>
      <c r="AP50" s="139">
        <v>8</v>
      </c>
      <c r="AQ50" s="138">
        <v>25</v>
      </c>
      <c r="AS50" s="136">
        <v>3.17</v>
      </c>
      <c r="AT50" s="139">
        <v>14</v>
      </c>
      <c r="AU50" s="138">
        <v>91</v>
      </c>
      <c r="AW50" s="136">
        <v>26.09</v>
      </c>
      <c r="AX50" s="139">
        <v>8</v>
      </c>
      <c r="AY50" s="138">
        <v>25</v>
      </c>
      <c r="BA50" s="136">
        <v>4.0599999999999996</v>
      </c>
      <c r="BB50" s="139">
        <v>10</v>
      </c>
      <c r="BC50" s="138">
        <v>50</v>
      </c>
    </row>
    <row r="51" spans="5:55" x14ac:dyDescent="0.3">
      <c r="E51" s="152">
        <v>4.0299999999999994</v>
      </c>
      <c r="F51" s="153">
        <v>7</v>
      </c>
      <c r="G51" s="155" t="s">
        <v>878</v>
      </c>
      <c r="I51" s="136">
        <v>26.1</v>
      </c>
      <c r="J51" s="139">
        <v>12</v>
      </c>
      <c r="K51" s="138">
        <v>75</v>
      </c>
      <c r="M51" s="136">
        <v>3.16</v>
      </c>
      <c r="N51" s="139">
        <v>15</v>
      </c>
      <c r="O51" s="138">
        <v>95</v>
      </c>
      <c r="Q51" s="136">
        <v>26.13</v>
      </c>
      <c r="R51" s="139">
        <v>9</v>
      </c>
      <c r="S51" s="138">
        <v>37</v>
      </c>
      <c r="U51" s="136">
        <v>4</v>
      </c>
      <c r="V51" s="139">
        <v>1</v>
      </c>
      <c r="W51" s="138" t="s">
        <v>883</v>
      </c>
      <c r="Y51" s="136">
        <v>3.14</v>
      </c>
      <c r="Z51" s="139">
        <v>14</v>
      </c>
      <c r="AA51" s="138">
        <v>91</v>
      </c>
      <c r="AC51" s="136">
        <v>4.01</v>
      </c>
      <c r="AD51" s="139">
        <v>3</v>
      </c>
      <c r="AE51" s="138">
        <v>1</v>
      </c>
      <c r="AG51" s="136">
        <v>3.21</v>
      </c>
      <c r="AH51" s="137">
        <v>16</v>
      </c>
      <c r="AI51" s="138">
        <v>98</v>
      </c>
      <c r="AK51" s="136">
        <v>4.0199999999999996</v>
      </c>
      <c r="AL51" s="139">
        <v>4</v>
      </c>
      <c r="AM51" s="138">
        <v>2</v>
      </c>
      <c r="AO51" s="136">
        <v>26.14</v>
      </c>
      <c r="AP51" s="139">
        <v>9</v>
      </c>
      <c r="AQ51" s="138">
        <v>37</v>
      </c>
      <c r="AS51" s="136">
        <v>3.19</v>
      </c>
      <c r="AT51" s="139">
        <v>15</v>
      </c>
      <c r="AU51" s="138">
        <v>95</v>
      </c>
      <c r="AW51" s="136">
        <v>26.11</v>
      </c>
      <c r="AX51" s="139">
        <v>9</v>
      </c>
      <c r="AY51" s="138">
        <v>37</v>
      </c>
      <c r="BA51" s="136">
        <v>4.07</v>
      </c>
      <c r="BB51" s="139">
        <v>11</v>
      </c>
      <c r="BC51" s="138">
        <v>63</v>
      </c>
    </row>
    <row r="52" spans="5:55" x14ac:dyDescent="0.3">
      <c r="E52" s="152">
        <v>4.0399999999999991</v>
      </c>
      <c r="F52" s="153">
        <v>9</v>
      </c>
      <c r="G52" s="155" t="s">
        <v>879</v>
      </c>
      <c r="I52" s="136">
        <v>26.11</v>
      </c>
      <c r="J52" s="139">
        <v>13</v>
      </c>
      <c r="K52" s="138">
        <v>85</v>
      </c>
      <c r="M52" s="136">
        <v>3.18</v>
      </c>
      <c r="N52" s="139">
        <v>16</v>
      </c>
      <c r="O52" s="138">
        <v>98</v>
      </c>
      <c r="Q52" s="136">
        <v>26.15</v>
      </c>
      <c r="R52" s="139">
        <v>10</v>
      </c>
      <c r="S52" s="138">
        <v>50</v>
      </c>
      <c r="U52" s="136">
        <v>4.01</v>
      </c>
      <c r="V52" s="139">
        <v>3</v>
      </c>
      <c r="W52" s="138">
        <v>1</v>
      </c>
      <c r="Y52" s="136">
        <v>3.16</v>
      </c>
      <c r="Z52" s="139">
        <v>15</v>
      </c>
      <c r="AA52" s="138">
        <v>95</v>
      </c>
      <c r="AC52" s="136">
        <v>4.0199999999999996</v>
      </c>
      <c r="AD52" s="139">
        <v>5</v>
      </c>
      <c r="AE52" s="138">
        <v>5</v>
      </c>
      <c r="AG52" s="136">
        <v>3.25</v>
      </c>
      <c r="AH52" s="137">
        <v>17</v>
      </c>
      <c r="AI52" s="138">
        <v>99</v>
      </c>
      <c r="AK52" s="136">
        <v>4.03</v>
      </c>
      <c r="AL52" s="139">
        <v>6</v>
      </c>
      <c r="AM52" s="138">
        <v>9</v>
      </c>
      <c r="AO52" s="136">
        <v>26.15</v>
      </c>
      <c r="AP52" s="139">
        <v>10</v>
      </c>
      <c r="AQ52" s="138">
        <v>50</v>
      </c>
      <c r="AS52" s="136">
        <v>3.2</v>
      </c>
      <c r="AT52" s="139">
        <v>16</v>
      </c>
      <c r="AU52" s="138">
        <v>98</v>
      </c>
      <c r="AW52" s="136">
        <v>26.12</v>
      </c>
      <c r="AX52" s="139">
        <v>10</v>
      </c>
      <c r="AY52" s="138">
        <v>50</v>
      </c>
      <c r="BA52" s="136">
        <v>4.08</v>
      </c>
      <c r="BB52" s="139">
        <v>12</v>
      </c>
      <c r="BC52" s="138">
        <v>75</v>
      </c>
    </row>
    <row r="53" spans="5:55" x14ac:dyDescent="0.3">
      <c r="E53" s="152">
        <v>4.0499999999999989</v>
      </c>
      <c r="F53" s="153">
        <v>10</v>
      </c>
      <c r="G53" s="155" t="s">
        <v>866</v>
      </c>
      <c r="I53" s="136">
        <v>26.12</v>
      </c>
      <c r="J53" s="139">
        <v>14</v>
      </c>
      <c r="K53" s="138">
        <v>91</v>
      </c>
      <c r="M53" s="136">
        <v>3.21</v>
      </c>
      <c r="N53" s="139">
        <v>17</v>
      </c>
      <c r="O53" s="138">
        <v>99</v>
      </c>
      <c r="Q53" s="136">
        <v>26.17</v>
      </c>
      <c r="R53" s="139">
        <v>11</v>
      </c>
      <c r="S53" s="138">
        <v>63</v>
      </c>
      <c r="U53" s="136">
        <v>4.0199999999999996</v>
      </c>
      <c r="V53" s="139">
        <v>4</v>
      </c>
      <c r="W53" s="138">
        <v>2</v>
      </c>
      <c r="Y53" s="136">
        <v>3.17</v>
      </c>
      <c r="Z53" s="139">
        <v>16</v>
      </c>
      <c r="AA53" s="138">
        <v>98</v>
      </c>
      <c r="AC53" s="136">
        <v>4.03</v>
      </c>
      <c r="AD53" s="139">
        <v>6</v>
      </c>
      <c r="AE53" s="138">
        <v>9</v>
      </c>
      <c r="AG53" s="136">
        <v>3.27</v>
      </c>
      <c r="AH53" s="137">
        <v>18</v>
      </c>
      <c r="AI53" s="138" t="s">
        <v>884</v>
      </c>
      <c r="AK53" s="136">
        <v>4.04</v>
      </c>
      <c r="AL53" s="139">
        <v>7</v>
      </c>
      <c r="AM53" s="138">
        <v>16</v>
      </c>
      <c r="AO53" s="136">
        <v>26.16</v>
      </c>
      <c r="AP53" s="139">
        <v>11</v>
      </c>
      <c r="AQ53" s="138">
        <v>63</v>
      </c>
      <c r="AS53" s="136">
        <v>3.24</v>
      </c>
      <c r="AT53" s="139">
        <v>17</v>
      </c>
      <c r="AU53" s="138">
        <v>99</v>
      </c>
      <c r="AW53" s="136">
        <v>26.14</v>
      </c>
      <c r="AX53" s="139">
        <v>11</v>
      </c>
      <c r="AY53" s="138">
        <v>63</v>
      </c>
      <c r="BA53" s="136">
        <v>4.09</v>
      </c>
      <c r="BB53" s="139">
        <v>13</v>
      </c>
      <c r="BC53" s="138">
        <v>85</v>
      </c>
    </row>
    <row r="54" spans="5:55" x14ac:dyDescent="0.3">
      <c r="E54" s="152">
        <v>4.0599999999999987</v>
      </c>
      <c r="F54" s="153">
        <v>11</v>
      </c>
      <c r="G54" s="155" t="s">
        <v>867</v>
      </c>
      <c r="I54" s="136">
        <v>26.14</v>
      </c>
      <c r="J54" s="139">
        <v>15</v>
      </c>
      <c r="K54" s="138">
        <v>95</v>
      </c>
      <c r="M54" s="136">
        <v>3.23</v>
      </c>
      <c r="N54" s="139">
        <v>18</v>
      </c>
      <c r="O54" s="138" t="s">
        <v>884</v>
      </c>
      <c r="Q54" s="136">
        <v>26.2</v>
      </c>
      <c r="R54" s="139">
        <v>12</v>
      </c>
      <c r="S54" s="138">
        <v>75</v>
      </c>
      <c r="U54" s="136">
        <v>4.03</v>
      </c>
      <c r="V54" s="139">
        <v>5</v>
      </c>
      <c r="W54" s="138">
        <v>5</v>
      </c>
      <c r="Y54" s="136">
        <v>3.18</v>
      </c>
      <c r="Z54" s="139">
        <v>17</v>
      </c>
      <c r="AA54" s="138">
        <v>99</v>
      </c>
      <c r="AC54" s="136">
        <v>4.04</v>
      </c>
      <c r="AD54" s="139">
        <v>7</v>
      </c>
      <c r="AE54" s="138">
        <v>16</v>
      </c>
      <c r="AG54" s="136">
        <v>3.31</v>
      </c>
      <c r="AH54" s="137">
        <v>19</v>
      </c>
      <c r="AI54" s="138" t="s">
        <v>884</v>
      </c>
      <c r="AK54" s="136">
        <v>4.05</v>
      </c>
      <c r="AL54" s="139">
        <v>8</v>
      </c>
      <c r="AM54" s="138">
        <v>25</v>
      </c>
      <c r="AO54" s="136">
        <v>26.17</v>
      </c>
      <c r="AP54" s="139">
        <v>12</v>
      </c>
      <c r="AQ54" s="138">
        <v>75</v>
      </c>
      <c r="AS54" s="136">
        <v>3.26</v>
      </c>
      <c r="AT54" s="139">
        <v>18</v>
      </c>
      <c r="AU54" s="138" t="s">
        <v>884</v>
      </c>
      <c r="AW54" s="136">
        <v>26.15</v>
      </c>
      <c r="AX54" s="139">
        <v>12</v>
      </c>
      <c r="AY54" s="138">
        <v>75</v>
      </c>
      <c r="BA54" s="136">
        <v>4.0999999999999996</v>
      </c>
      <c r="BB54" s="139">
        <v>14</v>
      </c>
      <c r="BC54" s="138">
        <v>91</v>
      </c>
    </row>
    <row r="55" spans="5:55" x14ac:dyDescent="0.3">
      <c r="E55" s="152">
        <v>4.0699999999999985</v>
      </c>
      <c r="F55" s="153">
        <v>12</v>
      </c>
      <c r="G55" s="155" t="s">
        <v>868</v>
      </c>
      <c r="I55" s="136">
        <v>26.15</v>
      </c>
      <c r="J55" s="139">
        <v>16</v>
      </c>
      <c r="K55" s="138">
        <v>98</v>
      </c>
      <c r="M55" s="136">
        <v>3.26</v>
      </c>
      <c r="N55" s="139">
        <v>19</v>
      </c>
      <c r="O55" s="138" t="s">
        <v>884</v>
      </c>
      <c r="Q55" s="136">
        <v>26.22</v>
      </c>
      <c r="R55" s="139">
        <v>13</v>
      </c>
      <c r="S55" s="138">
        <v>85</v>
      </c>
      <c r="U55" s="136">
        <v>4.04</v>
      </c>
      <c r="V55" s="139">
        <v>6</v>
      </c>
      <c r="W55" s="138">
        <v>9</v>
      </c>
      <c r="Y55" s="136">
        <v>3.19</v>
      </c>
      <c r="Z55" s="139">
        <v>18</v>
      </c>
      <c r="AA55" s="138" t="s">
        <v>884</v>
      </c>
      <c r="AC55" s="136">
        <v>4.05</v>
      </c>
      <c r="AD55" s="139">
        <v>8</v>
      </c>
      <c r="AE55" s="138">
        <v>25</v>
      </c>
      <c r="AG55" s="136">
        <v>4</v>
      </c>
      <c r="AH55" s="137">
        <v>1</v>
      </c>
      <c r="AI55" s="138" t="s">
        <v>883</v>
      </c>
      <c r="AK55" s="136">
        <v>4.0599999999999996</v>
      </c>
      <c r="AL55" s="139">
        <v>9</v>
      </c>
      <c r="AM55" s="138">
        <v>37</v>
      </c>
      <c r="AO55" s="136">
        <v>26.18</v>
      </c>
      <c r="AP55" s="139">
        <v>13</v>
      </c>
      <c r="AQ55" s="138">
        <v>85</v>
      </c>
      <c r="AS55" s="136">
        <v>3.29</v>
      </c>
      <c r="AT55" s="139">
        <v>19</v>
      </c>
      <c r="AU55" s="138" t="s">
        <v>884</v>
      </c>
      <c r="AW55" s="136">
        <v>26.17</v>
      </c>
      <c r="AX55" s="139">
        <v>13</v>
      </c>
      <c r="AY55" s="138">
        <v>85</v>
      </c>
      <c r="BA55" s="136">
        <v>4.1100000000000003</v>
      </c>
      <c r="BB55" s="139">
        <v>15</v>
      </c>
      <c r="BC55" s="138">
        <v>95</v>
      </c>
    </row>
    <row r="56" spans="5:55" x14ac:dyDescent="0.3">
      <c r="E56" s="152">
        <v>4.0799999999999983</v>
      </c>
      <c r="F56" s="153">
        <v>13</v>
      </c>
      <c r="G56" s="155" t="s">
        <v>869</v>
      </c>
      <c r="I56" s="136">
        <v>26.16</v>
      </c>
      <c r="J56" s="139">
        <v>17</v>
      </c>
      <c r="K56" s="138">
        <v>99</v>
      </c>
      <c r="M56" s="136">
        <v>4</v>
      </c>
      <c r="N56" s="139">
        <v>1</v>
      </c>
      <c r="O56" s="138" t="s">
        <v>883</v>
      </c>
      <c r="Q56" s="136">
        <v>26.24</v>
      </c>
      <c r="R56" s="139">
        <v>14</v>
      </c>
      <c r="S56" s="138">
        <v>91</v>
      </c>
      <c r="U56" s="136">
        <v>4.05</v>
      </c>
      <c r="V56" s="139">
        <v>7</v>
      </c>
      <c r="W56" s="138">
        <v>16</v>
      </c>
      <c r="Y56" s="136">
        <v>3.22</v>
      </c>
      <c r="Z56" s="139">
        <v>19</v>
      </c>
      <c r="AA56" s="138" t="s">
        <v>884</v>
      </c>
      <c r="AC56" s="136">
        <v>4.0599999999999996</v>
      </c>
      <c r="AD56" s="139">
        <v>9</v>
      </c>
      <c r="AE56" s="138">
        <v>37</v>
      </c>
      <c r="AG56" s="136">
        <v>4.01</v>
      </c>
      <c r="AH56" s="137">
        <v>2</v>
      </c>
      <c r="AI56" s="138" t="s">
        <v>883</v>
      </c>
      <c r="AK56" s="136">
        <v>4.07</v>
      </c>
      <c r="AL56" s="139">
        <v>10</v>
      </c>
      <c r="AM56" s="138">
        <v>50</v>
      </c>
      <c r="AO56" s="136">
        <v>26.19</v>
      </c>
      <c r="AP56" s="139">
        <v>14</v>
      </c>
      <c r="AQ56" s="138">
        <v>91</v>
      </c>
      <c r="AS56" s="136">
        <v>4</v>
      </c>
      <c r="AT56" s="139">
        <v>1</v>
      </c>
      <c r="AU56" s="138" t="s">
        <v>883</v>
      </c>
      <c r="AW56" s="136">
        <v>26.18</v>
      </c>
      <c r="AX56" s="139">
        <v>14</v>
      </c>
      <c r="AY56" s="138">
        <v>91</v>
      </c>
      <c r="BA56" s="136">
        <v>4.12</v>
      </c>
      <c r="BB56" s="139">
        <v>16</v>
      </c>
      <c r="BC56" s="138">
        <v>98</v>
      </c>
    </row>
    <row r="57" spans="5:55" x14ac:dyDescent="0.3">
      <c r="E57" s="152">
        <v>4.0899999999999981</v>
      </c>
      <c r="F57" s="153">
        <v>14</v>
      </c>
      <c r="G57" s="155" t="s">
        <v>870</v>
      </c>
      <c r="I57" s="136">
        <v>26.18</v>
      </c>
      <c r="J57" s="139">
        <v>18</v>
      </c>
      <c r="K57" s="138" t="s">
        <v>884</v>
      </c>
      <c r="M57" s="136">
        <v>4.01</v>
      </c>
      <c r="N57" s="139">
        <v>2</v>
      </c>
      <c r="O57" s="138" t="s">
        <v>883</v>
      </c>
      <c r="Q57" s="136">
        <v>26.27</v>
      </c>
      <c r="R57" s="139">
        <v>15</v>
      </c>
      <c r="S57" s="138">
        <v>95</v>
      </c>
      <c r="U57" s="136">
        <v>4.0599999999999996</v>
      </c>
      <c r="V57" s="139">
        <v>8</v>
      </c>
      <c r="W57" s="138">
        <v>25</v>
      </c>
      <c r="Y57" s="136">
        <v>4</v>
      </c>
      <c r="Z57" s="139">
        <v>1</v>
      </c>
      <c r="AA57" s="138" t="s">
        <v>883</v>
      </c>
      <c r="AC57" s="136">
        <v>4.07</v>
      </c>
      <c r="AD57" s="139">
        <v>10</v>
      </c>
      <c r="AE57" s="138">
        <v>50</v>
      </c>
      <c r="AG57" s="136">
        <v>4.0199999999999996</v>
      </c>
      <c r="AH57" s="137">
        <v>3</v>
      </c>
      <c r="AI57" s="138">
        <v>1</v>
      </c>
      <c r="AK57" s="136">
        <v>4.08</v>
      </c>
      <c r="AL57" s="139">
        <v>11</v>
      </c>
      <c r="AM57" s="138">
        <v>63</v>
      </c>
      <c r="AO57" s="136">
        <v>26.2</v>
      </c>
      <c r="AP57" s="139">
        <v>15</v>
      </c>
      <c r="AQ57" s="138">
        <v>95</v>
      </c>
      <c r="AS57" s="136">
        <v>4.01</v>
      </c>
      <c r="AT57" s="139">
        <v>2</v>
      </c>
      <c r="AU57" s="138" t="s">
        <v>883</v>
      </c>
      <c r="AW57" s="136">
        <v>26.2</v>
      </c>
      <c r="AX57" s="139">
        <v>15</v>
      </c>
      <c r="AY57" s="138">
        <v>95</v>
      </c>
      <c r="BA57" s="136">
        <v>4.13</v>
      </c>
      <c r="BB57" s="139">
        <v>17</v>
      </c>
      <c r="BC57" s="138">
        <v>99</v>
      </c>
    </row>
    <row r="58" spans="5:55" x14ac:dyDescent="0.3">
      <c r="E58" s="152">
        <v>4.0999999999999979</v>
      </c>
      <c r="F58" s="153">
        <v>15</v>
      </c>
      <c r="G58" s="155" t="s">
        <v>871</v>
      </c>
      <c r="I58" s="136">
        <v>26.19</v>
      </c>
      <c r="J58" s="139">
        <v>19</v>
      </c>
      <c r="K58" s="138" t="s">
        <v>884</v>
      </c>
      <c r="M58" s="136">
        <v>4.0199999999999996</v>
      </c>
      <c r="N58" s="139">
        <v>3</v>
      </c>
      <c r="O58" s="138">
        <v>1</v>
      </c>
      <c r="Q58" s="136">
        <v>26.29</v>
      </c>
      <c r="R58" s="139">
        <v>16</v>
      </c>
      <c r="S58" s="138">
        <v>98</v>
      </c>
      <c r="U58" s="136">
        <v>4.07</v>
      </c>
      <c r="V58" s="139">
        <v>9</v>
      </c>
      <c r="W58" s="138">
        <v>37</v>
      </c>
      <c r="Y58" s="136">
        <v>4.01</v>
      </c>
      <c r="Z58" s="139">
        <v>2</v>
      </c>
      <c r="AA58" s="138" t="s">
        <v>883</v>
      </c>
      <c r="AC58" s="136">
        <v>4.08</v>
      </c>
      <c r="AD58" s="139">
        <v>11</v>
      </c>
      <c r="AE58" s="138">
        <v>63</v>
      </c>
      <c r="AG58" s="136">
        <v>4.03</v>
      </c>
      <c r="AH58" s="137">
        <v>4</v>
      </c>
      <c r="AI58" s="138">
        <v>2</v>
      </c>
      <c r="AK58" s="136">
        <v>4.09</v>
      </c>
      <c r="AL58" s="139">
        <v>12</v>
      </c>
      <c r="AM58" s="138">
        <v>75</v>
      </c>
      <c r="AO58" s="136">
        <v>26.21</v>
      </c>
      <c r="AP58" s="139">
        <v>16</v>
      </c>
      <c r="AQ58" s="138">
        <v>98</v>
      </c>
      <c r="AS58" s="136">
        <v>4.0199999999999996</v>
      </c>
      <c r="AT58" s="139">
        <v>3</v>
      </c>
      <c r="AU58" s="138">
        <v>1</v>
      </c>
      <c r="AW58" s="136">
        <v>26.21</v>
      </c>
      <c r="AX58" s="139">
        <v>16</v>
      </c>
      <c r="AY58" s="138">
        <v>98</v>
      </c>
      <c r="BA58" s="136">
        <v>4.1399999999999997</v>
      </c>
      <c r="BB58" s="139">
        <v>18</v>
      </c>
      <c r="BC58" s="138" t="s">
        <v>884</v>
      </c>
    </row>
    <row r="59" spans="5:55" x14ac:dyDescent="0.3">
      <c r="E59" s="152">
        <v>4.1099999999999977</v>
      </c>
      <c r="F59" s="153">
        <v>16</v>
      </c>
      <c r="G59" s="155" t="s">
        <v>872</v>
      </c>
      <c r="I59" s="136">
        <v>27</v>
      </c>
      <c r="J59" s="139">
        <v>1</v>
      </c>
      <c r="K59" s="138" t="s">
        <v>883</v>
      </c>
      <c r="M59" s="136">
        <v>4.03</v>
      </c>
      <c r="N59" s="139">
        <v>4</v>
      </c>
      <c r="O59" s="138">
        <v>2</v>
      </c>
      <c r="Q59" s="136">
        <v>26.31</v>
      </c>
      <c r="R59" s="139">
        <v>17</v>
      </c>
      <c r="S59" s="138">
        <v>99</v>
      </c>
      <c r="U59" s="136">
        <v>4.08</v>
      </c>
      <c r="V59" s="139">
        <v>10</v>
      </c>
      <c r="W59" s="138">
        <v>50</v>
      </c>
      <c r="Y59" s="136">
        <v>4.0199999999999996</v>
      </c>
      <c r="Z59" s="139">
        <v>3</v>
      </c>
      <c r="AA59" s="138">
        <v>1</v>
      </c>
      <c r="AC59" s="136">
        <v>4.09</v>
      </c>
      <c r="AD59" s="139">
        <v>12</v>
      </c>
      <c r="AE59" s="138">
        <v>75</v>
      </c>
      <c r="AG59" s="136">
        <v>4.04</v>
      </c>
      <c r="AH59" s="137">
        <v>5</v>
      </c>
      <c r="AI59" s="138">
        <v>5</v>
      </c>
      <c r="AK59" s="136">
        <v>4.0999999999999996</v>
      </c>
      <c r="AL59" s="139">
        <v>13</v>
      </c>
      <c r="AM59" s="138">
        <v>85</v>
      </c>
      <c r="AO59" s="136">
        <v>26.23</v>
      </c>
      <c r="AP59" s="139">
        <v>17</v>
      </c>
      <c r="AQ59" s="138">
        <v>99</v>
      </c>
      <c r="AS59" s="136">
        <v>4.03</v>
      </c>
      <c r="AT59" s="139">
        <v>4</v>
      </c>
      <c r="AU59" s="138">
        <v>2</v>
      </c>
      <c r="AW59" s="136">
        <v>26.23</v>
      </c>
      <c r="AX59" s="139">
        <v>17</v>
      </c>
      <c r="AY59" s="138">
        <v>99</v>
      </c>
      <c r="BA59" s="136">
        <v>4.1500000000000004</v>
      </c>
      <c r="BB59" s="139">
        <v>19</v>
      </c>
      <c r="BC59" s="138" t="s">
        <v>884</v>
      </c>
    </row>
    <row r="60" spans="5:55" x14ac:dyDescent="0.3">
      <c r="E60" s="152">
        <v>4.1199999999999974</v>
      </c>
      <c r="F60" s="153">
        <v>17</v>
      </c>
      <c r="G60" s="155" t="s">
        <v>873</v>
      </c>
      <c r="I60" s="136">
        <v>27.01</v>
      </c>
      <c r="J60" s="139">
        <v>3</v>
      </c>
      <c r="K60" s="138">
        <v>1</v>
      </c>
      <c r="M60" s="136">
        <v>4.04</v>
      </c>
      <c r="N60" s="139">
        <v>5</v>
      </c>
      <c r="O60" s="138">
        <v>5</v>
      </c>
      <c r="Q60" s="136">
        <v>26.34</v>
      </c>
      <c r="R60" s="139">
        <v>18</v>
      </c>
      <c r="S60" s="138" t="s">
        <v>884</v>
      </c>
      <c r="U60" s="136">
        <v>4.09</v>
      </c>
      <c r="V60" s="139">
        <v>11</v>
      </c>
      <c r="W60" s="138">
        <v>63</v>
      </c>
      <c r="Y60" s="136">
        <v>4.03</v>
      </c>
      <c r="Z60" s="139">
        <v>4</v>
      </c>
      <c r="AA60" s="138">
        <v>2</v>
      </c>
      <c r="AC60" s="136">
        <v>4.0999999999999996</v>
      </c>
      <c r="AD60" s="139">
        <v>13</v>
      </c>
      <c r="AE60" s="138">
        <v>85</v>
      </c>
      <c r="AG60" s="136">
        <v>4.05</v>
      </c>
      <c r="AH60" s="137">
        <v>6</v>
      </c>
      <c r="AI60" s="138">
        <v>9</v>
      </c>
      <c r="AK60" s="136">
        <v>4.12</v>
      </c>
      <c r="AL60" s="139">
        <v>14</v>
      </c>
      <c r="AM60" s="138">
        <v>91</v>
      </c>
      <c r="AO60" s="136">
        <v>26.24</v>
      </c>
      <c r="AP60" s="139">
        <v>18</v>
      </c>
      <c r="AQ60" s="138" t="s">
        <v>884</v>
      </c>
      <c r="AS60" s="136">
        <v>4.04</v>
      </c>
      <c r="AT60" s="139">
        <v>5</v>
      </c>
      <c r="AU60" s="138">
        <v>5</v>
      </c>
      <c r="AW60" s="136">
        <v>26.24</v>
      </c>
      <c r="AX60" s="139">
        <v>18</v>
      </c>
      <c r="AY60" s="138" t="s">
        <v>884</v>
      </c>
      <c r="BA60" s="136">
        <v>5</v>
      </c>
      <c r="BB60" s="139">
        <v>1</v>
      </c>
      <c r="BC60" s="138" t="s">
        <v>883</v>
      </c>
    </row>
    <row r="61" spans="5:55" x14ac:dyDescent="0.3">
      <c r="E61" s="152">
        <v>4.1299999999999972</v>
      </c>
      <c r="F61" s="153">
        <v>18</v>
      </c>
      <c r="G61" s="155" t="s">
        <v>874</v>
      </c>
      <c r="I61" s="136">
        <v>27.02</v>
      </c>
      <c r="J61" s="139">
        <v>4</v>
      </c>
      <c r="K61" s="138">
        <v>2</v>
      </c>
      <c r="M61" s="136">
        <v>4.05</v>
      </c>
      <c r="N61" s="139">
        <v>6</v>
      </c>
      <c r="O61" s="138">
        <v>9</v>
      </c>
      <c r="Q61" s="136">
        <v>26.36</v>
      </c>
      <c r="R61" s="139">
        <v>19</v>
      </c>
      <c r="S61" s="138" t="s">
        <v>884</v>
      </c>
      <c r="U61" s="136">
        <v>4.0999999999999996</v>
      </c>
      <c r="V61" s="139">
        <v>12</v>
      </c>
      <c r="W61" s="138">
        <v>75</v>
      </c>
      <c r="Y61" s="136">
        <v>4.04</v>
      </c>
      <c r="Z61" s="139">
        <v>5</v>
      </c>
      <c r="AA61" s="138">
        <v>5</v>
      </c>
      <c r="AC61" s="136">
        <v>4.1100000000000003</v>
      </c>
      <c r="AD61" s="139">
        <v>14</v>
      </c>
      <c r="AE61" s="138">
        <v>91</v>
      </c>
      <c r="AG61" s="136">
        <v>4.07</v>
      </c>
      <c r="AH61" s="137">
        <v>7</v>
      </c>
      <c r="AI61" s="138">
        <v>16</v>
      </c>
      <c r="AK61" s="136">
        <v>4.13</v>
      </c>
      <c r="AL61" s="139">
        <v>15</v>
      </c>
      <c r="AM61" s="138">
        <v>95</v>
      </c>
      <c r="AO61" s="136">
        <v>26.25</v>
      </c>
      <c r="AP61" s="139">
        <v>19</v>
      </c>
      <c r="AQ61" s="138" t="s">
        <v>884</v>
      </c>
      <c r="AS61" s="136">
        <v>4.0599999999999996</v>
      </c>
      <c r="AT61" s="139">
        <v>6</v>
      </c>
      <c r="AU61" s="138">
        <v>9</v>
      </c>
      <c r="AW61" s="136">
        <v>26.25</v>
      </c>
      <c r="AX61" s="139">
        <v>19</v>
      </c>
      <c r="AY61" s="138" t="s">
        <v>884</v>
      </c>
      <c r="BA61" s="136">
        <v>5.01</v>
      </c>
      <c r="BB61" s="139">
        <v>3</v>
      </c>
      <c r="BC61" s="138">
        <v>1</v>
      </c>
    </row>
    <row r="62" spans="5:55" ht="19.5" thickBot="1" x14ac:dyDescent="0.35">
      <c r="E62" s="157">
        <v>4.16</v>
      </c>
      <c r="F62" s="158">
        <v>19</v>
      </c>
      <c r="G62" s="159" t="s">
        <v>874</v>
      </c>
      <c r="I62" s="136">
        <v>27.03</v>
      </c>
      <c r="J62" s="139">
        <v>5</v>
      </c>
      <c r="K62" s="138">
        <v>5</v>
      </c>
      <c r="M62" s="136">
        <v>4.07</v>
      </c>
      <c r="N62" s="139">
        <v>7</v>
      </c>
      <c r="O62" s="138">
        <v>16</v>
      </c>
      <c r="Q62" s="136">
        <v>27</v>
      </c>
      <c r="R62" s="139">
        <v>1</v>
      </c>
      <c r="S62" s="138" t="s">
        <v>883</v>
      </c>
      <c r="U62" s="136">
        <v>4.1100000000000003</v>
      </c>
      <c r="V62" s="139">
        <v>13</v>
      </c>
      <c r="W62" s="138">
        <v>85</v>
      </c>
      <c r="Y62" s="136">
        <v>4.0599999999999996</v>
      </c>
      <c r="Z62" s="139">
        <v>6</v>
      </c>
      <c r="AA62" s="138">
        <v>9</v>
      </c>
      <c r="AC62" s="136">
        <v>4.12</v>
      </c>
      <c r="AD62" s="139">
        <v>15</v>
      </c>
      <c r="AE62" s="138">
        <v>95</v>
      </c>
      <c r="AG62" s="136">
        <v>4.09</v>
      </c>
      <c r="AH62" s="137">
        <v>8</v>
      </c>
      <c r="AI62" s="138">
        <v>25</v>
      </c>
      <c r="AK62" s="136">
        <v>4.1399999999999997</v>
      </c>
      <c r="AL62" s="139">
        <v>16</v>
      </c>
      <c r="AM62" s="138">
        <v>98</v>
      </c>
      <c r="AO62" s="136">
        <v>27</v>
      </c>
      <c r="AP62" s="139">
        <v>1</v>
      </c>
      <c r="AQ62" s="138" t="s">
        <v>883</v>
      </c>
      <c r="AS62" s="136">
        <v>4.08</v>
      </c>
      <c r="AT62" s="139">
        <v>7</v>
      </c>
      <c r="AU62" s="138">
        <v>16</v>
      </c>
      <c r="AW62" s="136">
        <v>27</v>
      </c>
      <c r="AX62" s="139">
        <v>1</v>
      </c>
      <c r="AY62" s="138" t="s">
        <v>883</v>
      </c>
      <c r="BA62" s="136">
        <v>5.0199999999999996</v>
      </c>
      <c r="BB62" s="139">
        <v>4</v>
      </c>
      <c r="BC62" s="138">
        <v>2</v>
      </c>
    </row>
    <row r="63" spans="5:55" x14ac:dyDescent="0.3">
      <c r="E63" s="160">
        <v>5</v>
      </c>
      <c r="F63" s="161">
        <v>1</v>
      </c>
      <c r="G63" s="162" t="s">
        <v>862</v>
      </c>
      <c r="I63" s="136">
        <v>27.04</v>
      </c>
      <c r="J63" s="139">
        <v>6</v>
      </c>
      <c r="K63" s="138">
        <v>9</v>
      </c>
      <c r="M63" s="136">
        <v>4.08</v>
      </c>
      <c r="N63" s="139">
        <v>8</v>
      </c>
      <c r="O63" s="138">
        <v>25</v>
      </c>
      <c r="Q63" s="136">
        <v>27.01</v>
      </c>
      <c r="R63" s="139">
        <v>2</v>
      </c>
      <c r="S63" s="138" t="s">
        <v>883</v>
      </c>
      <c r="U63" s="136">
        <v>4.12</v>
      </c>
      <c r="V63" s="139">
        <v>14</v>
      </c>
      <c r="W63" s="138">
        <v>91</v>
      </c>
      <c r="Y63" s="136">
        <v>4.07</v>
      </c>
      <c r="Z63" s="139">
        <v>7</v>
      </c>
      <c r="AA63" s="138">
        <v>16</v>
      </c>
      <c r="AC63" s="136">
        <v>4.13</v>
      </c>
      <c r="AD63" s="139">
        <v>16</v>
      </c>
      <c r="AE63" s="138">
        <v>98</v>
      </c>
      <c r="AG63" s="136">
        <v>4.1100000000000003</v>
      </c>
      <c r="AH63" s="137">
        <v>9</v>
      </c>
      <c r="AI63" s="138">
        <v>37</v>
      </c>
      <c r="AK63" s="136">
        <v>4.1500000000000004</v>
      </c>
      <c r="AL63" s="139">
        <v>17</v>
      </c>
      <c r="AM63" s="138">
        <v>99</v>
      </c>
      <c r="AO63" s="136">
        <v>27.06</v>
      </c>
      <c r="AP63" s="139">
        <v>2</v>
      </c>
      <c r="AQ63" s="138" t="s">
        <v>883</v>
      </c>
      <c r="AS63" s="136">
        <v>4.0999999999999996</v>
      </c>
      <c r="AT63" s="139">
        <v>8</v>
      </c>
      <c r="AU63" s="138">
        <v>25</v>
      </c>
      <c r="AW63" s="136">
        <v>27.02</v>
      </c>
      <c r="AX63" s="139">
        <v>2</v>
      </c>
      <c r="AY63" s="138" t="s">
        <v>883</v>
      </c>
      <c r="BA63" s="136">
        <v>5.03</v>
      </c>
      <c r="BB63" s="139">
        <v>6</v>
      </c>
      <c r="BC63" s="138">
        <v>9</v>
      </c>
    </row>
    <row r="64" spans="5:55" x14ac:dyDescent="0.3">
      <c r="E64" s="152">
        <v>5.01</v>
      </c>
      <c r="F64" s="153">
        <v>3</v>
      </c>
      <c r="G64" s="155" t="s">
        <v>876</v>
      </c>
      <c r="I64" s="136">
        <v>27.05</v>
      </c>
      <c r="J64" s="139">
        <v>7</v>
      </c>
      <c r="K64" s="138">
        <v>16</v>
      </c>
      <c r="M64" s="136">
        <v>4.0999999999999996</v>
      </c>
      <c r="N64" s="139">
        <v>9</v>
      </c>
      <c r="O64" s="138">
        <v>37</v>
      </c>
      <c r="Q64" s="136">
        <v>27.02</v>
      </c>
      <c r="R64" s="139">
        <v>3</v>
      </c>
      <c r="S64" s="138">
        <v>1</v>
      </c>
      <c r="U64" s="136">
        <v>4.1399999999999997</v>
      </c>
      <c r="V64" s="139">
        <v>15</v>
      </c>
      <c r="W64" s="138">
        <v>95</v>
      </c>
      <c r="Y64" s="136">
        <v>4.08</v>
      </c>
      <c r="Z64" s="139">
        <v>8</v>
      </c>
      <c r="AA64" s="138">
        <v>25</v>
      </c>
      <c r="AC64" s="136">
        <v>4.1399999999999997</v>
      </c>
      <c r="AD64" s="139">
        <v>17</v>
      </c>
      <c r="AE64" s="138">
        <v>99</v>
      </c>
      <c r="AG64" s="136">
        <v>4.13</v>
      </c>
      <c r="AH64" s="137">
        <v>10</v>
      </c>
      <c r="AI64" s="138">
        <v>50</v>
      </c>
      <c r="AK64" s="136">
        <v>4.17</v>
      </c>
      <c r="AL64" s="139">
        <v>18</v>
      </c>
      <c r="AM64" s="138" t="s">
        <v>884</v>
      </c>
      <c r="AO64" s="136">
        <v>27.08</v>
      </c>
      <c r="AP64" s="139">
        <v>3</v>
      </c>
      <c r="AQ64" s="138">
        <v>1</v>
      </c>
      <c r="AS64" s="136">
        <v>4.1100000000000003</v>
      </c>
      <c r="AT64" s="139">
        <v>9</v>
      </c>
      <c r="AU64" s="138">
        <v>37</v>
      </c>
      <c r="AW64" s="136">
        <v>27.03</v>
      </c>
      <c r="AX64" s="139">
        <v>3</v>
      </c>
      <c r="AY64" s="138">
        <v>1</v>
      </c>
      <c r="BA64" s="136">
        <v>5.04</v>
      </c>
      <c r="BB64" s="139">
        <v>7</v>
      </c>
      <c r="BC64" s="138">
        <v>16</v>
      </c>
    </row>
    <row r="65" spans="5:55" x14ac:dyDescent="0.3">
      <c r="E65" s="152">
        <v>5.0199999999999996</v>
      </c>
      <c r="F65" s="153">
        <v>4</v>
      </c>
      <c r="G65" s="155" t="s">
        <v>863</v>
      </c>
      <c r="I65" s="136">
        <v>27.06</v>
      </c>
      <c r="J65" s="139">
        <v>8</v>
      </c>
      <c r="K65" s="138">
        <v>25</v>
      </c>
      <c r="M65" s="136">
        <v>4.1100000000000003</v>
      </c>
      <c r="N65" s="139">
        <v>10</v>
      </c>
      <c r="O65" s="138">
        <v>50</v>
      </c>
      <c r="Q65" s="136">
        <v>27.04</v>
      </c>
      <c r="R65" s="139">
        <v>4</v>
      </c>
      <c r="S65" s="138">
        <v>2</v>
      </c>
      <c r="U65" s="136">
        <v>4.1500000000000004</v>
      </c>
      <c r="V65" s="139">
        <v>16</v>
      </c>
      <c r="W65" s="138">
        <v>98</v>
      </c>
      <c r="Y65" s="136">
        <v>4.09</v>
      </c>
      <c r="Z65" s="139">
        <v>9</v>
      </c>
      <c r="AA65" s="138">
        <v>37</v>
      </c>
      <c r="AC65" s="136">
        <v>4.1500000000000004</v>
      </c>
      <c r="AD65" s="139">
        <v>18</v>
      </c>
      <c r="AE65" s="138" t="s">
        <v>884</v>
      </c>
      <c r="AG65" s="136">
        <v>4.1500000000000004</v>
      </c>
      <c r="AH65" s="137">
        <v>11</v>
      </c>
      <c r="AI65" s="138">
        <v>63</v>
      </c>
      <c r="AK65" s="136">
        <v>4.2</v>
      </c>
      <c r="AL65" s="139">
        <v>19</v>
      </c>
      <c r="AM65" s="138" t="s">
        <v>884</v>
      </c>
      <c r="AO65" s="136">
        <v>27.09</v>
      </c>
      <c r="AP65" s="139">
        <v>4</v>
      </c>
      <c r="AQ65" s="138">
        <v>2</v>
      </c>
      <c r="AS65" s="136">
        <v>4.13</v>
      </c>
      <c r="AT65" s="139">
        <v>10</v>
      </c>
      <c r="AU65" s="138">
        <v>50</v>
      </c>
      <c r="AW65" s="136">
        <v>27.05</v>
      </c>
      <c r="AX65" s="139">
        <v>4</v>
      </c>
      <c r="AY65" s="138">
        <v>2</v>
      </c>
      <c r="BA65" s="136">
        <v>5.05</v>
      </c>
      <c r="BB65" s="139">
        <v>8</v>
      </c>
      <c r="BC65" s="138">
        <v>25</v>
      </c>
    </row>
    <row r="66" spans="5:55" x14ac:dyDescent="0.3">
      <c r="E66" s="152">
        <v>5.0299999999999994</v>
      </c>
      <c r="F66" s="153">
        <v>6</v>
      </c>
      <c r="G66" s="155" t="s">
        <v>864</v>
      </c>
      <c r="I66" s="136">
        <v>27.07</v>
      </c>
      <c r="J66" s="139">
        <v>9</v>
      </c>
      <c r="K66" s="138">
        <v>37</v>
      </c>
      <c r="M66" s="136">
        <v>4.13</v>
      </c>
      <c r="N66" s="139">
        <v>11</v>
      </c>
      <c r="O66" s="138">
        <v>63</v>
      </c>
      <c r="Q66" s="136">
        <v>27.06</v>
      </c>
      <c r="R66" s="139">
        <v>5</v>
      </c>
      <c r="S66" s="138">
        <v>5</v>
      </c>
      <c r="U66" s="136">
        <v>4.16</v>
      </c>
      <c r="V66" s="139">
        <v>17</v>
      </c>
      <c r="W66" s="138">
        <v>99</v>
      </c>
      <c r="Y66" s="136">
        <v>4.1100000000000003</v>
      </c>
      <c r="Z66" s="139">
        <v>10</v>
      </c>
      <c r="AA66" s="138">
        <v>50</v>
      </c>
      <c r="AC66" s="136">
        <v>4.17</v>
      </c>
      <c r="AD66" s="139">
        <v>19</v>
      </c>
      <c r="AE66" s="138" t="s">
        <v>884</v>
      </c>
      <c r="AG66" s="136">
        <v>4.17</v>
      </c>
      <c r="AH66" s="137">
        <v>12</v>
      </c>
      <c r="AI66" s="138">
        <v>75</v>
      </c>
      <c r="AK66" s="136">
        <v>5</v>
      </c>
      <c r="AL66" s="139">
        <v>1</v>
      </c>
      <c r="AM66" s="138" t="s">
        <v>883</v>
      </c>
      <c r="AO66" s="136">
        <v>27.1</v>
      </c>
      <c r="AP66" s="139">
        <v>5</v>
      </c>
      <c r="AQ66" s="138">
        <v>5</v>
      </c>
      <c r="AS66" s="136">
        <v>4.1500000000000004</v>
      </c>
      <c r="AT66" s="139">
        <v>11</v>
      </c>
      <c r="AU66" s="138">
        <v>63</v>
      </c>
      <c r="AW66" s="136">
        <v>27.06</v>
      </c>
      <c r="AX66" s="139">
        <v>5</v>
      </c>
      <c r="AY66" s="138">
        <v>5</v>
      </c>
      <c r="BA66" s="136">
        <v>5.0599999999999996</v>
      </c>
      <c r="BB66" s="139">
        <v>9</v>
      </c>
      <c r="BC66" s="138">
        <v>37</v>
      </c>
    </row>
    <row r="67" spans="5:55" x14ac:dyDescent="0.3">
      <c r="E67" s="152">
        <v>5.0399999999999991</v>
      </c>
      <c r="F67" s="153">
        <v>7</v>
      </c>
      <c r="G67" s="155" t="s">
        <v>878</v>
      </c>
      <c r="I67" s="136">
        <v>27.08</v>
      </c>
      <c r="J67" s="139">
        <v>10</v>
      </c>
      <c r="K67" s="138">
        <v>50</v>
      </c>
      <c r="M67" s="136">
        <v>4.1500000000000004</v>
      </c>
      <c r="N67" s="139">
        <v>12</v>
      </c>
      <c r="O67" s="138">
        <v>75</v>
      </c>
      <c r="Q67" s="136">
        <v>27.08</v>
      </c>
      <c r="R67" s="139">
        <v>6</v>
      </c>
      <c r="S67" s="138">
        <v>9</v>
      </c>
      <c r="U67" s="136">
        <v>4.17</v>
      </c>
      <c r="V67" s="139">
        <v>18</v>
      </c>
      <c r="W67" s="138" t="s">
        <v>884</v>
      </c>
      <c r="Y67" s="136">
        <v>4.12</v>
      </c>
      <c r="Z67" s="139">
        <v>11</v>
      </c>
      <c r="AA67" s="138">
        <v>63</v>
      </c>
      <c r="AC67" s="136">
        <v>5</v>
      </c>
      <c r="AD67" s="139">
        <v>1</v>
      </c>
      <c r="AE67" s="138" t="s">
        <v>883</v>
      </c>
      <c r="AG67" s="136">
        <v>4.1900000000000004</v>
      </c>
      <c r="AH67" s="137">
        <v>13</v>
      </c>
      <c r="AI67" s="138">
        <v>85</v>
      </c>
      <c r="AK67" s="136">
        <v>5.01</v>
      </c>
      <c r="AL67" s="139">
        <v>2</v>
      </c>
      <c r="AM67" s="138" t="s">
        <v>883</v>
      </c>
      <c r="AO67" s="136">
        <v>27.11</v>
      </c>
      <c r="AP67" s="139">
        <v>6</v>
      </c>
      <c r="AQ67" s="138">
        <v>9</v>
      </c>
      <c r="AS67" s="136">
        <v>4.17</v>
      </c>
      <c r="AT67" s="139">
        <v>12</v>
      </c>
      <c r="AU67" s="138">
        <v>75</v>
      </c>
      <c r="AW67" s="136">
        <v>27.08</v>
      </c>
      <c r="AX67" s="139">
        <v>6</v>
      </c>
      <c r="AY67" s="138">
        <v>9</v>
      </c>
      <c r="BA67" s="136">
        <v>5.07</v>
      </c>
      <c r="BB67" s="139">
        <v>10</v>
      </c>
      <c r="BC67" s="138">
        <v>50</v>
      </c>
    </row>
    <row r="68" spans="5:55" x14ac:dyDescent="0.3">
      <c r="E68" s="152">
        <v>5.0499999999999989</v>
      </c>
      <c r="F68" s="153">
        <v>8</v>
      </c>
      <c r="G68" s="155" t="s">
        <v>865</v>
      </c>
      <c r="I68" s="136">
        <v>27.1</v>
      </c>
      <c r="J68" s="139">
        <v>11</v>
      </c>
      <c r="K68" s="138">
        <v>63</v>
      </c>
      <c r="M68" s="136">
        <v>4.16</v>
      </c>
      <c r="N68" s="139">
        <v>13</v>
      </c>
      <c r="O68" s="138">
        <v>85</v>
      </c>
      <c r="Q68" s="136">
        <v>27.1</v>
      </c>
      <c r="R68" s="139">
        <v>7</v>
      </c>
      <c r="S68" s="138">
        <v>16</v>
      </c>
      <c r="U68" s="136">
        <v>4.18</v>
      </c>
      <c r="V68" s="139">
        <v>19</v>
      </c>
      <c r="W68" s="138" t="s">
        <v>884</v>
      </c>
      <c r="Y68" s="136">
        <v>4.13</v>
      </c>
      <c r="Z68" s="139">
        <v>12</v>
      </c>
      <c r="AA68" s="138">
        <v>75</v>
      </c>
      <c r="AC68" s="136">
        <v>5.01</v>
      </c>
      <c r="AD68" s="139">
        <v>2</v>
      </c>
      <c r="AE68" s="138" t="s">
        <v>883</v>
      </c>
      <c r="AG68" s="136">
        <v>4.21</v>
      </c>
      <c r="AH68" s="137">
        <v>14</v>
      </c>
      <c r="AI68" s="138">
        <v>91</v>
      </c>
      <c r="AK68" s="136">
        <v>5.0199999999999996</v>
      </c>
      <c r="AL68" s="139">
        <v>3</v>
      </c>
      <c r="AM68" s="138">
        <v>1</v>
      </c>
      <c r="AO68" s="136">
        <v>27.12</v>
      </c>
      <c r="AP68" s="139">
        <v>7</v>
      </c>
      <c r="AQ68" s="138">
        <v>16</v>
      </c>
      <c r="AS68" s="136">
        <v>4.1900000000000004</v>
      </c>
      <c r="AT68" s="139">
        <v>13</v>
      </c>
      <c r="AU68" s="138">
        <v>85</v>
      </c>
      <c r="AW68" s="136">
        <v>27.09</v>
      </c>
      <c r="AX68" s="139">
        <v>7</v>
      </c>
      <c r="AY68" s="138">
        <v>16</v>
      </c>
      <c r="BA68" s="136">
        <v>5.08</v>
      </c>
      <c r="BB68" s="139">
        <v>11</v>
      </c>
      <c r="BC68" s="138">
        <v>63</v>
      </c>
    </row>
    <row r="69" spans="5:55" x14ac:dyDescent="0.3">
      <c r="E69" s="152">
        <v>5.0599999999999987</v>
      </c>
      <c r="F69" s="153">
        <v>9</v>
      </c>
      <c r="G69" s="155" t="s">
        <v>879</v>
      </c>
      <c r="I69" s="136">
        <v>27.11</v>
      </c>
      <c r="J69" s="139">
        <v>12</v>
      </c>
      <c r="K69" s="138">
        <v>75</v>
      </c>
      <c r="M69" s="136">
        <v>4.18</v>
      </c>
      <c r="N69" s="139">
        <v>14</v>
      </c>
      <c r="O69" s="138">
        <v>91</v>
      </c>
      <c r="Q69" s="136">
        <v>27.13</v>
      </c>
      <c r="R69" s="139">
        <v>8</v>
      </c>
      <c r="S69" s="138">
        <v>25</v>
      </c>
      <c r="U69" s="136">
        <v>5</v>
      </c>
      <c r="V69" s="139">
        <v>1</v>
      </c>
      <c r="W69" s="138" t="s">
        <v>883</v>
      </c>
      <c r="Y69" s="136">
        <v>4.1399999999999997</v>
      </c>
      <c r="Z69" s="139">
        <v>13</v>
      </c>
      <c r="AA69" s="138">
        <v>85</v>
      </c>
      <c r="AC69" s="136">
        <v>5.0199999999999996</v>
      </c>
      <c r="AD69" s="139">
        <v>4</v>
      </c>
      <c r="AE69" s="138">
        <v>2</v>
      </c>
      <c r="AG69" s="136">
        <v>4.2300000000000004</v>
      </c>
      <c r="AH69" s="137">
        <v>15</v>
      </c>
      <c r="AI69" s="138">
        <v>95</v>
      </c>
      <c r="AK69" s="136">
        <v>5.03</v>
      </c>
      <c r="AL69" s="139">
        <v>4</v>
      </c>
      <c r="AM69" s="138">
        <v>2</v>
      </c>
      <c r="AO69" s="136">
        <v>27.13</v>
      </c>
      <c r="AP69" s="139">
        <v>8</v>
      </c>
      <c r="AQ69" s="138">
        <v>25</v>
      </c>
      <c r="AS69" s="136">
        <v>4.2</v>
      </c>
      <c r="AT69" s="139">
        <v>14</v>
      </c>
      <c r="AU69" s="138">
        <v>91</v>
      </c>
      <c r="AW69" s="136">
        <v>27.11</v>
      </c>
      <c r="AX69" s="139">
        <v>8</v>
      </c>
      <c r="AY69" s="138">
        <v>25</v>
      </c>
      <c r="BA69" s="136">
        <v>5.09</v>
      </c>
      <c r="BB69" s="139">
        <v>12</v>
      </c>
      <c r="BC69" s="138">
        <v>75</v>
      </c>
    </row>
    <row r="70" spans="5:55" x14ac:dyDescent="0.3">
      <c r="E70" s="152">
        <v>5.0699999999999985</v>
      </c>
      <c r="F70" s="153">
        <v>10</v>
      </c>
      <c r="G70" s="155" t="s">
        <v>866</v>
      </c>
      <c r="I70" s="136">
        <v>27.12</v>
      </c>
      <c r="J70" s="139">
        <v>13</v>
      </c>
      <c r="K70" s="138">
        <v>85</v>
      </c>
      <c r="M70" s="136">
        <v>4.1900000000000004</v>
      </c>
      <c r="N70" s="139">
        <v>15</v>
      </c>
      <c r="O70" s="138">
        <v>95</v>
      </c>
      <c r="Q70" s="136">
        <v>27.15</v>
      </c>
      <c r="R70" s="139">
        <v>9</v>
      </c>
      <c r="S70" s="138">
        <v>37</v>
      </c>
      <c r="U70" s="136">
        <v>5.01</v>
      </c>
      <c r="V70" s="139">
        <v>2</v>
      </c>
      <c r="W70" s="138" t="s">
        <v>883</v>
      </c>
      <c r="Y70" s="136">
        <v>4.16</v>
      </c>
      <c r="Z70" s="139">
        <v>14</v>
      </c>
      <c r="AA70" s="138">
        <v>91</v>
      </c>
      <c r="AC70" s="136">
        <v>5.03</v>
      </c>
      <c r="AD70" s="139">
        <v>5</v>
      </c>
      <c r="AE70" s="138">
        <v>5</v>
      </c>
      <c r="AG70" s="136">
        <v>4.25</v>
      </c>
      <c r="AH70" s="137">
        <v>16</v>
      </c>
      <c r="AI70" s="138">
        <v>98</v>
      </c>
      <c r="AK70" s="136">
        <v>5.04</v>
      </c>
      <c r="AL70" s="139">
        <v>5</v>
      </c>
      <c r="AM70" s="138">
        <v>5</v>
      </c>
      <c r="AO70" s="136">
        <v>27.14</v>
      </c>
      <c r="AP70" s="139">
        <v>9</v>
      </c>
      <c r="AQ70" s="138">
        <v>37</v>
      </c>
      <c r="AS70" s="136">
        <v>4.22</v>
      </c>
      <c r="AT70" s="139">
        <v>15</v>
      </c>
      <c r="AU70" s="138">
        <v>95</v>
      </c>
      <c r="AW70" s="136">
        <v>27.12</v>
      </c>
      <c r="AX70" s="139">
        <v>9</v>
      </c>
      <c r="AY70" s="138">
        <v>37</v>
      </c>
      <c r="BA70" s="136">
        <v>5.0999999999999996</v>
      </c>
      <c r="BB70" s="139">
        <v>13</v>
      </c>
      <c r="BC70" s="138">
        <v>85</v>
      </c>
    </row>
    <row r="71" spans="5:55" x14ac:dyDescent="0.3">
      <c r="E71" s="152">
        <v>5.0799999999999983</v>
      </c>
      <c r="F71" s="153">
        <v>11</v>
      </c>
      <c r="G71" s="155" t="s">
        <v>867</v>
      </c>
      <c r="I71" s="136">
        <v>27.14</v>
      </c>
      <c r="J71" s="139">
        <v>14</v>
      </c>
      <c r="K71" s="138">
        <v>91</v>
      </c>
      <c r="M71" s="136">
        <v>4.21</v>
      </c>
      <c r="N71" s="139">
        <v>16</v>
      </c>
      <c r="O71" s="138">
        <v>98</v>
      </c>
      <c r="Q71" s="136">
        <v>27.17</v>
      </c>
      <c r="R71" s="139">
        <v>10</v>
      </c>
      <c r="S71" s="138">
        <v>50</v>
      </c>
      <c r="U71" s="136">
        <v>5.0199999999999996</v>
      </c>
      <c r="V71" s="139">
        <v>3</v>
      </c>
      <c r="W71" s="138">
        <v>1</v>
      </c>
      <c r="Y71" s="136">
        <v>4.17</v>
      </c>
      <c r="Z71" s="139">
        <v>15</v>
      </c>
      <c r="AA71" s="138">
        <v>95</v>
      </c>
      <c r="AC71" s="136">
        <v>5.04</v>
      </c>
      <c r="AD71" s="139">
        <v>6</v>
      </c>
      <c r="AE71" s="138">
        <v>9</v>
      </c>
      <c r="AG71" s="136">
        <v>4.2699999999999996</v>
      </c>
      <c r="AH71" s="137">
        <v>17</v>
      </c>
      <c r="AI71" s="138">
        <v>99</v>
      </c>
      <c r="AK71" s="136">
        <v>5.05</v>
      </c>
      <c r="AL71" s="139">
        <v>6</v>
      </c>
      <c r="AM71" s="138">
        <v>9</v>
      </c>
      <c r="AO71" s="136">
        <v>27.15</v>
      </c>
      <c r="AP71" s="139">
        <v>10</v>
      </c>
      <c r="AQ71" s="138">
        <v>50</v>
      </c>
      <c r="AS71" s="136">
        <v>4.24</v>
      </c>
      <c r="AT71" s="139">
        <v>16</v>
      </c>
      <c r="AU71" s="138">
        <v>98</v>
      </c>
      <c r="AW71" s="136">
        <v>27.14</v>
      </c>
      <c r="AX71" s="139">
        <v>10</v>
      </c>
      <c r="AY71" s="138">
        <v>50</v>
      </c>
      <c r="BA71" s="136">
        <v>5.1100000000000003</v>
      </c>
      <c r="BB71" s="139">
        <v>14</v>
      </c>
      <c r="BC71" s="138">
        <v>91</v>
      </c>
    </row>
    <row r="72" spans="5:55" x14ac:dyDescent="0.3">
      <c r="E72" s="152">
        <v>5.0899999999999981</v>
      </c>
      <c r="F72" s="153">
        <v>12</v>
      </c>
      <c r="G72" s="155" t="s">
        <v>868</v>
      </c>
      <c r="I72" s="136">
        <v>27.15</v>
      </c>
      <c r="J72" s="139">
        <v>15</v>
      </c>
      <c r="K72" s="138">
        <v>95</v>
      </c>
      <c r="M72" s="136">
        <v>4.2300000000000004</v>
      </c>
      <c r="N72" s="139">
        <v>17</v>
      </c>
      <c r="O72" s="138">
        <v>99</v>
      </c>
      <c r="Q72" s="136">
        <v>27.2</v>
      </c>
      <c r="R72" s="139">
        <v>11</v>
      </c>
      <c r="S72" s="138">
        <v>63</v>
      </c>
      <c r="U72" s="136">
        <v>5.03</v>
      </c>
      <c r="V72" s="139">
        <v>4</v>
      </c>
      <c r="W72" s="138">
        <v>2</v>
      </c>
      <c r="Y72" s="136">
        <v>4.18</v>
      </c>
      <c r="Z72" s="139">
        <v>16</v>
      </c>
      <c r="AA72" s="138">
        <v>98</v>
      </c>
      <c r="AC72" s="136">
        <v>5.05</v>
      </c>
      <c r="AD72" s="139">
        <v>7</v>
      </c>
      <c r="AE72" s="138">
        <v>16</v>
      </c>
      <c r="AG72" s="136">
        <v>4.29</v>
      </c>
      <c r="AH72" s="137">
        <v>18</v>
      </c>
      <c r="AI72" s="138" t="s">
        <v>884</v>
      </c>
      <c r="AK72" s="136">
        <v>5.0599999999999996</v>
      </c>
      <c r="AL72" s="139">
        <v>7</v>
      </c>
      <c r="AM72" s="138">
        <v>16</v>
      </c>
      <c r="AO72" s="136">
        <v>27.16</v>
      </c>
      <c r="AP72" s="139">
        <v>11</v>
      </c>
      <c r="AQ72" s="138">
        <v>63</v>
      </c>
      <c r="AS72" s="136">
        <v>4.26</v>
      </c>
      <c r="AT72" s="139">
        <v>17</v>
      </c>
      <c r="AU72" s="138">
        <v>99</v>
      </c>
      <c r="AW72" s="136">
        <v>27.15</v>
      </c>
      <c r="AX72" s="139">
        <v>11</v>
      </c>
      <c r="AY72" s="138">
        <v>63</v>
      </c>
      <c r="BA72" s="136">
        <v>5.12</v>
      </c>
      <c r="BB72" s="139">
        <v>15</v>
      </c>
      <c r="BC72" s="138">
        <v>95</v>
      </c>
    </row>
    <row r="73" spans="5:55" x14ac:dyDescent="0.3">
      <c r="E73" s="152">
        <v>5.0999999999999979</v>
      </c>
      <c r="F73" s="153">
        <v>13</v>
      </c>
      <c r="G73" s="155" t="s">
        <v>869</v>
      </c>
      <c r="I73" s="136">
        <v>27.16</v>
      </c>
      <c r="J73" s="139">
        <v>16</v>
      </c>
      <c r="K73" s="138">
        <v>98</v>
      </c>
      <c r="M73" s="136">
        <v>4.24</v>
      </c>
      <c r="N73" s="139">
        <v>18</v>
      </c>
      <c r="O73" s="138" t="s">
        <v>884</v>
      </c>
      <c r="Q73" s="136">
        <v>27.22</v>
      </c>
      <c r="R73" s="139">
        <v>12</v>
      </c>
      <c r="S73" s="138">
        <v>75</v>
      </c>
      <c r="U73" s="136">
        <v>5.04</v>
      </c>
      <c r="V73" s="139">
        <v>5</v>
      </c>
      <c r="W73" s="138">
        <v>5</v>
      </c>
      <c r="Y73" s="136">
        <v>4.1900000000000004</v>
      </c>
      <c r="Z73" s="139">
        <v>17</v>
      </c>
      <c r="AA73" s="138">
        <v>99</v>
      </c>
      <c r="AC73" s="136">
        <v>5.0599999999999996</v>
      </c>
      <c r="AD73" s="139">
        <v>8</v>
      </c>
      <c r="AE73" s="138">
        <v>25</v>
      </c>
      <c r="AG73" s="136">
        <v>4.34</v>
      </c>
      <c r="AH73" s="137">
        <v>19</v>
      </c>
      <c r="AI73" s="138" t="s">
        <v>884</v>
      </c>
      <c r="AK73" s="136">
        <v>5.07</v>
      </c>
      <c r="AL73" s="139">
        <v>8</v>
      </c>
      <c r="AM73" s="138">
        <v>25</v>
      </c>
      <c r="AO73" s="136">
        <v>27.17</v>
      </c>
      <c r="AP73" s="139">
        <v>12</v>
      </c>
      <c r="AQ73" s="138">
        <v>75</v>
      </c>
      <c r="AS73" s="136">
        <v>4.28</v>
      </c>
      <c r="AT73" s="139">
        <v>18</v>
      </c>
      <c r="AU73" s="138" t="s">
        <v>884</v>
      </c>
      <c r="AW73" s="136">
        <v>27.17</v>
      </c>
      <c r="AX73" s="139">
        <v>12</v>
      </c>
      <c r="AY73" s="138">
        <v>75</v>
      </c>
      <c r="BA73" s="136">
        <v>5.13</v>
      </c>
      <c r="BB73" s="139">
        <v>16</v>
      </c>
      <c r="BC73" s="138">
        <v>98</v>
      </c>
    </row>
    <row r="74" spans="5:55" x14ac:dyDescent="0.3">
      <c r="E74" s="152">
        <v>5.1099999999999977</v>
      </c>
      <c r="F74" s="153">
        <v>14</v>
      </c>
      <c r="G74" s="155" t="s">
        <v>870</v>
      </c>
      <c r="I74" s="136">
        <v>27.18</v>
      </c>
      <c r="J74" s="139">
        <v>17</v>
      </c>
      <c r="K74" s="138">
        <v>99</v>
      </c>
      <c r="M74" s="136">
        <v>4.28</v>
      </c>
      <c r="N74" s="139">
        <v>19</v>
      </c>
      <c r="O74" s="138" t="s">
        <v>884</v>
      </c>
      <c r="Q74" s="136">
        <v>27.24</v>
      </c>
      <c r="R74" s="139">
        <v>13</v>
      </c>
      <c r="S74" s="138">
        <v>85</v>
      </c>
      <c r="U74" s="136">
        <v>5.05</v>
      </c>
      <c r="V74" s="139">
        <v>6</v>
      </c>
      <c r="W74" s="138">
        <v>9</v>
      </c>
      <c r="Y74" s="136">
        <v>4.2</v>
      </c>
      <c r="Z74" s="139">
        <v>18</v>
      </c>
      <c r="AA74" s="138" t="s">
        <v>884</v>
      </c>
      <c r="AC74" s="136">
        <v>5.07</v>
      </c>
      <c r="AD74" s="139">
        <v>9</v>
      </c>
      <c r="AE74" s="138">
        <v>37</v>
      </c>
      <c r="AG74" s="136">
        <v>5</v>
      </c>
      <c r="AH74" s="137">
        <v>1</v>
      </c>
      <c r="AI74" s="138" t="s">
        <v>883</v>
      </c>
      <c r="AK74" s="136">
        <v>5.08</v>
      </c>
      <c r="AL74" s="139">
        <v>9</v>
      </c>
      <c r="AM74" s="138">
        <v>37</v>
      </c>
      <c r="AO74" s="136">
        <v>27.18</v>
      </c>
      <c r="AP74" s="139">
        <v>13</v>
      </c>
      <c r="AQ74" s="138">
        <v>85</v>
      </c>
      <c r="AS74" s="136">
        <v>4.29</v>
      </c>
      <c r="AT74" s="139">
        <v>19</v>
      </c>
      <c r="AU74" s="138" t="s">
        <v>884</v>
      </c>
      <c r="AW74" s="136">
        <v>27.18</v>
      </c>
      <c r="AX74" s="139">
        <v>13</v>
      </c>
      <c r="AY74" s="138">
        <v>85</v>
      </c>
      <c r="BA74" s="136">
        <v>5.14</v>
      </c>
      <c r="BB74" s="139">
        <v>17</v>
      </c>
      <c r="BC74" s="138">
        <v>99</v>
      </c>
    </row>
    <row r="75" spans="5:55" x14ac:dyDescent="0.3">
      <c r="E75" s="152">
        <v>5.1199999999999974</v>
      </c>
      <c r="F75" s="153">
        <v>15</v>
      </c>
      <c r="G75" s="155" t="s">
        <v>871</v>
      </c>
      <c r="I75" s="136">
        <v>27.19</v>
      </c>
      <c r="J75" s="139">
        <v>18</v>
      </c>
      <c r="K75" s="138" t="s">
        <v>884</v>
      </c>
      <c r="M75" s="136">
        <v>5</v>
      </c>
      <c r="N75" s="139">
        <v>1</v>
      </c>
      <c r="O75" s="138" t="s">
        <v>883</v>
      </c>
      <c r="Q75" s="136">
        <v>27.27</v>
      </c>
      <c r="R75" s="139">
        <v>14</v>
      </c>
      <c r="S75" s="138">
        <v>91</v>
      </c>
      <c r="U75" s="136">
        <v>5.0599999999999996</v>
      </c>
      <c r="V75" s="139">
        <v>7</v>
      </c>
      <c r="W75" s="138">
        <v>16</v>
      </c>
      <c r="Y75" s="136">
        <v>4.22</v>
      </c>
      <c r="Z75" s="139">
        <v>19</v>
      </c>
      <c r="AA75" s="138" t="s">
        <v>884</v>
      </c>
      <c r="AC75" s="136">
        <v>5.08</v>
      </c>
      <c r="AD75" s="139">
        <v>10</v>
      </c>
      <c r="AE75" s="138">
        <v>50</v>
      </c>
      <c r="AG75" s="136">
        <v>5.01</v>
      </c>
      <c r="AH75" s="137">
        <v>2</v>
      </c>
      <c r="AI75" s="138" t="s">
        <v>883</v>
      </c>
      <c r="AK75" s="136">
        <v>5.09</v>
      </c>
      <c r="AL75" s="139">
        <v>10</v>
      </c>
      <c r="AM75" s="138">
        <v>50</v>
      </c>
      <c r="AO75" s="136">
        <v>27.19</v>
      </c>
      <c r="AP75" s="139">
        <v>14</v>
      </c>
      <c r="AQ75" s="138">
        <v>91</v>
      </c>
      <c r="AS75" s="136">
        <v>5</v>
      </c>
      <c r="AT75" s="139">
        <v>1</v>
      </c>
      <c r="AU75" s="138" t="s">
        <v>883</v>
      </c>
      <c r="AW75" s="136">
        <v>27.2</v>
      </c>
      <c r="AX75" s="139">
        <v>14</v>
      </c>
      <c r="AY75" s="138">
        <v>91</v>
      </c>
      <c r="BA75" s="136">
        <v>5.15</v>
      </c>
      <c r="BB75" s="139">
        <v>18</v>
      </c>
      <c r="BC75" s="138" t="s">
        <v>884</v>
      </c>
    </row>
    <row r="76" spans="5:55" x14ac:dyDescent="0.3">
      <c r="E76" s="152">
        <v>5.1299999999999972</v>
      </c>
      <c r="F76" s="153">
        <v>16</v>
      </c>
      <c r="G76" s="155" t="s">
        <v>872</v>
      </c>
      <c r="I76" s="136">
        <v>27.21</v>
      </c>
      <c r="J76" s="139">
        <v>19</v>
      </c>
      <c r="K76" s="138" t="s">
        <v>884</v>
      </c>
      <c r="M76" s="136">
        <v>5.01</v>
      </c>
      <c r="N76" s="139">
        <v>2</v>
      </c>
      <c r="O76" s="138" t="s">
        <v>883</v>
      </c>
      <c r="Q76" s="136">
        <v>27.29</v>
      </c>
      <c r="R76" s="139">
        <v>15</v>
      </c>
      <c r="S76" s="138">
        <v>95</v>
      </c>
      <c r="U76" s="136">
        <v>5.07</v>
      </c>
      <c r="V76" s="139">
        <v>8</v>
      </c>
      <c r="W76" s="138">
        <v>25</v>
      </c>
      <c r="Y76" s="136">
        <v>5</v>
      </c>
      <c r="Z76" s="139">
        <v>1</v>
      </c>
      <c r="AA76" s="138" t="s">
        <v>883</v>
      </c>
      <c r="AC76" s="136">
        <v>5.09</v>
      </c>
      <c r="AD76" s="139">
        <v>11</v>
      </c>
      <c r="AE76" s="138">
        <v>63</v>
      </c>
      <c r="AG76" s="136">
        <v>5.03</v>
      </c>
      <c r="AH76" s="137">
        <v>3</v>
      </c>
      <c r="AI76" s="138">
        <v>1</v>
      </c>
      <c r="AK76" s="136">
        <v>5.0999999999999996</v>
      </c>
      <c r="AL76" s="139">
        <v>11</v>
      </c>
      <c r="AM76" s="138">
        <v>63</v>
      </c>
      <c r="AO76" s="136">
        <v>27.2</v>
      </c>
      <c r="AP76" s="139">
        <v>15</v>
      </c>
      <c r="AQ76" s="138">
        <v>95</v>
      </c>
      <c r="AS76" s="136">
        <v>5.01</v>
      </c>
      <c r="AT76" s="139">
        <v>2</v>
      </c>
      <c r="AU76" s="138" t="s">
        <v>883</v>
      </c>
      <c r="AW76" s="136">
        <v>27.21</v>
      </c>
      <c r="AX76" s="139">
        <v>15</v>
      </c>
      <c r="AY76" s="138">
        <v>95</v>
      </c>
      <c r="BA76" s="136">
        <v>5.16</v>
      </c>
      <c r="BB76" s="139">
        <v>19</v>
      </c>
      <c r="BC76" s="138" t="s">
        <v>884</v>
      </c>
    </row>
    <row r="77" spans="5:55" x14ac:dyDescent="0.3">
      <c r="E77" s="152">
        <v>5.15</v>
      </c>
      <c r="F77" s="153">
        <v>17</v>
      </c>
      <c r="G77" s="155" t="s">
        <v>873</v>
      </c>
      <c r="I77" s="136">
        <v>28</v>
      </c>
      <c r="J77" s="139">
        <v>1</v>
      </c>
      <c r="K77" s="138" t="s">
        <v>883</v>
      </c>
      <c r="M77" s="136">
        <v>5.0199999999999996</v>
      </c>
      <c r="N77" s="139">
        <v>3</v>
      </c>
      <c r="O77" s="138">
        <v>1</v>
      </c>
      <c r="Q77" s="136">
        <v>27.31</v>
      </c>
      <c r="R77" s="139">
        <v>16</v>
      </c>
      <c r="S77" s="138">
        <v>98</v>
      </c>
      <c r="U77" s="136">
        <v>5.08</v>
      </c>
      <c r="V77" s="139">
        <v>9</v>
      </c>
      <c r="W77" s="138">
        <v>37</v>
      </c>
      <c r="Y77" s="136">
        <v>5.01</v>
      </c>
      <c r="Z77" s="139">
        <v>2</v>
      </c>
      <c r="AA77" s="138" t="s">
        <v>883</v>
      </c>
      <c r="AC77" s="136">
        <v>5.0999999999999996</v>
      </c>
      <c r="AD77" s="139">
        <v>12</v>
      </c>
      <c r="AE77" s="138">
        <v>75</v>
      </c>
      <c r="AG77" s="136">
        <v>5.04</v>
      </c>
      <c r="AH77" s="137">
        <v>4</v>
      </c>
      <c r="AI77" s="138">
        <v>2</v>
      </c>
      <c r="AK77" s="136">
        <v>5.12</v>
      </c>
      <c r="AL77" s="139">
        <v>12</v>
      </c>
      <c r="AM77" s="138">
        <v>75</v>
      </c>
      <c r="AO77" s="136">
        <v>27.21</v>
      </c>
      <c r="AP77" s="139">
        <v>16</v>
      </c>
      <c r="AQ77" s="138">
        <v>98</v>
      </c>
      <c r="AS77" s="136">
        <v>5.03</v>
      </c>
      <c r="AT77" s="139">
        <v>3</v>
      </c>
      <c r="AU77" s="138">
        <v>1</v>
      </c>
      <c r="AW77" s="136">
        <v>27.23</v>
      </c>
      <c r="AX77" s="139">
        <v>16</v>
      </c>
      <c r="AY77" s="138">
        <v>98</v>
      </c>
      <c r="BA77" s="136">
        <v>6</v>
      </c>
      <c r="BB77" s="139">
        <v>1</v>
      </c>
      <c r="BC77" s="138" t="s">
        <v>883</v>
      </c>
    </row>
    <row r="78" spans="5:55" x14ac:dyDescent="0.3">
      <c r="E78" s="152">
        <v>5.17</v>
      </c>
      <c r="F78" s="153">
        <v>18</v>
      </c>
      <c r="G78" s="155" t="s">
        <v>874</v>
      </c>
      <c r="H78" s="135" t="s">
        <v>4</v>
      </c>
      <c r="I78" s="136">
        <v>28.01</v>
      </c>
      <c r="J78" s="139">
        <v>3</v>
      </c>
      <c r="K78" s="138">
        <v>1</v>
      </c>
      <c r="M78" s="136">
        <v>5.04</v>
      </c>
      <c r="N78" s="139">
        <v>4</v>
      </c>
      <c r="O78" s="138">
        <v>2</v>
      </c>
      <c r="Q78" s="136">
        <v>27.34</v>
      </c>
      <c r="R78" s="139">
        <v>17</v>
      </c>
      <c r="S78" s="138">
        <v>99</v>
      </c>
      <c r="U78" s="136">
        <v>5.09</v>
      </c>
      <c r="V78" s="139">
        <v>10</v>
      </c>
      <c r="W78" s="138">
        <v>50</v>
      </c>
      <c r="Y78" s="136">
        <v>5.03</v>
      </c>
      <c r="Z78" s="139">
        <v>3</v>
      </c>
      <c r="AA78" s="138">
        <v>1</v>
      </c>
      <c r="AC78" s="136">
        <v>5.1100000000000003</v>
      </c>
      <c r="AD78" s="139">
        <v>13</v>
      </c>
      <c r="AE78" s="138">
        <v>85</v>
      </c>
      <c r="AG78" s="136">
        <v>5.07</v>
      </c>
      <c r="AH78" s="137">
        <v>5</v>
      </c>
      <c r="AI78" s="138">
        <v>5</v>
      </c>
      <c r="AK78" s="136">
        <v>5.13</v>
      </c>
      <c r="AL78" s="139">
        <v>13</v>
      </c>
      <c r="AM78" s="138">
        <v>85</v>
      </c>
      <c r="AO78" s="136">
        <v>27.23</v>
      </c>
      <c r="AP78" s="139">
        <v>17</v>
      </c>
      <c r="AQ78" s="138">
        <v>99</v>
      </c>
      <c r="AS78" s="136">
        <v>5.04</v>
      </c>
      <c r="AT78" s="139">
        <v>4</v>
      </c>
      <c r="AU78" s="138">
        <v>2</v>
      </c>
      <c r="AW78" s="136">
        <v>27.25</v>
      </c>
      <c r="AX78" s="139">
        <v>17</v>
      </c>
      <c r="AY78" s="138">
        <v>99</v>
      </c>
      <c r="BA78" s="136">
        <v>6.01</v>
      </c>
      <c r="BB78" s="139">
        <v>3</v>
      </c>
      <c r="BC78" s="138">
        <v>1</v>
      </c>
    </row>
    <row r="79" spans="5:55" ht="19.5" thickBot="1" x14ac:dyDescent="0.35">
      <c r="E79" s="157">
        <v>5.2</v>
      </c>
      <c r="F79" s="158">
        <v>19</v>
      </c>
      <c r="G79" s="159" t="s">
        <v>874</v>
      </c>
      <c r="I79" s="136">
        <v>28.02</v>
      </c>
      <c r="J79" s="139">
        <v>4</v>
      </c>
      <c r="K79" s="138">
        <v>2</v>
      </c>
      <c r="M79" s="136">
        <v>5.05</v>
      </c>
      <c r="N79" s="139">
        <v>5</v>
      </c>
      <c r="O79" s="138">
        <v>5</v>
      </c>
      <c r="Q79" s="136">
        <v>27.36</v>
      </c>
      <c r="R79" s="139">
        <v>18</v>
      </c>
      <c r="S79" s="138" t="s">
        <v>884</v>
      </c>
      <c r="U79" s="136">
        <v>5.0999999999999996</v>
      </c>
      <c r="V79" s="139">
        <v>11</v>
      </c>
      <c r="W79" s="138">
        <v>63</v>
      </c>
      <c r="Y79" s="136">
        <v>5.04</v>
      </c>
      <c r="Z79" s="139">
        <v>4</v>
      </c>
      <c r="AA79" s="138">
        <v>2</v>
      </c>
      <c r="AC79" s="136">
        <v>5.12</v>
      </c>
      <c r="AD79" s="139">
        <v>14</v>
      </c>
      <c r="AE79" s="138">
        <v>91</v>
      </c>
      <c r="AG79" s="136">
        <v>5.09</v>
      </c>
      <c r="AH79" s="137">
        <v>6</v>
      </c>
      <c r="AI79" s="138">
        <v>9</v>
      </c>
      <c r="AK79" s="136">
        <v>5.14</v>
      </c>
      <c r="AL79" s="139">
        <v>14</v>
      </c>
      <c r="AM79" s="138">
        <v>91</v>
      </c>
      <c r="AO79" s="136">
        <v>27.24</v>
      </c>
      <c r="AP79" s="139">
        <v>18</v>
      </c>
      <c r="AQ79" s="138" t="s">
        <v>884</v>
      </c>
      <c r="AS79" s="136">
        <v>5.08</v>
      </c>
      <c r="AT79" s="139">
        <v>5</v>
      </c>
      <c r="AU79" s="138">
        <v>5</v>
      </c>
      <c r="AW79" s="136">
        <v>27.26</v>
      </c>
      <c r="AX79" s="139">
        <v>18</v>
      </c>
      <c r="AY79" s="138" t="s">
        <v>884</v>
      </c>
      <c r="BA79" s="136">
        <v>6.02</v>
      </c>
      <c r="BB79" s="139">
        <v>4</v>
      </c>
      <c r="BC79" s="138">
        <v>2</v>
      </c>
    </row>
    <row r="80" spans="5:55" x14ac:dyDescent="0.3">
      <c r="E80" s="160">
        <v>6</v>
      </c>
      <c r="F80" s="161">
        <v>1</v>
      </c>
      <c r="G80" s="162" t="s">
        <v>862</v>
      </c>
      <c r="I80" s="136">
        <v>28.03</v>
      </c>
      <c r="J80" s="139">
        <v>5</v>
      </c>
      <c r="K80" s="138">
        <v>5</v>
      </c>
      <c r="M80" s="136">
        <v>5.07</v>
      </c>
      <c r="N80" s="139">
        <v>6</v>
      </c>
      <c r="O80" s="138">
        <v>9</v>
      </c>
      <c r="Q80" s="136">
        <v>27.39</v>
      </c>
      <c r="R80" s="139">
        <v>19</v>
      </c>
      <c r="S80" s="138" t="s">
        <v>884</v>
      </c>
      <c r="U80" s="136">
        <v>5.1100000000000003</v>
      </c>
      <c r="V80" s="139">
        <v>12</v>
      </c>
      <c r="W80" s="138">
        <v>75</v>
      </c>
      <c r="Y80" s="136">
        <v>5.07</v>
      </c>
      <c r="Z80" s="139">
        <v>5</v>
      </c>
      <c r="AA80" s="138">
        <v>5</v>
      </c>
      <c r="AC80" s="136">
        <v>5.13</v>
      </c>
      <c r="AD80" s="139">
        <v>15</v>
      </c>
      <c r="AE80" s="138">
        <v>95</v>
      </c>
      <c r="AG80" s="136">
        <v>5.12</v>
      </c>
      <c r="AH80" s="137">
        <v>7</v>
      </c>
      <c r="AI80" s="138">
        <v>16</v>
      </c>
      <c r="AK80" s="136">
        <v>5.15</v>
      </c>
      <c r="AL80" s="139">
        <v>15</v>
      </c>
      <c r="AM80" s="138">
        <v>95</v>
      </c>
      <c r="AO80" s="136">
        <v>27.25</v>
      </c>
      <c r="AP80" s="139">
        <v>19</v>
      </c>
      <c r="AQ80" s="138" t="s">
        <v>884</v>
      </c>
      <c r="AS80" s="136">
        <v>5.09</v>
      </c>
      <c r="AT80" s="139">
        <v>6</v>
      </c>
      <c r="AU80" s="138">
        <v>9</v>
      </c>
      <c r="AW80" s="136">
        <v>27.28</v>
      </c>
      <c r="AX80" s="139">
        <v>19</v>
      </c>
      <c r="AY80" s="138" t="s">
        <v>884</v>
      </c>
      <c r="BA80" s="136">
        <v>6.03</v>
      </c>
      <c r="BB80" s="139">
        <v>5</v>
      </c>
      <c r="BC80" s="138">
        <v>5</v>
      </c>
    </row>
    <row r="81" spans="5:55" x14ac:dyDescent="0.3">
      <c r="E81" s="152">
        <v>6.01</v>
      </c>
      <c r="F81" s="153">
        <v>3</v>
      </c>
      <c r="G81" s="155" t="s">
        <v>876</v>
      </c>
      <c r="I81" s="136">
        <v>28.04</v>
      </c>
      <c r="J81" s="139">
        <v>6</v>
      </c>
      <c r="K81" s="138">
        <v>9</v>
      </c>
      <c r="M81" s="136">
        <v>5.08</v>
      </c>
      <c r="N81" s="139">
        <v>7</v>
      </c>
      <c r="O81" s="138">
        <v>16</v>
      </c>
      <c r="Q81" s="136">
        <v>28</v>
      </c>
      <c r="R81" s="139">
        <v>1</v>
      </c>
      <c r="S81" s="138" t="s">
        <v>883</v>
      </c>
      <c r="U81" s="136">
        <v>5.12</v>
      </c>
      <c r="V81" s="139">
        <v>13</v>
      </c>
      <c r="W81" s="138">
        <v>85</v>
      </c>
      <c r="Y81" s="136">
        <v>5.08</v>
      </c>
      <c r="Z81" s="139">
        <v>6</v>
      </c>
      <c r="AA81" s="138">
        <v>9</v>
      </c>
      <c r="AC81" s="136">
        <v>5.14</v>
      </c>
      <c r="AD81" s="139">
        <v>16</v>
      </c>
      <c r="AE81" s="138">
        <v>98</v>
      </c>
      <c r="AG81" s="136">
        <v>5.14</v>
      </c>
      <c r="AH81" s="137">
        <v>8</v>
      </c>
      <c r="AI81" s="138">
        <v>25</v>
      </c>
      <c r="AK81" s="136">
        <v>5.17</v>
      </c>
      <c r="AL81" s="139">
        <v>16</v>
      </c>
      <c r="AM81" s="138">
        <v>98</v>
      </c>
      <c r="AO81" s="136">
        <v>28</v>
      </c>
      <c r="AP81" s="139">
        <v>1</v>
      </c>
      <c r="AQ81" s="138" t="s">
        <v>883</v>
      </c>
      <c r="AS81" s="136">
        <v>5.1100000000000003</v>
      </c>
      <c r="AT81" s="139">
        <v>7</v>
      </c>
      <c r="AU81" s="138">
        <v>16</v>
      </c>
      <c r="AW81" s="136">
        <v>28</v>
      </c>
      <c r="AX81" s="139">
        <v>1</v>
      </c>
      <c r="AY81" s="138" t="s">
        <v>883</v>
      </c>
      <c r="BA81" s="136">
        <v>6.04</v>
      </c>
      <c r="BB81" s="139">
        <v>6</v>
      </c>
      <c r="BC81" s="138">
        <v>9</v>
      </c>
    </row>
    <row r="82" spans="5:55" x14ac:dyDescent="0.3">
      <c r="E82" s="152">
        <v>6.02</v>
      </c>
      <c r="F82" s="153">
        <v>4</v>
      </c>
      <c r="G82" s="155" t="s">
        <v>863</v>
      </c>
      <c r="I82" s="136">
        <v>28.05</v>
      </c>
      <c r="J82" s="139">
        <v>7</v>
      </c>
      <c r="K82" s="138">
        <v>16</v>
      </c>
      <c r="M82" s="136">
        <v>5.0999999999999996</v>
      </c>
      <c r="N82" s="139">
        <v>8</v>
      </c>
      <c r="O82" s="138">
        <v>25</v>
      </c>
      <c r="Q82" s="136">
        <v>28.01</v>
      </c>
      <c r="R82" s="139">
        <v>2</v>
      </c>
      <c r="S82" s="138" t="s">
        <v>883</v>
      </c>
      <c r="U82" s="136">
        <v>5.14</v>
      </c>
      <c r="V82" s="139">
        <v>14</v>
      </c>
      <c r="W82" s="138">
        <v>91</v>
      </c>
      <c r="Y82" s="136">
        <v>5.09</v>
      </c>
      <c r="Z82" s="139">
        <v>7</v>
      </c>
      <c r="AA82" s="138">
        <v>16</v>
      </c>
      <c r="AC82" s="136">
        <v>5.15</v>
      </c>
      <c r="AD82" s="139">
        <v>17</v>
      </c>
      <c r="AE82" s="138">
        <v>99</v>
      </c>
      <c r="AG82" s="136">
        <v>5.16</v>
      </c>
      <c r="AH82" s="137">
        <v>9</v>
      </c>
      <c r="AI82" s="138">
        <v>37</v>
      </c>
      <c r="AK82" s="136">
        <v>5.18</v>
      </c>
      <c r="AL82" s="139">
        <v>17</v>
      </c>
      <c r="AM82" s="138">
        <v>99</v>
      </c>
      <c r="AO82" s="136">
        <v>28.06</v>
      </c>
      <c r="AP82" s="139">
        <v>2</v>
      </c>
      <c r="AQ82" s="138" t="s">
        <v>883</v>
      </c>
      <c r="AS82" s="136">
        <v>5.12</v>
      </c>
      <c r="AT82" s="139">
        <v>8</v>
      </c>
      <c r="AU82" s="138">
        <v>25</v>
      </c>
      <c r="AW82" s="136">
        <v>28.02</v>
      </c>
      <c r="AX82" s="139">
        <v>2</v>
      </c>
      <c r="AY82" s="138" t="s">
        <v>883</v>
      </c>
      <c r="BA82" s="136">
        <v>6.05</v>
      </c>
      <c r="BB82" s="139">
        <v>7</v>
      </c>
      <c r="BC82" s="138">
        <v>16</v>
      </c>
    </row>
    <row r="83" spans="5:55" x14ac:dyDescent="0.3">
      <c r="E83" s="152">
        <v>6.0299999999999994</v>
      </c>
      <c r="F83" s="153">
        <v>5</v>
      </c>
      <c r="G83" s="155" t="s">
        <v>877</v>
      </c>
      <c r="I83" s="136">
        <v>28.06</v>
      </c>
      <c r="J83" s="139">
        <v>8</v>
      </c>
      <c r="K83" s="138">
        <v>25</v>
      </c>
      <c r="M83" s="136">
        <v>5.1100000000000003</v>
      </c>
      <c r="N83" s="139">
        <v>9</v>
      </c>
      <c r="O83" s="138">
        <v>37</v>
      </c>
      <c r="Q83" s="136">
        <v>28.02</v>
      </c>
      <c r="R83" s="139">
        <v>3</v>
      </c>
      <c r="S83" s="138">
        <v>1</v>
      </c>
      <c r="U83" s="136">
        <v>5.15</v>
      </c>
      <c r="V83" s="139">
        <v>15</v>
      </c>
      <c r="W83" s="138">
        <v>95</v>
      </c>
      <c r="Y83" s="136">
        <v>5.0999999999999996</v>
      </c>
      <c r="Z83" s="139">
        <v>8</v>
      </c>
      <c r="AA83" s="138">
        <v>25</v>
      </c>
      <c r="AC83" s="136">
        <v>5.16</v>
      </c>
      <c r="AD83" s="139">
        <v>18</v>
      </c>
      <c r="AE83" s="138" t="s">
        <v>884</v>
      </c>
      <c r="AG83" s="136">
        <v>5.17</v>
      </c>
      <c r="AH83" s="137">
        <v>10</v>
      </c>
      <c r="AI83" s="138">
        <v>50</v>
      </c>
      <c r="AK83" s="136">
        <v>5.2</v>
      </c>
      <c r="AL83" s="139">
        <v>18</v>
      </c>
      <c r="AM83" s="138" t="s">
        <v>884</v>
      </c>
      <c r="AO83" s="136">
        <v>28.08</v>
      </c>
      <c r="AP83" s="139">
        <v>3</v>
      </c>
      <c r="AQ83" s="138">
        <v>1</v>
      </c>
      <c r="AS83" s="136">
        <v>5.13</v>
      </c>
      <c r="AT83" s="139">
        <v>9</v>
      </c>
      <c r="AU83" s="138">
        <v>37</v>
      </c>
      <c r="AW83" s="136">
        <v>28.03</v>
      </c>
      <c r="AX83" s="139">
        <v>3</v>
      </c>
      <c r="AY83" s="138">
        <v>1</v>
      </c>
      <c r="BA83" s="136">
        <v>6.06</v>
      </c>
      <c r="BB83" s="139">
        <v>8</v>
      </c>
      <c r="BC83" s="138">
        <v>25</v>
      </c>
    </row>
    <row r="84" spans="5:55" x14ac:dyDescent="0.3">
      <c r="E84" s="152">
        <v>6.0399999999999991</v>
      </c>
      <c r="F84" s="153">
        <v>6</v>
      </c>
      <c r="G84" s="155" t="s">
        <v>864</v>
      </c>
      <c r="I84" s="136">
        <v>28.07</v>
      </c>
      <c r="J84" s="139">
        <v>9</v>
      </c>
      <c r="K84" s="138">
        <v>37</v>
      </c>
      <c r="M84" s="136">
        <v>5.13</v>
      </c>
      <c r="N84" s="139">
        <v>10</v>
      </c>
      <c r="O84" s="138">
        <v>50</v>
      </c>
      <c r="Q84" s="136">
        <v>28.04</v>
      </c>
      <c r="R84" s="139">
        <v>4</v>
      </c>
      <c r="S84" s="138">
        <v>2</v>
      </c>
      <c r="U84" s="136">
        <v>5.16</v>
      </c>
      <c r="V84" s="139">
        <v>16</v>
      </c>
      <c r="W84" s="138">
        <v>98</v>
      </c>
      <c r="Y84" s="136">
        <v>5.1100000000000003</v>
      </c>
      <c r="Z84" s="139">
        <v>9</v>
      </c>
      <c r="AA84" s="138">
        <v>37</v>
      </c>
      <c r="AC84" s="136">
        <v>5.2</v>
      </c>
      <c r="AD84" s="139">
        <v>19</v>
      </c>
      <c r="AE84" s="138" t="s">
        <v>884</v>
      </c>
      <c r="AG84" s="136">
        <v>5.19</v>
      </c>
      <c r="AH84" s="137">
        <v>11</v>
      </c>
      <c r="AI84" s="138">
        <v>63</v>
      </c>
      <c r="AK84" s="136">
        <v>5.23</v>
      </c>
      <c r="AL84" s="139">
        <v>19</v>
      </c>
      <c r="AM84" s="138" t="s">
        <v>884</v>
      </c>
      <c r="AO84" s="136">
        <v>28.09</v>
      </c>
      <c r="AP84" s="139">
        <v>4</v>
      </c>
      <c r="AQ84" s="138">
        <v>2</v>
      </c>
      <c r="AS84" s="136">
        <v>5.15</v>
      </c>
      <c r="AT84" s="139">
        <v>10</v>
      </c>
      <c r="AU84" s="138">
        <v>50</v>
      </c>
      <c r="AW84" s="136">
        <v>28.05</v>
      </c>
      <c r="AX84" s="139">
        <v>4</v>
      </c>
      <c r="AY84" s="138">
        <v>2</v>
      </c>
      <c r="BA84" s="136">
        <v>6.07</v>
      </c>
      <c r="BB84" s="139">
        <v>9</v>
      </c>
      <c r="BC84" s="138">
        <v>37</v>
      </c>
    </row>
    <row r="85" spans="5:55" x14ac:dyDescent="0.3">
      <c r="E85" s="152">
        <v>6.0499999999999989</v>
      </c>
      <c r="F85" s="153">
        <v>7</v>
      </c>
      <c r="G85" s="155" t="s">
        <v>878</v>
      </c>
      <c r="I85" s="136">
        <v>28.08</v>
      </c>
      <c r="J85" s="139">
        <v>10</v>
      </c>
      <c r="K85" s="138">
        <v>50</v>
      </c>
      <c r="M85" s="136">
        <v>5.15</v>
      </c>
      <c r="N85" s="139">
        <v>11</v>
      </c>
      <c r="O85" s="138">
        <v>63</v>
      </c>
      <c r="Q85" s="136">
        <v>28.06</v>
      </c>
      <c r="R85" s="139">
        <v>5</v>
      </c>
      <c r="S85" s="138">
        <v>5</v>
      </c>
      <c r="U85" s="136">
        <v>5.17</v>
      </c>
      <c r="V85" s="139">
        <v>17</v>
      </c>
      <c r="W85" s="138">
        <v>99</v>
      </c>
      <c r="Y85" s="136">
        <v>5.12</v>
      </c>
      <c r="Z85" s="139">
        <v>10</v>
      </c>
      <c r="AA85" s="138">
        <v>50</v>
      </c>
      <c r="AC85" s="136">
        <v>6</v>
      </c>
      <c r="AD85" s="139">
        <v>1</v>
      </c>
      <c r="AE85" s="138" t="s">
        <v>883</v>
      </c>
      <c r="AG85" s="136">
        <v>5.21</v>
      </c>
      <c r="AH85" s="137">
        <v>12</v>
      </c>
      <c r="AI85" s="138">
        <v>75</v>
      </c>
      <c r="AK85" s="136">
        <v>6</v>
      </c>
      <c r="AL85" s="139">
        <v>1</v>
      </c>
      <c r="AM85" s="138" t="s">
        <v>883</v>
      </c>
      <c r="AO85" s="136">
        <v>28.1</v>
      </c>
      <c r="AP85" s="139">
        <v>5</v>
      </c>
      <c r="AQ85" s="138">
        <v>5</v>
      </c>
      <c r="AS85" s="136">
        <v>5.17</v>
      </c>
      <c r="AT85" s="139">
        <v>11</v>
      </c>
      <c r="AU85" s="138">
        <v>63</v>
      </c>
      <c r="AW85" s="136">
        <v>28.06</v>
      </c>
      <c r="AX85" s="139">
        <v>5</v>
      </c>
      <c r="AY85" s="138">
        <v>5</v>
      </c>
      <c r="BA85" s="136">
        <v>6.08</v>
      </c>
      <c r="BB85" s="139">
        <v>10</v>
      </c>
      <c r="BC85" s="138">
        <v>50</v>
      </c>
    </row>
    <row r="86" spans="5:55" x14ac:dyDescent="0.3">
      <c r="E86" s="152">
        <v>6.0599999999999987</v>
      </c>
      <c r="F86" s="153">
        <v>8</v>
      </c>
      <c r="G86" s="155" t="s">
        <v>865</v>
      </c>
      <c r="I86" s="136">
        <v>28.1</v>
      </c>
      <c r="J86" s="139">
        <v>11</v>
      </c>
      <c r="K86" s="138">
        <v>63</v>
      </c>
      <c r="M86" s="136">
        <v>5.16</v>
      </c>
      <c r="N86" s="139">
        <v>12</v>
      </c>
      <c r="O86" s="138">
        <v>75</v>
      </c>
      <c r="Q86" s="136">
        <v>28.08</v>
      </c>
      <c r="R86" s="139">
        <v>6</v>
      </c>
      <c r="S86" s="138">
        <v>9</v>
      </c>
      <c r="U86" s="136">
        <v>5.18</v>
      </c>
      <c r="V86" s="139">
        <v>18</v>
      </c>
      <c r="W86" s="138" t="s">
        <v>884</v>
      </c>
      <c r="Y86" s="136">
        <v>5.13</v>
      </c>
      <c r="Z86" s="139">
        <v>11</v>
      </c>
      <c r="AA86" s="138">
        <v>63</v>
      </c>
      <c r="AC86" s="136">
        <v>6.01</v>
      </c>
      <c r="AD86" s="139">
        <v>2</v>
      </c>
      <c r="AE86" s="138" t="s">
        <v>883</v>
      </c>
      <c r="AG86" s="136">
        <v>5.23</v>
      </c>
      <c r="AH86" s="137">
        <v>13</v>
      </c>
      <c r="AI86" s="138">
        <v>85</v>
      </c>
      <c r="AK86" s="136">
        <v>6.02</v>
      </c>
      <c r="AL86" s="139">
        <v>2</v>
      </c>
      <c r="AM86" s="138" t="s">
        <v>883</v>
      </c>
      <c r="AO86" s="136">
        <v>28.11</v>
      </c>
      <c r="AP86" s="139">
        <v>6</v>
      </c>
      <c r="AQ86" s="138">
        <v>9</v>
      </c>
      <c r="AS86" s="136">
        <v>5.19</v>
      </c>
      <c r="AT86" s="139">
        <v>12</v>
      </c>
      <c r="AU86" s="138">
        <v>75</v>
      </c>
      <c r="AW86" s="136">
        <v>28.08</v>
      </c>
      <c r="AX86" s="139">
        <v>6</v>
      </c>
      <c r="AY86" s="138">
        <v>9</v>
      </c>
      <c r="BA86" s="136">
        <v>6.09</v>
      </c>
      <c r="BB86" s="139">
        <v>11</v>
      </c>
      <c r="BC86" s="138">
        <v>63</v>
      </c>
    </row>
    <row r="87" spans="5:55" x14ac:dyDescent="0.3">
      <c r="E87" s="152">
        <v>6.0699999999999985</v>
      </c>
      <c r="F87" s="153">
        <v>9</v>
      </c>
      <c r="G87" s="155" t="s">
        <v>879</v>
      </c>
      <c r="I87" s="136">
        <v>28.11</v>
      </c>
      <c r="J87" s="139">
        <v>12</v>
      </c>
      <c r="K87" s="138">
        <v>75</v>
      </c>
      <c r="M87" s="136">
        <v>5.18</v>
      </c>
      <c r="N87" s="139">
        <v>13</v>
      </c>
      <c r="O87" s="138">
        <v>85</v>
      </c>
      <c r="Q87" s="136">
        <v>28.1</v>
      </c>
      <c r="R87" s="139">
        <v>7</v>
      </c>
      <c r="S87" s="138">
        <v>16</v>
      </c>
      <c r="U87" s="136">
        <v>5.21</v>
      </c>
      <c r="V87" s="139">
        <v>19</v>
      </c>
      <c r="W87" s="138" t="s">
        <v>884</v>
      </c>
      <c r="Y87" s="136">
        <v>5.14</v>
      </c>
      <c r="Z87" s="139">
        <v>12</v>
      </c>
      <c r="AA87" s="138">
        <v>75</v>
      </c>
      <c r="AC87" s="136">
        <v>6.02</v>
      </c>
      <c r="AD87" s="139">
        <v>3</v>
      </c>
      <c r="AE87" s="138">
        <v>1</v>
      </c>
      <c r="AG87" s="136">
        <v>5.25</v>
      </c>
      <c r="AH87" s="137">
        <v>14</v>
      </c>
      <c r="AI87" s="138">
        <v>91</v>
      </c>
      <c r="AK87" s="136">
        <v>6.03</v>
      </c>
      <c r="AL87" s="139">
        <v>3</v>
      </c>
      <c r="AM87" s="138">
        <v>1</v>
      </c>
      <c r="AO87" s="136">
        <v>28.12</v>
      </c>
      <c r="AP87" s="139">
        <v>7</v>
      </c>
      <c r="AQ87" s="138">
        <v>16</v>
      </c>
      <c r="AS87" s="136">
        <v>5.2</v>
      </c>
      <c r="AT87" s="139">
        <v>13</v>
      </c>
      <c r="AU87" s="138">
        <v>85</v>
      </c>
      <c r="AW87" s="136">
        <v>28.09</v>
      </c>
      <c r="AX87" s="139">
        <v>7</v>
      </c>
      <c r="AY87" s="138">
        <v>16</v>
      </c>
      <c r="BA87" s="136">
        <v>6.1</v>
      </c>
      <c r="BB87" s="139">
        <v>12</v>
      </c>
      <c r="BC87" s="138">
        <v>75</v>
      </c>
    </row>
    <row r="88" spans="5:55" x14ac:dyDescent="0.3">
      <c r="E88" s="152">
        <v>6.0799999999999983</v>
      </c>
      <c r="F88" s="153">
        <v>10</v>
      </c>
      <c r="G88" s="155" t="s">
        <v>866</v>
      </c>
      <c r="I88" s="136">
        <v>28.12</v>
      </c>
      <c r="J88" s="139">
        <v>13</v>
      </c>
      <c r="K88" s="138">
        <v>85</v>
      </c>
      <c r="M88" s="136">
        <v>5.19</v>
      </c>
      <c r="N88" s="139">
        <v>14</v>
      </c>
      <c r="O88" s="138">
        <v>91</v>
      </c>
      <c r="Q88" s="136">
        <v>28.13</v>
      </c>
      <c r="R88" s="139">
        <v>8</v>
      </c>
      <c r="S88" s="138">
        <v>25</v>
      </c>
      <c r="U88" s="136">
        <v>6</v>
      </c>
      <c r="V88" s="139">
        <v>1</v>
      </c>
      <c r="W88" s="138" t="s">
        <v>883</v>
      </c>
      <c r="Y88" s="136">
        <v>5.16</v>
      </c>
      <c r="Z88" s="139">
        <v>13</v>
      </c>
      <c r="AA88" s="138">
        <v>85</v>
      </c>
      <c r="AC88" s="136">
        <v>6.03</v>
      </c>
      <c r="AD88" s="139">
        <v>4</v>
      </c>
      <c r="AE88" s="138">
        <v>2</v>
      </c>
      <c r="AG88" s="136">
        <v>5.27</v>
      </c>
      <c r="AH88" s="137">
        <v>15</v>
      </c>
      <c r="AI88" s="138">
        <v>95</v>
      </c>
      <c r="AK88" s="136">
        <v>6.04</v>
      </c>
      <c r="AL88" s="139">
        <v>4</v>
      </c>
      <c r="AM88" s="138">
        <v>2</v>
      </c>
      <c r="AO88" s="136">
        <v>28.13</v>
      </c>
      <c r="AP88" s="139">
        <v>8</v>
      </c>
      <c r="AQ88" s="138">
        <v>25</v>
      </c>
      <c r="AS88" s="136">
        <v>5.22</v>
      </c>
      <c r="AT88" s="139">
        <v>14</v>
      </c>
      <c r="AU88" s="138">
        <v>91</v>
      </c>
      <c r="AW88" s="136">
        <v>28.11</v>
      </c>
      <c r="AX88" s="139">
        <v>8</v>
      </c>
      <c r="AY88" s="138">
        <v>25</v>
      </c>
      <c r="BA88" s="136">
        <v>6.11</v>
      </c>
      <c r="BB88" s="139">
        <v>13</v>
      </c>
      <c r="BC88" s="138">
        <v>85</v>
      </c>
    </row>
    <row r="89" spans="5:55" x14ac:dyDescent="0.3">
      <c r="E89" s="152">
        <v>6.1</v>
      </c>
      <c r="F89" s="153">
        <v>10</v>
      </c>
      <c r="G89" s="155" t="s">
        <v>867</v>
      </c>
      <c r="I89" s="136">
        <v>28.14</v>
      </c>
      <c r="J89" s="139">
        <v>14</v>
      </c>
      <c r="K89" s="138">
        <v>91</v>
      </c>
      <c r="M89" s="136">
        <v>5.21</v>
      </c>
      <c r="N89" s="139">
        <v>15</v>
      </c>
      <c r="O89" s="138">
        <v>95</v>
      </c>
      <c r="Q89" s="136">
        <v>28.15</v>
      </c>
      <c r="R89" s="139">
        <v>9</v>
      </c>
      <c r="S89" s="138">
        <v>37</v>
      </c>
      <c r="U89" s="136">
        <v>6.01</v>
      </c>
      <c r="V89" s="139">
        <v>2</v>
      </c>
      <c r="W89" s="138" t="s">
        <v>883</v>
      </c>
      <c r="Y89" s="136">
        <v>5.17</v>
      </c>
      <c r="Z89" s="139">
        <v>14</v>
      </c>
      <c r="AA89" s="138">
        <v>91</v>
      </c>
      <c r="AC89" s="136">
        <v>6.04</v>
      </c>
      <c r="AD89" s="139">
        <v>5</v>
      </c>
      <c r="AE89" s="138">
        <v>5</v>
      </c>
      <c r="AG89" s="136">
        <v>5.29</v>
      </c>
      <c r="AH89" s="137">
        <v>16</v>
      </c>
      <c r="AI89" s="138">
        <v>98</v>
      </c>
      <c r="AK89" s="136">
        <v>6.05</v>
      </c>
      <c r="AL89" s="139">
        <v>5</v>
      </c>
      <c r="AM89" s="138">
        <v>5</v>
      </c>
      <c r="AO89" s="136">
        <v>28.14</v>
      </c>
      <c r="AP89" s="139">
        <v>9</v>
      </c>
      <c r="AQ89" s="138">
        <v>37</v>
      </c>
      <c r="AS89" s="136">
        <v>5.24</v>
      </c>
      <c r="AT89" s="139">
        <v>15</v>
      </c>
      <c r="AU89" s="138">
        <v>95</v>
      </c>
      <c r="AW89" s="136">
        <v>28.12</v>
      </c>
      <c r="AX89" s="139">
        <v>9</v>
      </c>
      <c r="AY89" s="138">
        <v>37</v>
      </c>
      <c r="BA89" s="136">
        <v>6.12</v>
      </c>
      <c r="BB89" s="139">
        <v>14</v>
      </c>
      <c r="BC89" s="138">
        <v>91</v>
      </c>
    </row>
    <row r="90" spans="5:55" x14ac:dyDescent="0.3">
      <c r="E90" s="152">
        <v>6.1099999999999994</v>
      </c>
      <c r="F90" s="153">
        <v>12</v>
      </c>
      <c r="G90" s="155" t="s">
        <v>868</v>
      </c>
      <c r="I90" s="136">
        <v>28.15</v>
      </c>
      <c r="J90" s="139">
        <v>15</v>
      </c>
      <c r="K90" s="138">
        <v>95</v>
      </c>
      <c r="M90" s="136">
        <v>5.23</v>
      </c>
      <c r="N90" s="139">
        <v>16</v>
      </c>
      <c r="O90" s="138">
        <v>98</v>
      </c>
      <c r="Q90" s="136">
        <v>28.17</v>
      </c>
      <c r="R90" s="139">
        <v>10</v>
      </c>
      <c r="S90" s="138">
        <v>50</v>
      </c>
      <c r="U90" s="136">
        <v>6.02</v>
      </c>
      <c r="V90" s="139">
        <v>3</v>
      </c>
      <c r="W90" s="138">
        <v>1</v>
      </c>
      <c r="Y90" s="136">
        <v>5.18</v>
      </c>
      <c r="Z90" s="139">
        <v>15</v>
      </c>
      <c r="AA90" s="138">
        <v>95</v>
      </c>
      <c r="AC90" s="136">
        <v>6.05</v>
      </c>
      <c r="AD90" s="139">
        <v>6</v>
      </c>
      <c r="AE90" s="138">
        <v>9</v>
      </c>
      <c r="AG90" s="136">
        <v>5.31</v>
      </c>
      <c r="AH90" s="137">
        <v>17</v>
      </c>
      <c r="AI90" s="138">
        <v>99</v>
      </c>
      <c r="AK90" s="136">
        <v>6.06</v>
      </c>
      <c r="AL90" s="139">
        <v>6</v>
      </c>
      <c r="AM90" s="138">
        <v>9</v>
      </c>
      <c r="AO90" s="136">
        <v>28.15</v>
      </c>
      <c r="AP90" s="139">
        <v>10</v>
      </c>
      <c r="AQ90" s="138">
        <v>50</v>
      </c>
      <c r="AS90" s="136">
        <v>5.26</v>
      </c>
      <c r="AT90" s="139">
        <v>16</v>
      </c>
      <c r="AU90" s="138">
        <v>98</v>
      </c>
      <c r="AW90" s="136">
        <v>28.14</v>
      </c>
      <c r="AX90" s="139">
        <v>10</v>
      </c>
      <c r="AY90" s="138">
        <v>50</v>
      </c>
      <c r="BA90" s="136">
        <v>6.13</v>
      </c>
      <c r="BB90" s="139">
        <v>15</v>
      </c>
      <c r="BC90" s="138">
        <v>95</v>
      </c>
    </row>
    <row r="91" spans="5:55" x14ac:dyDescent="0.3">
      <c r="E91" s="152">
        <v>6.1199999999999992</v>
      </c>
      <c r="F91" s="153">
        <v>13</v>
      </c>
      <c r="G91" s="155" t="s">
        <v>869</v>
      </c>
      <c r="I91" s="136">
        <v>28.16</v>
      </c>
      <c r="J91" s="139">
        <v>16</v>
      </c>
      <c r="K91" s="138">
        <v>98</v>
      </c>
      <c r="M91" s="136">
        <v>5.24</v>
      </c>
      <c r="N91" s="139">
        <v>17</v>
      </c>
      <c r="O91" s="138">
        <v>99</v>
      </c>
      <c r="Q91" s="136">
        <v>28.2</v>
      </c>
      <c r="R91" s="139">
        <v>11</v>
      </c>
      <c r="S91" s="138">
        <v>63</v>
      </c>
      <c r="U91" s="136">
        <v>6.03</v>
      </c>
      <c r="V91" s="139">
        <v>4</v>
      </c>
      <c r="W91" s="138">
        <v>2</v>
      </c>
      <c r="Y91" s="136">
        <v>5.19</v>
      </c>
      <c r="Z91" s="139">
        <v>16</v>
      </c>
      <c r="AA91" s="138">
        <v>98</v>
      </c>
      <c r="AC91" s="136">
        <v>6.06</v>
      </c>
      <c r="AD91" s="139">
        <v>7</v>
      </c>
      <c r="AE91" s="138">
        <v>16</v>
      </c>
      <c r="AG91" s="136">
        <v>5.35</v>
      </c>
      <c r="AH91" s="137">
        <v>18</v>
      </c>
      <c r="AI91" s="138" t="s">
        <v>884</v>
      </c>
      <c r="AK91" s="136">
        <v>6.07</v>
      </c>
      <c r="AL91" s="139">
        <v>7</v>
      </c>
      <c r="AM91" s="138">
        <v>16</v>
      </c>
      <c r="AO91" s="136">
        <v>28.16</v>
      </c>
      <c r="AP91" s="139">
        <v>11</v>
      </c>
      <c r="AQ91" s="138">
        <v>63</v>
      </c>
      <c r="AS91" s="136">
        <v>5.27</v>
      </c>
      <c r="AT91" s="139">
        <v>17</v>
      </c>
      <c r="AU91" s="138">
        <v>99</v>
      </c>
      <c r="AW91" s="136">
        <v>28.15</v>
      </c>
      <c r="AX91" s="139">
        <v>11</v>
      </c>
      <c r="AY91" s="138">
        <v>63</v>
      </c>
      <c r="BA91" s="136">
        <v>6.14</v>
      </c>
      <c r="BB91" s="139">
        <v>16</v>
      </c>
      <c r="BC91" s="138">
        <v>98</v>
      </c>
    </row>
    <row r="92" spans="5:55" x14ac:dyDescent="0.3">
      <c r="E92" s="152">
        <v>6.14</v>
      </c>
      <c r="F92" s="153">
        <v>14</v>
      </c>
      <c r="G92" s="155" t="s">
        <v>870</v>
      </c>
      <c r="I92" s="136">
        <v>28.18</v>
      </c>
      <c r="J92" s="139">
        <v>17</v>
      </c>
      <c r="K92" s="138">
        <v>99</v>
      </c>
      <c r="M92" s="136">
        <v>5.26</v>
      </c>
      <c r="N92" s="139">
        <v>18</v>
      </c>
      <c r="O92" s="138" t="s">
        <v>884</v>
      </c>
      <c r="Q92" s="136">
        <v>28.22</v>
      </c>
      <c r="R92" s="139">
        <v>12</v>
      </c>
      <c r="S92" s="138">
        <v>75</v>
      </c>
      <c r="U92" s="136">
        <v>6.04</v>
      </c>
      <c r="V92" s="139">
        <v>5</v>
      </c>
      <c r="W92" s="138">
        <v>5</v>
      </c>
      <c r="Y92" s="136">
        <v>5.2</v>
      </c>
      <c r="Z92" s="139">
        <v>17</v>
      </c>
      <c r="AA92" s="138">
        <v>99</v>
      </c>
      <c r="AC92" s="136">
        <v>6.07</v>
      </c>
      <c r="AD92" s="139">
        <v>8</v>
      </c>
      <c r="AE92" s="138">
        <v>25</v>
      </c>
      <c r="AG92" s="136">
        <v>5.36</v>
      </c>
      <c r="AH92" s="137">
        <v>19</v>
      </c>
      <c r="AI92" s="138" t="s">
        <v>884</v>
      </c>
      <c r="AK92" s="136">
        <v>6.08</v>
      </c>
      <c r="AL92" s="139">
        <v>8</v>
      </c>
      <c r="AM92" s="138">
        <v>25</v>
      </c>
      <c r="AO92" s="136">
        <v>28.17</v>
      </c>
      <c r="AP92" s="139">
        <v>12</v>
      </c>
      <c r="AQ92" s="138">
        <v>75</v>
      </c>
      <c r="AS92" s="136">
        <v>5.29</v>
      </c>
      <c r="AT92" s="139">
        <v>18</v>
      </c>
      <c r="AU92" s="138" t="s">
        <v>884</v>
      </c>
      <c r="AW92" s="136">
        <v>28.17</v>
      </c>
      <c r="AX92" s="139">
        <v>12</v>
      </c>
      <c r="AY92" s="138">
        <v>75</v>
      </c>
      <c r="BA92" s="136">
        <v>6.15</v>
      </c>
      <c r="BB92" s="139">
        <v>17</v>
      </c>
      <c r="BC92" s="138">
        <v>99</v>
      </c>
    </row>
    <row r="93" spans="5:55" x14ac:dyDescent="0.3">
      <c r="E93" s="152">
        <v>6.1499999999999995</v>
      </c>
      <c r="F93" s="153">
        <v>15</v>
      </c>
      <c r="G93" s="155" t="s">
        <v>871</v>
      </c>
      <c r="I93" s="136">
        <v>28.19</v>
      </c>
      <c r="J93" s="139">
        <v>18</v>
      </c>
      <c r="K93" s="138" t="s">
        <v>884</v>
      </c>
      <c r="M93" s="136">
        <v>5.3</v>
      </c>
      <c r="N93" s="139">
        <v>19</v>
      </c>
      <c r="O93" s="138" t="s">
        <v>884</v>
      </c>
      <c r="Q93" s="136">
        <v>28.24</v>
      </c>
      <c r="R93" s="139">
        <v>13</v>
      </c>
      <c r="S93" s="138">
        <v>85</v>
      </c>
      <c r="U93" s="136">
        <v>6.05</v>
      </c>
      <c r="V93" s="139">
        <v>6</v>
      </c>
      <c r="W93" s="138">
        <v>9</v>
      </c>
      <c r="Y93" s="136">
        <v>5.22</v>
      </c>
      <c r="Z93" s="139">
        <v>18</v>
      </c>
      <c r="AA93" s="138" t="s">
        <v>884</v>
      </c>
      <c r="AC93" s="136">
        <v>6.09</v>
      </c>
      <c r="AD93" s="139">
        <v>9</v>
      </c>
      <c r="AE93" s="138">
        <v>37</v>
      </c>
      <c r="AG93" s="136">
        <v>6</v>
      </c>
      <c r="AH93" s="137">
        <v>1</v>
      </c>
      <c r="AI93" s="138" t="s">
        <v>883</v>
      </c>
      <c r="AK93" s="136">
        <v>6.09</v>
      </c>
      <c r="AL93" s="139">
        <v>9</v>
      </c>
      <c r="AM93" s="138">
        <v>37</v>
      </c>
      <c r="AO93" s="136">
        <v>28.18</v>
      </c>
      <c r="AP93" s="139">
        <v>13</v>
      </c>
      <c r="AQ93" s="138">
        <v>85</v>
      </c>
      <c r="AS93" s="136">
        <v>5.3</v>
      </c>
      <c r="AT93" s="139">
        <v>19</v>
      </c>
      <c r="AU93" s="138" t="s">
        <v>884</v>
      </c>
      <c r="AW93" s="136">
        <v>28.18</v>
      </c>
      <c r="AX93" s="139">
        <v>13</v>
      </c>
      <c r="AY93" s="138">
        <v>85</v>
      </c>
      <c r="BA93" s="136">
        <v>6.16</v>
      </c>
      <c r="BB93" s="139">
        <v>18</v>
      </c>
      <c r="BC93" s="138" t="s">
        <v>884</v>
      </c>
    </row>
    <row r="94" spans="5:55" x14ac:dyDescent="0.3">
      <c r="E94" s="152">
        <v>6.17</v>
      </c>
      <c r="F94" s="153">
        <v>16</v>
      </c>
      <c r="G94" s="155" t="s">
        <v>872</v>
      </c>
      <c r="I94" s="136">
        <v>28.21</v>
      </c>
      <c r="J94" s="139">
        <v>19</v>
      </c>
      <c r="K94" s="138" t="s">
        <v>884</v>
      </c>
      <c r="M94" s="136">
        <v>6</v>
      </c>
      <c r="N94" s="139">
        <v>1</v>
      </c>
      <c r="O94" s="138" t="s">
        <v>883</v>
      </c>
      <c r="Q94" s="136">
        <v>28.27</v>
      </c>
      <c r="R94" s="139">
        <v>14</v>
      </c>
      <c r="S94" s="138">
        <v>91</v>
      </c>
      <c r="U94" s="136">
        <v>6.06</v>
      </c>
      <c r="V94" s="139">
        <v>7</v>
      </c>
      <c r="W94" s="138">
        <v>16</v>
      </c>
      <c r="Y94" s="136">
        <v>5.23</v>
      </c>
      <c r="Z94" s="139">
        <v>19</v>
      </c>
      <c r="AA94" s="138" t="s">
        <v>884</v>
      </c>
      <c r="AC94" s="136">
        <v>6.1</v>
      </c>
      <c r="AD94" s="139">
        <v>10</v>
      </c>
      <c r="AE94" s="138">
        <v>50</v>
      </c>
      <c r="AG94" s="136">
        <v>6.03</v>
      </c>
      <c r="AH94" s="137">
        <v>2</v>
      </c>
      <c r="AI94" s="138" t="s">
        <v>883</v>
      </c>
      <c r="AK94" s="136">
        <v>6.11</v>
      </c>
      <c r="AL94" s="139">
        <v>10</v>
      </c>
      <c r="AM94" s="138">
        <v>50</v>
      </c>
      <c r="AO94" s="136">
        <v>28.19</v>
      </c>
      <c r="AP94" s="139">
        <v>14</v>
      </c>
      <c r="AQ94" s="138">
        <v>91</v>
      </c>
      <c r="AS94" s="136">
        <v>6</v>
      </c>
      <c r="AT94" s="139">
        <v>1</v>
      </c>
      <c r="AU94" s="138" t="s">
        <v>883</v>
      </c>
      <c r="AW94" s="136">
        <v>28.2</v>
      </c>
      <c r="AX94" s="139">
        <v>14</v>
      </c>
      <c r="AY94" s="138">
        <v>91</v>
      </c>
      <c r="BA94" s="136">
        <v>6.17</v>
      </c>
      <c r="BB94" s="139">
        <v>19</v>
      </c>
      <c r="BC94" s="138" t="s">
        <v>884</v>
      </c>
    </row>
    <row r="95" spans="5:55" x14ac:dyDescent="0.3">
      <c r="E95" s="152">
        <v>6.19</v>
      </c>
      <c r="F95" s="153">
        <v>17</v>
      </c>
      <c r="G95" s="155" t="s">
        <v>873</v>
      </c>
      <c r="I95" s="136">
        <v>29</v>
      </c>
      <c r="J95" s="139">
        <v>1</v>
      </c>
      <c r="K95" s="138" t="s">
        <v>883</v>
      </c>
      <c r="M95" s="136">
        <v>6.02</v>
      </c>
      <c r="N95" s="139">
        <v>2</v>
      </c>
      <c r="O95" s="138" t="s">
        <v>883</v>
      </c>
      <c r="Q95" s="136">
        <v>28.29</v>
      </c>
      <c r="R95" s="139">
        <v>15</v>
      </c>
      <c r="S95" s="138">
        <v>95</v>
      </c>
      <c r="U95" s="136">
        <v>6.07</v>
      </c>
      <c r="V95" s="139">
        <v>8</v>
      </c>
      <c r="W95" s="138">
        <v>25</v>
      </c>
      <c r="Y95" s="136">
        <v>6</v>
      </c>
      <c r="Z95" s="139">
        <v>1</v>
      </c>
      <c r="AA95" s="138" t="s">
        <v>883</v>
      </c>
      <c r="AC95" s="136">
        <v>6.11</v>
      </c>
      <c r="AD95" s="139">
        <v>11</v>
      </c>
      <c r="AE95" s="138">
        <v>63</v>
      </c>
      <c r="AG95" s="136">
        <v>6.05</v>
      </c>
      <c r="AH95" s="137">
        <v>3</v>
      </c>
      <c r="AI95" s="138">
        <v>1</v>
      </c>
      <c r="AK95" s="136">
        <v>6.12</v>
      </c>
      <c r="AL95" s="139">
        <v>11</v>
      </c>
      <c r="AM95" s="138">
        <v>63</v>
      </c>
      <c r="AO95" s="136">
        <v>28.2</v>
      </c>
      <c r="AP95" s="139">
        <v>15</v>
      </c>
      <c r="AQ95" s="138">
        <v>95</v>
      </c>
      <c r="AS95" s="136">
        <v>6.02</v>
      </c>
      <c r="AT95" s="139">
        <v>2</v>
      </c>
      <c r="AU95" s="138" t="s">
        <v>883</v>
      </c>
      <c r="AW95" s="136">
        <v>28.21</v>
      </c>
      <c r="AX95" s="139">
        <v>15</v>
      </c>
      <c r="AY95" s="138">
        <v>95</v>
      </c>
      <c r="BA95" s="136">
        <v>7</v>
      </c>
      <c r="BB95" s="139">
        <v>1</v>
      </c>
      <c r="BC95" s="138" t="s">
        <v>883</v>
      </c>
    </row>
    <row r="96" spans="5:55" x14ac:dyDescent="0.3">
      <c r="E96" s="152">
        <v>6.21</v>
      </c>
      <c r="F96" s="153">
        <v>18</v>
      </c>
      <c r="G96" s="155" t="s">
        <v>874</v>
      </c>
      <c r="I96" s="136">
        <v>29.01</v>
      </c>
      <c r="J96" s="139">
        <v>3</v>
      </c>
      <c r="K96" s="138">
        <v>1</v>
      </c>
      <c r="M96" s="136">
        <v>6.03</v>
      </c>
      <c r="N96" s="139">
        <v>3</v>
      </c>
      <c r="O96" s="138">
        <v>1</v>
      </c>
      <c r="Q96" s="136">
        <v>28.31</v>
      </c>
      <c r="R96" s="139">
        <v>16</v>
      </c>
      <c r="S96" s="138">
        <v>98</v>
      </c>
      <c r="U96" s="136">
        <v>6.08</v>
      </c>
      <c r="V96" s="139">
        <v>9</v>
      </c>
      <c r="W96" s="138">
        <v>37</v>
      </c>
      <c r="Y96" s="136">
        <v>6.02</v>
      </c>
      <c r="Z96" s="139">
        <v>2</v>
      </c>
      <c r="AA96" s="138" t="s">
        <v>883</v>
      </c>
      <c r="AC96" s="136">
        <v>6.12</v>
      </c>
      <c r="AD96" s="139">
        <v>12</v>
      </c>
      <c r="AE96" s="138">
        <v>75</v>
      </c>
      <c r="AG96" s="136">
        <v>6.11</v>
      </c>
      <c r="AH96" s="137">
        <v>4</v>
      </c>
      <c r="AI96" s="138">
        <v>2</v>
      </c>
      <c r="AK96" s="136">
        <v>6.13</v>
      </c>
      <c r="AL96" s="139">
        <v>12</v>
      </c>
      <c r="AM96" s="138">
        <v>75</v>
      </c>
      <c r="AO96" s="136">
        <v>28.21</v>
      </c>
      <c r="AP96" s="139">
        <v>16</v>
      </c>
      <c r="AQ96" s="138">
        <v>98</v>
      </c>
      <c r="AS96" s="136">
        <v>6.06</v>
      </c>
      <c r="AT96" s="139">
        <v>3</v>
      </c>
      <c r="AU96" s="138">
        <v>1</v>
      </c>
      <c r="AW96" s="136">
        <v>28.23</v>
      </c>
      <c r="AX96" s="139">
        <v>16</v>
      </c>
      <c r="AY96" s="138">
        <v>98</v>
      </c>
      <c r="BA96" s="136">
        <v>7.01</v>
      </c>
      <c r="BB96" s="139">
        <v>2</v>
      </c>
      <c r="BC96" s="138" t="s">
        <v>883</v>
      </c>
    </row>
    <row r="97" spans="5:55" ht="19.5" thickBot="1" x14ac:dyDescent="0.35">
      <c r="E97" s="157">
        <v>6.23</v>
      </c>
      <c r="F97" s="158">
        <v>19</v>
      </c>
      <c r="G97" s="159" t="s">
        <v>874</v>
      </c>
      <c r="I97" s="136">
        <v>29.02</v>
      </c>
      <c r="J97" s="139">
        <v>4</v>
      </c>
      <c r="K97" s="138">
        <v>2</v>
      </c>
      <c r="M97" s="136">
        <v>6.04</v>
      </c>
      <c r="N97" s="139">
        <v>4</v>
      </c>
      <c r="O97" s="138">
        <v>2</v>
      </c>
      <c r="Q97" s="136">
        <v>28.34</v>
      </c>
      <c r="R97" s="139">
        <v>17</v>
      </c>
      <c r="S97" s="138">
        <v>99</v>
      </c>
      <c r="U97" s="136">
        <v>6.09</v>
      </c>
      <c r="V97" s="139">
        <v>10</v>
      </c>
      <c r="W97" s="138">
        <v>50</v>
      </c>
      <c r="Y97" s="136">
        <v>6.06</v>
      </c>
      <c r="Z97" s="139">
        <v>3</v>
      </c>
      <c r="AA97" s="138">
        <v>1</v>
      </c>
      <c r="AC97" s="136">
        <v>6.13</v>
      </c>
      <c r="AD97" s="139">
        <v>13</v>
      </c>
      <c r="AE97" s="138">
        <v>85</v>
      </c>
      <c r="AG97" s="136">
        <v>6.13</v>
      </c>
      <c r="AH97" s="137">
        <v>5</v>
      </c>
      <c r="AI97" s="138">
        <v>5</v>
      </c>
      <c r="AK97" s="136">
        <v>6.15</v>
      </c>
      <c r="AL97" s="139">
        <v>13</v>
      </c>
      <c r="AM97" s="138">
        <v>85</v>
      </c>
      <c r="AO97" s="136">
        <v>28.23</v>
      </c>
      <c r="AP97" s="139">
        <v>17</v>
      </c>
      <c r="AQ97" s="138">
        <v>99</v>
      </c>
      <c r="AS97" s="136">
        <v>6.08</v>
      </c>
      <c r="AT97" s="139">
        <v>4</v>
      </c>
      <c r="AU97" s="138">
        <v>2</v>
      </c>
      <c r="AW97" s="136">
        <v>28.25</v>
      </c>
      <c r="AX97" s="139">
        <v>17</v>
      </c>
      <c r="AY97" s="138">
        <v>99</v>
      </c>
      <c r="BA97" s="136">
        <v>7.02</v>
      </c>
      <c r="BB97" s="139">
        <v>3</v>
      </c>
      <c r="BC97" s="138">
        <v>1</v>
      </c>
    </row>
    <row r="98" spans="5:55" x14ac:dyDescent="0.3">
      <c r="E98" s="160">
        <v>7</v>
      </c>
      <c r="F98" s="161">
        <v>1</v>
      </c>
      <c r="G98" s="162" t="s">
        <v>862</v>
      </c>
      <c r="I98" s="136">
        <v>29.03</v>
      </c>
      <c r="J98" s="139">
        <v>5</v>
      </c>
      <c r="K98" s="138">
        <v>5</v>
      </c>
      <c r="M98" s="136">
        <v>6.05</v>
      </c>
      <c r="N98" s="139">
        <v>5</v>
      </c>
      <c r="O98" s="138">
        <v>5</v>
      </c>
      <c r="Q98" s="136">
        <v>28.36</v>
      </c>
      <c r="R98" s="139">
        <v>18</v>
      </c>
      <c r="S98" s="138" t="s">
        <v>884</v>
      </c>
      <c r="U98" s="136">
        <v>6.11</v>
      </c>
      <c r="V98" s="139">
        <v>11</v>
      </c>
      <c r="W98" s="138">
        <v>63</v>
      </c>
      <c r="Y98" s="136">
        <v>6.07</v>
      </c>
      <c r="Z98" s="139">
        <v>4</v>
      </c>
      <c r="AA98" s="138">
        <v>2</v>
      </c>
      <c r="AC98" s="136">
        <v>6.14</v>
      </c>
      <c r="AD98" s="139">
        <v>14</v>
      </c>
      <c r="AE98" s="138">
        <v>91</v>
      </c>
      <c r="AG98" s="136">
        <v>6.15</v>
      </c>
      <c r="AH98" s="137">
        <v>6</v>
      </c>
      <c r="AI98" s="138">
        <v>9</v>
      </c>
      <c r="AK98" s="136">
        <v>6.16</v>
      </c>
      <c r="AL98" s="139">
        <v>14</v>
      </c>
      <c r="AM98" s="138">
        <v>91</v>
      </c>
      <c r="AO98" s="136">
        <v>28.24</v>
      </c>
      <c r="AP98" s="139">
        <v>18</v>
      </c>
      <c r="AQ98" s="138" t="s">
        <v>884</v>
      </c>
      <c r="AS98" s="136">
        <v>6.1</v>
      </c>
      <c r="AT98" s="139">
        <v>5</v>
      </c>
      <c r="AU98" s="138">
        <v>5</v>
      </c>
      <c r="AW98" s="136">
        <v>28.26</v>
      </c>
      <c r="AX98" s="139">
        <v>18</v>
      </c>
      <c r="AY98" s="138" t="s">
        <v>884</v>
      </c>
      <c r="BA98" s="136">
        <v>7.03</v>
      </c>
      <c r="BB98" s="139">
        <v>4</v>
      </c>
      <c r="BC98" s="138">
        <v>2</v>
      </c>
    </row>
    <row r="99" spans="5:55" x14ac:dyDescent="0.3">
      <c r="E99" s="152">
        <v>7.01</v>
      </c>
      <c r="F99" s="153">
        <v>2</v>
      </c>
      <c r="G99" s="155" t="s">
        <v>862</v>
      </c>
      <c r="I99" s="136">
        <v>29.04</v>
      </c>
      <c r="J99" s="139">
        <v>6</v>
      </c>
      <c r="K99" s="138">
        <v>9</v>
      </c>
      <c r="M99" s="136">
        <v>6.07</v>
      </c>
      <c r="N99" s="139">
        <v>6</v>
      </c>
      <c r="O99" s="138">
        <v>9</v>
      </c>
      <c r="Q99" s="136">
        <v>28.39</v>
      </c>
      <c r="R99" s="139">
        <v>19</v>
      </c>
      <c r="S99" s="138" t="s">
        <v>884</v>
      </c>
      <c r="U99" s="136">
        <v>6.12</v>
      </c>
      <c r="V99" s="139">
        <v>12</v>
      </c>
      <c r="W99" s="138">
        <v>75</v>
      </c>
      <c r="Y99" s="136">
        <v>6.08</v>
      </c>
      <c r="Z99" s="139">
        <v>5</v>
      </c>
      <c r="AA99" s="138">
        <v>5</v>
      </c>
      <c r="AC99" s="136">
        <v>6.15</v>
      </c>
      <c r="AD99" s="139">
        <v>15</v>
      </c>
      <c r="AE99" s="138">
        <v>95</v>
      </c>
      <c r="AG99" s="136">
        <v>6.17</v>
      </c>
      <c r="AH99" s="137">
        <v>7</v>
      </c>
      <c r="AI99" s="138">
        <v>16</v>
      </c>
      <c r="AK99" s="136">
        <v>6.17</v>
      </c>
      <c r="AL99" s="139">
        <v>15</v>
      </c>
      <c r="AM99" s="138">
        <v>95</v>
      </c>
      <c r="AO99" s="136">
        <v>28.25</v>
      </c>
      <c r="AP99" s="139">
        <v>19</v>
      </c>
      <c r="AQ99" s="138" t="s">
        <v>884</v>
      </c>
      <c r="AS99" s="136">
        <v>6.11</v>
      </c>
      <c r="AT99" s="139">
        <v>6</v>
      </c>
      <c r="AU99" s="138">
        <v>9</v>
      </c>
      <c r="AW99" s="136">
        <v>28.28</v>
      </c>
      <c r="AX99" s="139">
        <v>19</v>
      </c>
      <c r="AY99" s="138" t="s">
        <v>884</v>
      </c>
      <c r="BA99" s="136">
        <v>7.04</v>
      </c>
      <c r="BB99" s="139">
        <v>5</v>
      </c>
      <c r="BC99" s="138">
        <v>5</v>
      </c>
    </row>
    <row r="100" spans="5:55" x14ac:dyDescent="0.3">
      <c r="E100" s="152">
        <v>7.02</v>
      </c>
      <c r="F100" s="153">
        <v>3</v>
      </c>
      <c r="G100" s="155" t="s">
        <v>876</v>
      </c>
      <c r="I100" s="136">
        <v>29.05</v>
      </c>
      <c r="J100" s="139">
        <v>7</v>
      </c>
      <c r="K100" s="138">
        <v>16</v>
      </c>
      <c r="M100" s="136">
        <v>6.09</v>
      </c>
      <c r="N100" s="139">
        <v>7</v>
      </c>
      <c r="O100" s="138">
        <v>16</v>
      </c>
      <c r="Q100" s="136">
        <v>29</v>
      </c>
      <c r="R100" s="139">
        <v>1</v>
      </c>
      <c r="S100" s="138" t="s">
        <v>883</v>
      </c>
      <c r="U100" s="136">
        <v>6.13</v>
      </c>
      <c r="V100" s="139">
        <v>13</v>
      </c>
      <c r="W100" s="138">
        <v>85</v>
      </c>
      <c r="Y100" s="136">
        <v>6.09</v>
      </c>
      <c r="Z100" s="139">
        <v>6</v>
      </c>
      <c r="AA100" s="138">
        <v>9</v>
      </c>
      <c r="AC100" s="136">
        <v>6.16</v>
      </c>
      <c r="AD100" s="139">
        <v>16</v>
      </c>
      <c r="AE100" s="138">
        <v>98</v>
      </c>
      <c r="AG100" s="136">
        <v>6.19</v>
      </c>
      <c r="AH100" s="137">
        <v>8</v>
      </c>
      <c r="AI100" s="138">
        <v>25</v>
      </c>
      <c r="AK100" s="136">
        <v>6.19</v>
      </c>
      <c r="AL100" s="139">
        <v>16</v>
      </c>
      <c r="AM100" s="138">
        <v>98</v>
      </c>
      <c r="AO100" s="136">
        <v>29</v>
      </c>
      <c r="AP100" s="139">
        <v>1</v>
      </c>
      <c r="AQ100" s="138" t="s">
        <v>883</v>
      </c>
      <c r="AS100" s="136">
        <v>6.13</v>
      </c>
      <c r="AT100" s="139">
        <v>7</v>
      </c>
      <c r="AU100" s="138">
        <v>16</v>
      </c>
      <c r="AW100" s="136">
        <v>29</v>
      </c>
      <c r="AX100" s="139">
        <v>1</v>
      </c>
      <c r="AY100" s="138" t="s">
        <v>883</v>
      </c>
      <c r="BA100" s="136">
        <v>7.05</v>
      </c>
      <c r="BB100" s="139">
        <v>6</v>
      </c>
      <c r="BC100" s="138">
        <v>9</v>
      </c>
    </row>
    <row r="101" spans="5:55" x14ac:dyDescent="0.3">
      <c r="E101" s="152">
        <v>7.0299999999999994</v>
      </c>
      <c r="F101" s="153">
        <v>4</v>
      </c>
      <c r="G101" s="155" t="s">
        <v>863</v>
      </c>
      <c r="I101" s="136">
        <v>29.06</v>
      </c>
      <c r="J101" s="139">
        <v>8</v>
      </c>
      <c r="K101" s="138">
        <v>25</v>
      </c>
      <c r="M101" s="136">
        <v>6.11</v>
      </c>
      <c r="N101" s="139">
        <v>8</v>
      </c>
      <c r="O101" s="138">
        <v>25</v>
      </c>
      <c r="Q101" s="136">
        <v>29.01</v>
      </c>
      <c r="R101" s="139">
        <v>2</v>
      </c>
      <c r="S101" s="138" t="s">
        <v>883</v>
      </c>
      <c r="U101" s="136">
        <v>6.15</v>
      </c>
      <c r="V101" s="139">
        <v>14</v>
      </c>
      <c r="W101" s="138">
        <v>91</v>
      </c>
      <c r="Y101" s="136">
        <v>6.11</v>
      </c>
      <c r="Z101" s="139">
        <v>7</v>
      </c>
      <c r="AA101" s="138">
        <v>16</v>
      </c>
      <c r="AC101" s="136">
        <v>6.18</v>
      </c>
      <c r="AD101" s="139">
        <v>17</v>
      </c>
      <c r="AE101" s="138">
        <v>99</v>
      </c>
      <c r="AG101" s="136">
        <v>6.21</v>
      </c>
      <c r="AH101" s="137">
        <v>9</v>
      </c>
      <c r="AI101" s="138">
        <v>37</v>
      </c>
      <c r="AK101" s="136">
        <v>6.22</v>
      </c>
      <c r="AL101" s="139">
        <v>17</v>
      </c>
      <c r="AM101" s="138">
        <v>99</v>
      </c>
      <c r="AO101" s="136">
        <v>29.06</v>
      </c>
      <c r="AP101" s="139">
        <v>2</v>
      </c>
      <c r="AQ101" s="138" t="s">
        <v>883</v>
      </c>
      <c r="AS101" s="136">
        <v>6.15</v>
      </c>
      <c r="AT101" s="139">
        <v>8</v>
      </c>
      <c r="AU101" s="138">
        <v>25</v>
      </c>
      <c r="AW101" s="136">
        <v>29.02</v>
      </c>
      <c r="AX101" s="139">
        <v>2</v>
      </c>
      <c r="AY101" s="138" t="s">
        <v>883</v>
      </c>
      <c r="BA101" s="136">
        <v>7.06</v>
      </c>
      <c r="BB101" s="139">
        <v>7</v>
      </c>
      <c r="BC101" s="138">
        <v>16</v>
      </c>
    </row>
    <row r="102" spans="5:55" x14ac:dyDescent="0.3">
      <c r="E102" s="152">
        <v>7.0399999999999991</v>
      </c>
      <c r="F102" s="153">
        <v>5</v>
      </c>
      <c r="G102" s="155" t="s">
        <v>877</v>
      </c>
      <c r="I102" s="136">
        <v>29.07</v>
      </c>
      <c r="J102" s="139">
        <v>9</v>
      </c>
      <c r="K102" s="138">
        <v>37</v>
      </c>
      <c r="M102" s="136">
        <v>6.13</v>
      </c>
      <c r="N102" s="139">
        <v>9</v>
      </c>
      <c r="O102" s="138">
        <v>37</v>
      </c>
      <c r="Q102" s="136">
        <v>29.02</v>
      </c>
      <c r="R102" s="139">
        <v>3</v>
      </c>
      <c r="S102" s="138">
        <v>1</v>
      </c>
      <c r="U102" s="136">
        <v>6.16</v>
      </c>
      <c r="V102" s="139">
        <v>15</v>
      </c>
      <c r="W102" s="138">
        <v>95</v>
      </c>
      <c r="Y102" s="136">
        <v>6.12</v>
      </c>
      <c r="Z102" s="139">
        <v>8</v>
      </c>
      <c r="AA102" s="138">
        <v>25</v>
      </c>
      <c r="AC102" s="136">
        <v>6.19</v>
      </c>
      <c r="AD102" s="139">
        <v>18</v>
      </c>
      <c r="AE102" s="138" t="s">
        <v>884</v>
      </c>
      <c r="AG102" s="136">
        <v>6.23</v>
      </c>
      <c r="AH102" s="137">
        <v>10</v>
      </c>
      <c r="AI102" s="138">
        <v>50</v>
      </c>
      <c r="AK102" s="136">
        <v>6.23</v>
      </c>
      <c r="AL102" s="139">
        <v>18</v>
      </c>
      <c r="AM102" s="138" t="s">
        <v>884</v>
      </c>
      <c r="AO102" s="136">
        <v>29.08</v>
      </c>
      <c r="AP102" s="139">
        <v>3</v>
      </c>
      <c r="AQ102" s="138">
        <v>1</v>
      </c>
      <c r="AS102" s="136">
        <v>6.16</v>
      </c>
      <c r="AT102" s="139">
        <v>9</v>
      </c>
      <c r="AU102" s="138">
        <v>37</v>
      </c>
      <c r="AW102" s="136">
        <v>29.03</v>
      </c>
      <c r="AX102" s="139">
        <v>3</v>
      </c>
      <c r="AY102" s="138">
        <v>1</v>
      </c>
      <c r="BA102" s="136">
        <v>7.07</v>
      </c>
      <c r="BB102" s="139">
        <v>8</v>
      </c>
      <c r="BC102" s="138">
        <v>25</v>
      </c>
    </row>
    <row r="103" spans="5:55" x14ac:dyDescent="0.3">
      <c r="E103" s="152">
        <v>7.0499999999999989</v>
      </c>
      <c r="F103" s="153">
        <v>6</v>
      </c>
      <c r="G103" s="155" t="s">
        <v>864</v>
      </c>
      <c r="I103" s="136">
        <v>29.08</v>
      </c>
      <c r="J103" s="139">
        <v>10</v>
      </c>
      <c r="K103" s="138">
        <v>50</v>
      </c>
      <c r="M103" s="136">
        <v>6.14</v>
      </c>
      <c r="N103" s="139">
        <v>10</v>
      </c>
      <c r="O103" s="138">
        <v>50</v>
      </c>
      <c r="Q103" s="136">
        <v>29.04</v>
      </c>
      <c r="R103" s="139">
        <v>4</v>
      </c>
      <c r="S103" s="138">
        <v>2</v>
      </c>
      <c r="U103" s="136">
        <v>6.17</v>
      </c>
      <c r="V103" s="139">
        <v>16</v>
      </c>
      <c r="W103" s="138">
        <v>98</v>
      </c>
      <c r="Y103" s="136">
        <v>6.13</v>
      </c>
      <c r="Z103" s="139">
        <v>9</v>
      </c>
      <c r="AA103" s="138">
        <v>37</v>
      </c>
      <c r="AC103" s="136">
        <v>6.22</v>
      </c>
      <c r="AD103" s="139">
        <v>19</v>
      </c>
      <c r="AE103" s="138" t="s">
        <v>884</v>
      </c>
      <c r="AG103" s="136">
        <v>6.24</v>
      </c>
      <c r="AH103" s="137">
        <v>11</v>
      </c>
      <c r="AI103" s="138">
        <v>63</v>
      </c>
      <c r="AK103" s="136">
        <v>6.26</v>
      </c>
      <c r="AL103" s="139">
        <v>19</v>
      </c>
      <c r="AM103" s="138" t="s">
        <v>884</v>
      </c>
      <c r="AO103" s="136">
        <v>29.09</v>
      </c>
      <c r="AP103" s="139">
        <v>4</v>
      </c>
      <c r="AQ103" s="138">
        <v>2</v>
      </c>
      <c r="AS103" s="136">
        <v>6.18</v>
      </c>
      <c r="AT103" s="139">
        <v>10</v>
      </c>
      <c r="AU103" s="138">
        <v>50</v>
      </c>
      <c r="AW103" s="136">
        <v>29.05</v>
      </c>
      <c r="AX103" s="139">
        <v>4</v>
      </c>
      <c r="AY103" s="138">
        <v>2</v>
      </c>
      <c r="BA103" s="136">
        <v>7.08</v>
      </c>
      <c r="BB103" s="139">
        <v>9</v>
      </c>
      <c r="BC103" s="138">
        <v>37</v>
      </c>
    </row>
    <row r="104" spans="5:55" x14ac:dyDescent="0.3">
      <c r="E104" s="152">
        <v>7.07</v>
      </c>
      <c r="F104" s="153">
        <v>7</v>
      </c>
      <c r="G104" s="155" t="s">
        <v>878</v>
      </c>
      <c r="I104" s="136">
        <v>29.1</v>
      </c>
      <c r="J104" s="139">
        <v>11</v>
      </c>
      <c r="K104" s="138">
        <v>63</v>
      </c>
      <c r="M104" s="136">
        <v>6.16</v>
      </c>
      <c r="N104" s="139">
        <v>11</v>
      </c>
      <c r="O104" s="138">
        <v>63</v>
      </c>
      <c r="Q104" s="136">
        <v>29.06</v>
      </c>
      <c r="R104" s="139">
        <v>5</v>
      </c>
      <c r="S104" s="138">
        <v>5</v>
      </c>
      <c r="U104" s="136">
        <v>6.19</v>
      </c>
      <c r="V104" s="139">
        <v>17</v>
      </c>
      <c r="W104" s="138">
        <v>99</v>
      </c>
      <c r="Y104" s="136">
        <v>6.14</v>
      </c>
      <c r="Z104" s="139">
        <v>10</v>
      </c>
      <c r="AA104" s="138">
        <v>50</v>
      </c>
      <c r="AC104" s="136">
        <v>7</v>
      </c>
      <c r="AD104" s="139">
        <v>1</v>
      </c>
      <c r="AE104" s="138" t="s">
        <v>883</v>
      </c>
      <c r="AG104" s="136">
        <v>6.26</v>
      </c>
      <c r="AH104" s="137">
        <v>12</v>
      </c>
      <c r="AI104" s="138">
        <v>75</v>
      </c>
      <c r="AK104" s="136">
        <v>7</v>
      </c>
      <c r="AL104" s="139">
        <v>1</v>
      </c>
      <c r="AM104" s="138" t="s">
        <v>883</v>
      </c>
      <c r="AO104" s="136">
        <v>29.1</v>
      </c>
      <c r="AP104" s="139">
        <v>5</v>
      </c>
      <c r="AQ104" s="138">
        <v>5</v>
      </c>
      <c r="AS104" s="136">
        <v>6.19</v>
      </c>
      <c r="AT104" s="139">
        <v>11</v>
      </c>
      <c r="AU104" s="138">
        <v>63</v>
      </c>
      <c r="AW104" s="136">
        <v>29.06</v>
      </c>
      <c r="AX104" s="139">
        <v>5</v>
      </c>
      <c r="AY104" s="138">
        <v>5</v>
      </c>
      <c r="BA104" s="136">
        <v>7.09</v>
      </c>
      <c r="BB104" s="139">
        <v>10</v>
      </c>
      <c r="BC104" s="138">
        <v>50</v>
      </c>
    </row>
    <row r="105" spans="5:55" x14ac:dyDescent="0.3">
      <c r="E105" s="152">
        <v>7.08</v>
      </c>
      <c r="F105" s="153">
        <v>8</v>
      </c>
      <c r="G105" s="155" t="s">
        <v>865</v>
      </c>
      <c r="I105" s="136">
        <v>29.11</v>
      </c>
      <c r="J105" s="139">
        <v>12</v>
      </c>
      <c r="K105" s="138">
        <v>75</v>
      </c>
      <c r="M105" s="136">
        <v>6.18</v>
      </c>
      <c r="N105" s="139">
        <v>12</v>
      </c>
      <c r="O105" s="138">
        <v>75</v>
      </c>
      <c r="Q105" s="136">
        <v>29.08</v>
      </c>
      <c r="R105" s="139">
        <v>6</v>
      </c>
      <c r="S105" s="138">
        <v>9</v>
      </c>
      <c r="U105" s="136">
        <v>6.2</v>
      </c>
      <c r="V105" s="139">
        <v>18</v>
      </c>
      <c r="W105" s="138" t="s">
        <v>884</v>
      </c>
      <c r="Y105" s="136">
        <v>6.15</v>
      </c>
      <c r="Z105" s="139">
        <v>11</v>
      </c>
      <c r="AA105" s="138">
        <v>63</v>
      </c>
      <c r="AC105" s="136">
        <v>7.02</v>
      </c>
      <c r="AD105" s="139">
        <v>2</v>
      </c>
      <c r="AE105" s="138" t="s">
        <v>883</v>
      </c>
      <c r="AG105" s="136">
        <v>6.28</v>
      </c>
      <c r="AH105" s="137">
        <v>13</v>
      </c>
      <c r="AI105" s="138">
        <v>85</v>
      </c>
      <c r="AK105" s="136">
        <v>7.02</v>
      </c>
      <c r="AL105" s="139">
        <v>2</v>
      </c>
      <c r="AM105" s="138" t="s">
        <v>883</v>
      </c>
      <c r="AO105" s="136">
        <v>29.11</v>
      </c>
      <c r="AP105" s="139">
        <v>6</v>
      </c>
      <c r="AQ105" s="138">
        <v>9</v>
      </c>
      <c r="AS105" s="136">
        <v>6.2</v>
      </c>
      <c r="AT105" s="139">
        <v>12</v>
      </c>
      <c r="AU105" s="138">
        <v>75</v>
      </c>
      <c r="AW105" s="136">
        <v>29.08</v>
      </c>
      <c r="AX105" s="139">
        <v>6</v>
      </c>
      <c r="AY105" s="138">
        <v>9</v>
      </c>
      <c r="BA105" s="136">
        <v>7.1</v>
      </c>
      <c r="BB105" s="139">
        <v>11</v>
      </c>
      <c r="BC105" s="138">
        <v>63</v>
      </c>
    </row>
    <row r="106" spans="5:55" x14ac:dyDescent="0.3">
      <c r="E106" s="152">
        <v>7.1</v>
      </c>
      <c r="F106" s="153">
        <v>9</v>
      </c>
      <c r="G106" s="155" t="s">
        <v>879</v>
      </c>
      <c r="I106" s="136">
        <v>29.12</v>
      </c>
      <c r="J106" s="139">
        <v>13</v>
      </c>
      <c r="K106" s="138">
        <v>85</v>
      </c>
      <c r="M106" s="136">
        <v>6.2</v>
      </c>
      <c r="N106" s="139">
        <v>13</v>
      </c>
      <c r="O106" s="138">
        <v>85</v>
      </c>
      <c r="Q106" s="136">
        <v>29.1</v>
      </c>
      <c r="R106" s="139">
        <v>7</v>
      </c>
      <c r="S106" s="138">
        <v>16</v>
      </c>
      <c r="U106" s="136">
        <v>6.23</v>
      </c>
      <c r="V106" s="139">
        <v>19</v>
      </c>
      <c r="W106" s="138" t="s">
        <v>884</v>
      </c>
      <c r="Y106" s="136">
        <v>6.16</v>
      </c>
      <c r="Z106" s="139">
        <v>12</v>
      </c>
      <c r="AA106" s="138">
        <v>75</v>
      </c>
      <c r="AC106" s="136">
        <v>7.03</v>
      </c>
      <c r="AD106" s="139">
        <v>3</v>
      </c>
      <c r="AE106" s="138">
        <v>1</v>
      </c>
      <c r="AG106" s="136">
        <v>6.3</v>
      </c>
      <c r="AH106" s="137">
        <v>14</v>
      </c>
      <c r="AI106" s="138">
        <v>91</v>
      </c>
      <c r="AK106" s="136">
        <v>7.04</v>
      </c>
      <c r="AL106" s="139">
        <v>3</v>
      </c>
      <c r="AM106" s="138">
        <v>1</v>
      </c>
      <c r="AO106" s="136">
        <v>29.12</v>
      </c>
      <c r="AP106" s="139">
        <v>7</v>
      </c>
      <c r="AQ106" s="138">
        <v>16</v>
      </c>
      <c r="AS106" s="136">
        <v>6.22</v>
      </c>
      <c r="AT106" s="139">
        <v>13</v>
      </c>
      <c r="AU106" s="138">
        <v>85</v>
      </c>
      <c r="AW106" s="136">
        <v>29.09</v>
      </c>
      <c r="AX106" s="139">
        <v>7</v>
      </c>
      <c r="AY106" s="138">
        <v>16</v>
      </c>
      <c r="BA106" s="136">
        <v>7.11</v>
      </c>
      <c r="BB106" s="139">
        <v>12</v>
      </c>
      <c r="BC106" s="138">
        <v>75</v>
      </c>
    </row>
    <row r="107" spans="5:55" x14ac:dyDescent="0.3">
      <c r="E107" s="152">
        <v>7.1099999999999994</v>
      </c>
      <c r="F107" s="153">
        <v>10</v>
      </c>
      <c r="G107" s="155" t="s">
        <v>866</v>
      </c>
      <c r="I107" s="136">
        <v>29.14</v>
      </c>
      <c r="J107" s="139">
        <v>14</v>
      </c>
      <c r="K107" s="138">
        <v>91</v>
      </c>
      <c r="M107" s="136">
        <v>6.21</v>
      </c>
      <c r="N107" s="139">
        <v>14</v>
      </c>
      <c r="O107" s="138">
        <v>91</v>
      </c>
      <c r="Q107" s="136">
        <v>29.13</v>
      </c>
      <c r="R107" s="139">
        <v>8</v>
      </c>
      <c r="S107" s="138">
        <v>25</v>
      </c>
      <c r="U107" s="136">
        <v>7</v>
      </c>
      <c r="V107" s="139">
        <v>1</v>
      </c>
      <c r="W107" s="138" t="s">
        <v>883</v>
      </c>
      <c r="Y107" s="136">
        <v>6.17</v>
      </c>
      <c r="Z107" s="139">
        <v>13</v>
      </c>
      <c r="AA107" s="138">
        <v>85</v>
      </c>
      <c r="AC107" s="136">
        <v>7.04</v>
      </c>
      <c r="AD107" s="139">
        <v>4</v>
      </c>
      <c r="AE107" s="138">
        <v>2</v>
      </c>
      <c r="AG107" s="136">
        <v>6.31</v>
      </c>
      <c r="AH107" s="137">
        <v>15</v>
      </c>
      <c r="AI107" s="138">
        <v>95</v>
      </c>
      <c r="AK107" s="136">
        <v>7.05</v>
      </c>
      <c r="AL107" s="139">
        <v>4</v>
      </c>
      <c r="AM107" s="138">
        <v>2</v>
      </c>
      <c r="AO107" s="136">
        <v>29.13</v>
      </c>
      <c r="AP107" s="139">
        <v>8</v>
      </c>
      <c r="AQ107" s="138">
        <v>25</v>
      </c>
      <c r="AS107" s="136">
        <v>6.23</v>
      </c>
      <c r="AT107" s="139">
        <v>14</v>
      </c>
      <c r="AU107" s="138">
        <v>91</v>
      </c>
      <c r="AW107" s="136">
        <v>29.11</v>
      </c>
      <c r="AX107" s="139">
        <v>8</v>
      </c>
      <c r="AY107" s="138">
        <v>25</v>
      </c>
      <c r="BA107" s="136">
        <v>7.12</v>
      </c>
      <c r="BB107" s="139">
        <v>13</v>
      </c>
      <c r="BC107" s="138">
        <v>85</v>
      </c>
    </row>
    <row r="108" spans="5:55" x14ac:dyDescent="0.3">
      <c r="E108" s="152">
        <v>7.1199999999999992</v>
      </c>
      <c r="F108" s="153">
        <v>11</v>
      </c>
      <c r="G108" s="155" t="s">
        <v>867</v>
      </c>
      <c r="I108" s="136">
        <v>29.15</v>
      </c>
      <c r="J108" s="139">
        <v>15</v>
      </c>
      <c r="K108" s="138">
        <v>95</v>
      </c>
      <c r="M108" s="136">
        <v>6.23</v>
      </c>
      <c r="N108" s="139">
        <v>15</v>
      </c>
      <c r="O108" s="138">
        <v>95</v>
      </c>
      <c r="Q108" s="136">
        <v>29.15</v>
      </c>
      <c r="R108" s="139">
        <v>9</v>
      </c>
      <c r="S108" s="138">
        <v>37</v>
      </c>
      <c r="U108" s="136">
        <v>7.01</v>
      </c>
      <c r="V108" s="139">
        <v>2</v>
      </c>
      <c r="W108" s="138" t="s">
        <v>883</v>
      </c>
      <c r="Y108" s="136">
        <v>6.18</v>
      </c>
      <c r="Z108" s="139">
        <v>14</v>
      </c>
      <c r="AA108" s="138">
        <v>91</v>
      </c>
      <c r="AC108" s="136">
        <v>7.05</v>
      </c>
      <c r="AD108" s="139">
        <v>5</v>
      </c>
      <c r="AE108" s="138">
        <v>5</v>
      </c>
      <c r="AG108" s="136">
        <v>6.33</v>
      </c>
      <c r="AH108" s="137">
        <v>16</v>
      </c>
      <c r="AI108" s="138">
        <v>98</v>
      </c>
      <c r="AK108" s="136">
        <v>7.06</v>
      </c>
      <c r="AL108" s="139">
        <v>5</v>
      </c>
      <c r="AM108" s="138">
        <v>5</v>
      </c>
      <c r="AO108" s="136">
        <v>29.14</v>
      </c>
      <c r="AP108" s="139">
        <v>9</v>
      </c>
      <c r="AQ108" s="138">
        <v>37</v>
      </c>
      <c r="AS108" s="136">
        <v>6.25</v>
      </c>
      <c r="AT108" s="139">
        <v>15</v>
      </c>
      <c r="AU108" s="138">
        <v>95</v>
      </c>
      <c r="AW108" s="136">
        <v>29.12</v>
      </c>
      <c r="AX108" s="139">
        <v>9</v>
      </c>
      <c r="AY108" s="138">
        <v>37</v>
      </c>
      <c r="BA108" s="136">
        <v>7.13</v>
      </c>
      <c r="BB108" s="139">
        <v>14</v>
      </c>
      <c r="BC108" s="138">
        <v>91</v>
      </c>
    </row>
    <row r="109" spans="5:55" x14ac:dyDescent="0.3">
      <c r="E109" s="152">
        <v>7.14</v>
      </c>
      <c r="F109" s="153">
        <v>12</v>
      </c>
      <c r="G109" s="155" t="s">
        <v>868</v>
      </c>
      <c r="I109" s="136">
        <v>29.16</v>
      </c>
      <c r="J109" s="139">
        <v>16</v>
      </c>
      <c r="K109" s="138">
        <v>98</v>
      </c>
      <c r="M109" s="136">
        <v>6.25</v>
      </c>
      <c r="N109" s="139">
        <v>16</v>
      </c>
      <c r="O109" s="138">
        <v>98</v>
      </c>
      <c r="Q109" s="136">
        <v>29.17</v>
      </c>
      <c r="R109" s="139">
        <v>10</v>
      </c>
      <c r="S109" s="138">
        <v>50</v>
      </c>
      <c r="U109" s="136">
        <v>7.02</v>
      </c>
      <c r="V109" s="139">
        <v>3</v>
      </c>
      <c r="W109" s="138">
        <v>1</v>
      </c>
      <c r="Y109" s="136">
        <v>6.19</v>
      </c>
      <c r="Z109" s="139">
        <v>15</v>
      </c>
      <c r="AA109" s="138">
        <v>95</v>
      </c>
      <c r="AC109" s="136">
        <v>7.06</v>
      </c>
      <c r="AD109" s="139">
        <v>6</v>
      </c>
      <c r="AE109" s="138">
        <v>9</v>
      </c>
      <c r="AG109" s="136">
        <v>6.37</v>
      </c>
      <c r="AH109" s="137">
        <v>17</v>
      </c>
      <c r="AI109" s="138">
        <v>99</v>
      </c>
      <c r="AK109" s="136">
        <v>7.08</v>
      </c>
      <c r="AL109" s="139">
        <v>6</v>
      </c>
      <c r="AM109" s="138">
        <v>9</v>
      </c>
      <c r="AO109" s="136">
        <v>29.15</v>
      </c>
      <c r="AP109" s="139">
        <v>10</v>
      </c>
      <c r="AQ109" s="138">
        <v>50</v>
      </c>
      <c r="AS109" s="136">
        <v>6.26</v>
      </c>
      <c r="AT109" s="139">
        <v>16</v>
      </c>
      <c r="AU109" s="138">
        <v>98</v>
      </c>
      <c r="AW109" s="136">
        <v>29.14</v>
      </c>
      <c r="AX109" s="139">
        <v>10</v>
      </c>
      <c r="AY109" s="138">
        <v>50</v>
      </c>
      <c r="BA109" s="136">
        <v>7.14</v>
      </c>
      <c r="BB109" s="139">
        <v>15</v>
      </c>
      <c r="BC109" s="138">
        <v>95</v>
      </c>
    </row>
    <row r="110" spans="5:55" x14ac:dyDescent="0.3">
      <c r="E110" s="152">
        <v>7.1499999999999995</v>
      </c>
      <c r="F110" s="153">
        <v>13</v>
      </c>
      <c r="G110" s="155" t="s">
        <v>880</v>
      </c>
      <c r="I110" s="136">
        <v>29.18</v>
      </c>
      <c r="J110" s="139">
        <v>17</v>
      </c>
      <c r="K110" s="138">
        <v>99</v>
      </c>
      <c r="M110" s="136">
        <v>6.27</v>
      </c>
      <c r="N110" s="139">
        <v>17</v>
      </c>
      <c r="O110" s="138">
        <v>99</v>
      </c>
      <c r="Q110" s="136">
        <v>29.2</v>
      </c>
      <c r="R110" s="139">
        <v>11</v>
      </c>
      <c r="S110" s="138">
        <v>63</v>
      </c>
      <c r="U110" s="136">
        <v>7.03</v>
      </c>
      <c r="V110" s="139">
        <v>4</v>
      </c>
      <c r="W110" s="138">
        <v>2</v>
      </c>
      <c r="Y110" s="136">
        <v>6.2</v>
      </c>
      <c r="Z110" s="139">
        <v>16</v>
      </c>
      <c r="AA110" s="138">
        <v>98</v>
      </c>
      <c r="AC110" s="136">
        <v>7.07</v>
      </c>
      <c r="AD110" s="139">
        <v>7</v>
      </c>
      <c r="AE110" s="138">
        <v>16</v>
      </c>
      <c r="AG110" s="136">
        <v>6.38</v>
      </c>
      <c r="AH110" s="137">
        <v>18</v>
      </c>
      <c r="AI110" s="138" t="s">
        <v>884</v>
      </c>
      <c r="AK110" s="136">
        <v>7.09</v>
      </c>
      <c r="AL110" s="139">
        <v>7</v>
      </c>
      <c r="AM110" s="138">
        <v>16</v>
      </c>
      <c r="AO110" s="136">
        <v>29.16</v>
      </c>
      <c r="AP110" s="139">
        <v>11</v>
      </c>
      <c r="AQ110" s="138">
        <v>63</v>
      </c>
      <c r="AS110" s="136">
        <v>6.28</v>
      </c>
      <c r="AT110" s="139">
        <v>17</v>
      </c>
      <c r="AU110" s="138">
        <v>99</v>
      </c>
      <c r="AW110" s="136">
        <v>29.15</v>
      </c>
      <c r="AX110" s="139">
        <v>11</v>
      </c>
      <c r="AY110" s="138">
        <v>63</v>
      </c>
      <c r="BA110" s="136">
        <v>7.15</v>
      </c>
      <c r="BB110" s="139">
        <v>16</v>
      </c>
      <c r="BC110" s="138">
        <v>98</v>
      </c>
    </row>
    <row r="111" spans="5:55" x14ac:dyDescent="0.3">
      <c r="E111" s="152">
        <v>7.17</v>
      </c>
      <c r="F111" s="153">
        <v>14</v>
      </c>
      <c r="G111" s="155" t="s">
        <v>870</v>
      </c>
      <c r="I111" s="136">
        <v>29.19</v>
      </c>
      <c r="J111" s="139">
        <v>18</v>
      </c>
      <c r="K111" s="138" t="s">
        <v>884</v>
      </c>
      <c r="M111" s="136">
        <v>6.29</v>
      </c>
      <c r="N111" s="139">
        <v>18</v>
      </c>
      <c r="O111" s="138" t="s">
        <v>884</v>
      </c>
      <c r="Q111" s="136">
        <v>29.22</v>
      </c>
      <c r="R111" s="139">
        <v>12</v>
      </c>
      <c r="S111" s="138">
        <v>75</v>
      </c>
      <c r="U111" s="136">
        <v>7.04</v>
      </c>
      <c r="V111" s="139">
        <v>5</v>
      </c>
      <c r="W111" s="138">
        <v>5</v>
      </c>
      <c r="Y111" s="136">
        <v>6.21</v>
      </c>
      <c r="Z111" s="139">
        <v>17</v>
      </c>
      <c r="AA111" s="138">
        <v>99</v>
      </c>
      <c r="AC111" s="136">
        <v>7.09</v>
      </c>
      <c r="AD111" s="139">
        <v>8</v>
      </c>
      <c r="AE111" s="138">
        <v>25</v>
      </c>
      <c r="AG111" s="136">
        <v>6.44</v>
      </c>
      <c r="AH111" s="137">
        <v>19</v>
      </c>
      <c r="AI111" s="138" t="s">
        <v>884</v>
      </c>
      <c r="AK111" s="136">
        <v>7.11</v>
      </c>
      <c r="AL111" s="139">
        <v>8</v>
      </c>
      <c r="AM111" s="138">
        <v>25</v>
      </c>
      <c r="AO111" s="136">
        <v>29.17</v>
      </c>
      <c r="AP111" s="139">
        <v>12</v>
      </c>
      <c r="AQ111" s="138">
        <v>75</v>
      </c>
      <c r="AS111" s="136">
        <v>6.29</v>
      </c>
      <c r="AT111" s="139">
        <v>18</v>
      </c>
      <c r="AU111" s="138" t="s">
        <v>884</v>
      </c>
      <c r="AW111" s="136">
        <v>29.17</v>
      </c>
      <c r="AX111" s="139">
        <v>12</v>
      </c>
      <c r="AY111" s="138">
        <v>75</v>
      </c>
      <c r="BA111" s="136">
        <v>7.16</v>
      </c>
      <c r="BB111" s="139">
        <v>17</v>
      </c>
      <c r="BC111" s="138">
        <v>99</v>
      </c>
    </row>
    <row r="112" spans="5:55" x14ac:dyDescent="0.3">
      <c r="E112" s="152">
        <v>7.18</v>
      </c>
      <c r="F112" s="153">
        <v>15</v>
      </c>
      <c r="G112" s="155" t="s">
        <v>871</v>
      </c>
      <c r="I112" s="136">
        <v>29.21</v>
      </c>
      <c r="J112" s="139">
        <v>19</v>
      </c>
      <c r="K112" s="138" t="s">
        <v>884</v>
      </c>
      <c r="M112" s="136">
        <v>6.33</v>
      </c>
      <c r="N112" s="139">
        <v>19</v>
      </c>
      <c r="O112" s="138" t="s">
        <v>884</v>
      </c>
      <c r="Q112" s="136">
        <v>29.24</v>
      </c>
      <c r="R112" s="139">
        <v>13</v>
      </c>
      <c r="S112" s="138">
        <v>85</v>
      </c>
      <c r="U112" s="136">
        <v>7.05</v>
      </c>
      <c r="V112" s="139">
        <v>6</v>
      </c>
      <c r="W112" s="138">
        <v>9</v>
      </c>
      <c r="Y112" s="136">
        <v>6.22</v>
      </c>
      <c r="Z112" s="139">
        <v>18</v>
      </c>
      <c r="AA112" s="138" t="s">
        <v>884</v>
      </c>
      <c r="AC112" s="136">
        <v>7.1</v>
      </c>
      <c r="AD112" s="139">
        <v>9</v>
      </c>
      <c r="AE112" s="138">
        <v>37</v>
      </c>
      <c r="AG112" s="136">
        <v>7</v>
      </c>
      <c r="AH112" s="137">
        <v>1</v>
      </c>
      <c r="AI112" s="138" t="s">
        <v>883</v>
      </c>
      <c r="AK112" s="136">
        <v>7.12</v>
      </c>
      <c r="AL112" s="139">
        <v>9</v>
      </c>
      <c r="AM112" s="138">
        <v>37</v>
      </c>
      <c r="AO112" s="136">
        <v>29.18</v>
      </c>
      <c r="AP112" s="139">
        <v>13</v>
      </c>
      <c r="AQ112" s="138">
        <v>85</v>
      </c>
      <c r="AS112" s="136">
        <v>6.32</v>
      </c>
      <c r="AT112" s="139">
        <v>19</v>
      </c>
      <c r="AU112" s="138" t="s">
        <v>884</v>
      </c>
      <c r="AW112" s="136">
        <v>29.18</v>
      </c>
      <c r="AX112" s="139">
        <v>13</v>
      </c>
      <c r="AY112" s="138">
        <v>85</v>
      </c>
      <c r="BA112" s="136">
        <v>7.17</v>
      </c>
      <c r="BB112" s="139">
        <v>18</v>
      </c>
      <c r="BC112" s="138" t="s">
        <v>884</v>
      </c>
    </row>
    <row r="113" spans="5:55" x14ac:dyDescent="0.3">
      <c r="E113" s="152">
        <v>7.1899999999999995</v>
      </c>
      <c r="F113" s="153">
        <v>16</v>
      </c>
      <c r="G113" s="155" t="s">
        <v>872</v>
      </c>
      <c r="I113" s="136">
        <v>30</v>
      </c>
      <c r="J113" s="139">
        <v>1</v>
      </c>
      <c r="K113" s="138" t="s">
        <v>883</v>
      </c>
      <c r="M113" s="136">
        <v>7</v>
      </c>
      <c r="N113" s="139">
        <v>1</v>
      </c>
      <c r="O113" s="138" t="s">
        <v>883</v>
      </c>
      <c r="Q113" s="136">
        <v>29.27</v>
      </c>
      <c r="R113" s="139">
        <v>14</v>
      </c>
      <c r="S113" s="138">
        <v>91</v>
      </c>
      <c r="U113" s="136">
        <v>7.07</v>
      </c>
      <c r="V113" s="139">
        <v>7</v>
      </c>
      <c r="W113" s="138">
        <v>16</v>
      </c>
      <c r="Y113" s="136">
        <v>6.24</v>
      </c>
      <c r="Z113" s="139">
        <v>19</v>
      </c>
      <c r="AA113" s="138" t="s">
        <v>884</v>
      </c>
      <c r="AC113" s="136">
        <v>7.11</v>
      </c>
      <c r="AD113" s="139">
        <v>10</v>
      </c>
      <c r="AE113" s="138">
        <v>50</v>
      </c>
      <c r="AG113" s="136">
        <v>7.09</v>
      </c>
      <c r="AH113" s="137">
        <v>2</v>
      </c>
      <c r="AI113" s="138" t="s">
        <v>883</v>
      </c>
      <c r="AK113" s="136">
        <v>7.13</v>
      </c>
      <c r="AL113" s="139">
        <v>10</v>
      </c>
      <c r="AM113" s="138">
        <v>50</v>
      </c>
      <c r="AO113" s="136">
        <v>29.19</v>
      </c>
      <c r="AP113" s="139">
        <v>14</v>
      </c>
      <c r="AQ113" s="138">
        <v>91</v>
      </c>
      <c r="AS113" s="136">
        <v>7</v>
      </c>
      <c r="AT113" s="139">
        <v>1</v>
      </c>
      <c r="AU113" s="138" t="s">
        <v>883</v>
      </c>
      <c r="AW113" s="136">
        <v>29.2</v>
      </c>
      <c r="AX113" s="139">
        <v>14</v>
      </c>
      <c r="AY113" s="138">
        <v>91</v>
      </c>
      <c r="BA113" s="136">
        <v>7.18</v>
      </c>
      <c r="BB113" s="139">
        <v>19</v>
      </c>
      <c r="BC113" s="138" t="s">
        <v>884</v>
      </c>
    </row>
    <row r="114" spans="5:55" x14ac:dyDescent="0.3">
      <c r="E114" s="152">
        <v>7.21</v>
      </c>
      <c r="F114" s="153">
        <v>17</v>
      </c>
      <c r="G114" s="155" t="s">
        <v>873</v>
      </c>
      <c r="I114" s="136">
        <v>30.01</v>
      </c>
      <c r="J114" s="139">
        <v>2</v>
      </c>
      <c r="K114" s="138" t="s">
        <v>883</v>
      </c>
      <c r="M114" s="136">
        <v>7.02</v>
      </c>
      <c r="N114" s="139">
        <v>2</v>
      </c>
      <c r="O114" s="138" t="s">
        <v>883</v>
      </c>
      <c r="Q114" s="136">
        <v>29.29</v>
      </c>
      <c r="R114" s="139">
        <v>15</v>
      </c>
      <c r="S114" s="138">
        <v>95</v>
      </c>
      <c r="U114" s="136">
        <v>7.08</v>
      </c>
      <c r="V114" s="139">
        <v>8</v>
      </c>
      <c r="W114" s="138">
        <v>25</v>
      </c>
      <c r="Y114" s="136">
        <v>7</v>
      </c>
      <c r="Z114" s="139">
        <v>1</v>
      </c>
      <c r="AA114" s="138" t="s">
        <v>883</v>
      </c>
      <c r="AC114" s="136">
        <v>7.12</v>
      </c>
      <c r="AD114" s="139">
        <v>11</v>
      </c>
      <c r="AE114" s="138">
        <v>63</v>
      </c>
      <c r="AG114" s="136">
        <v>7.14</v>
      </c>
      <c r="AH114" s="137">
        <v>3</v>
      </c>
      <c r="AI114" s="138">
        <v>1</v>
      </c>
      <c r="AK114" s="136">
        <v>7.15</v>
      </c>
      <c r="AL114" s="139">
        <v>11</v>
      </c>
      <c r="AM114" s="138">
        <v>63</v>
      </c>
      <c r="AO114" s="136">
        <v>29.2</v>
      </c>
      <c r="AP114" s="139">
        <v>15</v>
      </c>
      <c r="AQ114" s="138">
        <v>95</v>
      </c>
      <c r="AS114" s="136">
        <v>7.05</v>
      </c>
      <c r="AT114" s="139">
        <v>2</v>
      </c>
      <c r="AU114" s="138" t="s">
        <v>883</v>
      </c>
      <c r="AW114" s="136">
        <v>29.21</v>
      </c>
      <c r="AX114" s="139">
        <v>15</v>
      </c>
      <c r="AY114" s="138">
        <v>95</v>
      </c>
      <c r="BA114" s="136">
        <v>8</v>
      </c>
      <c r="BB114" s="139">
        <v>1</v>
      </c>
      <c r="BC114" s="138" t="s">
        <v>883</v>
      </c>
    </row>
    <row r="115" spans="5:55" x14ac:dyDescent="0.3">
      <c r="E115" s="152">
        <v>7.22</v>
      </c>
      <c r="F115" s="153">
        <v>18</v>
      </c>
      <c r="G115" s="155" t="s">
        <v>874</v>
      </c>
      <c r="I115" s="136">
        <v>30.02</v>
      </c>
      <c r="J115" s="139">
        <v>3</v>
      </c>
      <c r="K115" s="138">
        <v>1</v>
      </c>
      <c r="M115" s="136">
        <v>7.04</v>
      </c>
      <c r="N115" s="139">
        <v>3</v>
      </c>
      <c r="O115" s="138">
        <v>1</v>
      </c>
      <c r="Q115" s="136">
        <v>29.31</v>
      </c>
      <c r="R115" s="139">
        <v>16</v>
      </c>
      <c r="S115" s="138">
        <v>98</v>
      </c>
      <c r="U115" s="136">
        <v>7.09</v>
      </c>
      <c r="V115" s="139">
        <v>9</v>
      </c>
      <c r="W115" s="138">
        <v>37</v>
      </c>
      <c r="Y115" s="136">
        <v>7.05</v>
      </c>
      <c r="Z115" s="139">
        <v>2</v>
      </c>
      <c r="AA115" s="138" t="s">
        <v>883</v>
      </c>
      <c r="AC115" s="136">
        <v>7.13</v>
      </c>
      <c r="AD115" s="139">
        <v>12</v>
      </c>
      <c r="AE115" s="138">
        <v>75</v>
      </c>
      <c r="AG115" s="136">
        <v>7.16</v>
      </c>
      <c r="AH115" s="137">
        <v>4</v>
      </c>
      <c r="AI115" s="138">
        <v>2</v>
      </c>
      <c r="AK115" s="136">
        <v>7.16</v>
      </c>
      <c r="AL115" s="139">
        <v>12</v>
      </c>
      <c r="AM115" s="138">
        <v>75</v>
      </c>
      <c r="AO115" s="136">
        <v>29.21</v>
      </c>
      <c r="AP115" s="139">
        <v>16</v>
      </c>
      <c r="AQ115" s="138">
        <v>98</v>
      </c>
      <c r="AS115" s="136">
        <v>7.09</v>
      </c>
      <c r="AT115" s="139">
        <v>3</v>
      </c>
      <c r="AU115" s="138">
        <v>1</v>
      </c>
      <c r="AW115" s="136">
        <v>29.23</v>
      </c>
      <c r="AX115" s="139">
        <v>16</v>
      </c>
      <c r="AY115" s="138">
        <v>98</v>
      </c>
      <c r="BA115" s="136">
        <v>8.01</v>
      </c>
      <c r="BB115" s="139">
        <v>2</v>
      </c>
      <c r="BC115" s="138" t="s">
        <v>883</v>
      </c>
    </row>
    <row r="116" spans="5:55" ht="19.5" thickBot="1" x14ac:dyDescent="0.35">
      <c r="E116" s="157">
        <v>7.25</v>
      </c>
      <c r="F116" s="158">
        <v>19</v>
      </c>
      <c r="G116" s="159" t="s">
        <v>874</v>
      </c>
      <c r="I116" s="136">
        <v>30.03</v>
      </c>
      <c r="J116" s="139">
        <v>4</v>
      </c>
      <c r="K116" s="138">
        <v>2</v>
      </c>
      <c r="M116" s="136">
        <v>7.05</v>
      </c>
      <c r="N116" s="139">
        <v>4</v>
      </c>
      <c r="O116" s="138">
        <v>2</v>
      </c>
      <c r="Q116" s="136">
        <v>29.34</v>
      </c>
      <c r="R116" s="139">
        <v>17</v>
      </c>
      <c r="S116" s="138">
        <v>99</v>
      </c>
      <c r="U116" s="136">
        <v>7.11</v>
      </c>
      <c r="V116" s="139">
        <v>10</v>
      </c>
      <c r="W116" s="138">
        <v>50</v>
      </c>
      <c r="Y116" s="136">
        <v>7.08</v>
      </c>
      <c r="Z116" s="139">
        <v>3</v>
      </c>
      <c r="AA116" s="138">
        <v>1</v>
      </c>
      <c r="AC116" s="136">
        <v>7.14</v>
      </c>
      <c r="AD116" s="139">
        <v>13</v>
      </c>
      <c r="AE116" s="138">
        <v>85</v>
      </c>
      <c r="AG116" s="136">
        <v>7.17</v>
      </c>
      <c r="AH116" s="137">
        <v>5</v>
      </c>
      <c r="AI116" s="138">
        <v>5</v>
      </c>
      <c r="AK116" s="136">
        <v>7.17</v>
      </c>
      <c r="AL116" s="139">
        <v>13</v>
      </c>
      <c r="AM116" s="138">
        <v>85</v>
      </c>
      <c r="AO116" s="136">
        <v>29.23</v>
      </c>
      <c r="AP116" s="139">
        <v>17</v>
      </c>
      <c r="AQ116" s="138">
        <v>99</v>
      </c>
      <c r="AS116" s="136">
        <v>7.11</v>
      </c>
      <c r="AT116" s="139">
        <v>4</v>
      </c>
      <c r="AU116" s="138">
        <v>2</v>
      </c>
      <c r="AW116" s="136">
        <v>29.25</v>
      </c>
      <c r="AX116" s="139">
        <v>17</v>
      </c>
      <c r="AY116" s="138">
        <v>99</v>
      </c>
      <c r="BA116" s="136">
        <v>8.02</v>
      </c>
      <c r="BB116" s="139">
        <v>3</v>
      </c>
      <c r="BC116" s="138">
        <v>1</v>
      </c>
    </row>
    <row r="117" spans="5:55" x14ac:dyDescent="0.3">
      <c r="E117" s="160">
        <v>8</v>
      </c>
      <c r="F117" s="161">
        <v>1</v>
      </c>
      <c r="G117" s="162" t="s">
        <v>862</v>
      </c>
      <c r="I117" s="136">
        <v>30.04</v>
      </c>
      <c r="J117" s="139">
        <v>5</v>
      </c>
      <c r="K117" s="138">
        <v>5</v>
      </c>
      <c r="M117" s="136">
        <v>7.07</v>
      </c>
      <c r="N117" s="139">
        <v>5</v>
      </c>
      <c r="O117" s="138">
        <v>5</v>
      </c>
      <c r="Q117" s="136">
        <v>29.36</v>
      </c>
      <c r="R117" s="139">
        <v>18</v>
      </c>
      <c r="S117" s="138" t="s">
        <v>884</v>
      </c>
      <c r="U117" s="136">
        <v>7.12</v>
      </c>
      <c r="V117" s="139">
        <v>11</v>
      </c>
      <c r="W117" s="138">
        <v>63</v>
      </c>
      <c r="Y117" s="136">
        <v>7.09</v>
      </c>
      <c r="Z117" s="139">
        <v>4</v>
      </c>
      <c r="AA117" s="138">
        <v>2</v>
      </c>
      <c r="AC117" s="136">
        <v>7.15</v>
      </c>
      <c r="AD117" s="139">
        <v>14</v>
      </c>
      <c r="AE117" s="138">
        <v>91</v>
      </c>
      <c r="AG117" s="136">
        <v>7.19</v>
      </c>
      <c r="AH117" s="137">
        <v>6</v>
      </c>
      <c r="AI117" s="138">
        <v>9</v>
      </c>
      <c r="AK117" s="136">
        <v>7.19</v>
      </c>
      <c r="AL117" s="139">
        <v>14</v>
      </c>
      <c r="AM117" s="138">
        <v>91</v>
      </c>
      <c r="AO117" s="136">
        <v>29.24</v>
      </c>
      <c r="AP117" s="139">
        <v>18</v>
      </c>
      <c r="AQ117" s="138" t="s">
        <v>884</v>
      </c>
      <c r="AS117" s="136">
        <v>7.12</v>
      </c>
      <c r="AT117" s="139">
        <v>5</v>
      </c>
      <c r="AU117" s="138">
        <v>5</v>
      </c>
      <c r="AW117" s="136">
        <v>29.26</v>
      </c>
      <c r="AX117" s="139">
        <v>18</v>
      </c>
      <c r="AY117" s="138" t="s">
        <v>884</v>
      </c>
      <c r="BA117" s="136">
        <v>8.0299999999999994</v>
      </c>
      <c r="BB117" s="139">
        <v>4</v>
      </c>
      <c r="BC117" s="138">
        <v>2</v>
      </c>
    </row>
    <row r="118" spans="5:55" x14ac:dyDescent="0.3">
      <c r="E118" s="152">
        <v>8.01</v>
      </c>
      <c r="F118" s="153">
        <v>2</v>
      </c>
      <c r="G118" s="155" t="s">
        <v>862</v>
      </c>
      <c r="I118" s="136">
        <v>30.05</v>
      </c>
      <c r="J118" s="139">
        <v>6</v>
      </c>
      <c r="K118" s="138">
        <v>9</v>
      </c>
      <c r="M118" s="136">
        <v>7.09</v>
      </c>
      <c r="N118" s="139">
        <v>6</v>
      </c>
      <c r="O118" s="138">
        <v>9</v>
      </c>
      <c r="Q118" s="136">
        <v>29.39</v>
      </c>
      <c r="R118" s="139">
        <v>19</v>
      </c>
      <c r="S118" s="138" t="s">
        <v>884</v>
      </c>
      <c r="U118" s="136">
        <v>7.13</v>
      </c>
      <c r="V118" s="139">
        <v>12</v>
      </c>
      <c r="W118" s="138">
        <v>75</v>
      </c>
      <c r="Y118" s="136">
        <v>7.1</v>
      </c>
      <c r="Z118" s="139">
        <v>5</v>
      </c>
      <c r="AA118" s="138">
        <v>5</v>
      </c>
      <c r="AC118" s="136">
        <v>7.16</v>
      </c>
      <c r="AD118" s="139">
        <v>15</v>
      </c>
      <c r="AE118" s="138">
        <v>95</v>
      </c>
      <c r="AG118" s="136">
        <v>7.21</v>
      </c>
      <c r="AH118" s="137">
        <v>7</v>
      </c>
      <c r="AI118" s="138">
        <v>16</v>
      </c>
      <c r="AK118" s="136">
        <v>7.2</v>
      </c>
      <c r="AL118" s="139">
        <v>15</v>
      </c>
      <c r="AM118" s="138">
        <v>95</v>
      </c>
      <c r="AO118" s="136">
        <v>29.25</v>
      </c>
      <c r="AP118" s="139">
        <v>19</v>
      </c>
      <c r="AQ118" s="138" t="s">
        <v>884</v>
      </c>
      <c r="AS118" s="136">
        <v>7.13</v>
      </c>
      <c r="AT118" s="139">
        <v>6</v>
      </c>
      <c r="AU118" s="138">
        <v>9</v>
      </c>
      <c r="AW118" s="136">
        <v>29.28</v>
      </c>
      <c r="AX118" s="139">
        <v>19</v>
      </c>
      <c r="AY118" s="138" t="s">
        <v>884</v>
      </c>
      <c r="BA118" s="136">
        <v>8.0399999999999991</v>
      </c>
      <c r="BB118" s="139">
        <v>5</v>
      </c>
      <c r="BC118" s="138">
        <v>5</v>
      </c>
    </row>
    <row r="119" spans="5:55" x14ac:dyDescent="0.3">
      <c r="E119" s="152">
        <v>8.0299999999999994</v>
      </c>
      <c r="F119" s="153">
        <v>3</v>
      </c>
      <c r="G119" s="155" t="s">
        <v>876</v>
      </c>
      <c r="I119" s="136">
        <v>30.06</v>
      </c>
      <c r="J119" s="139">
        <v>7</v>
      </c>
      <c r="K119" s="138">
        <v>16</v>
      </c>
      <c r="M119" s="136">
        <v>7.11</v>
      </c>
      <c r="N119" s="139">
        <v>7</v>
      </c>
      <c r="O119" s="138">
        <v>16</v>
      </c>
      <c r="Q119" s="136">
        <v>30</v>
      </c>
      <c r="R119" s="139">
        <v>1</v>
      </c>
      <c r="S119" s="138" t="s">
        <v>883</v>
      </c>
      <c r="U119" s="136">
        <v>7.15</v>
      </c>
      <c r="V119" s="139">
        <v>13</v>
      </c>
      <c r="W119" s="138">
        <v>85</v>
      </c>
      <c r="Y119" s="136">
        <v>7.11</v>
      </c>
      <c r="Z119" s="139">
        <v>6</v>
      </c>
      <c r="AA119" s="138">
        <v>9</v>
      </c>
      <c r="AC119" s="136">
        <v>7.18</v>
      </c>
      <c r="AD119" s="139">
        <v>16</v>
      </c>
      <c r="AE119" s="138">
        <v>98</v>
      </c>
      <c r="AG119" s="136">
        <v>7.23</v>
      </c>
      <c r="AH119" s="137">
        <v>8</v>
      </c>
      <c r="AI119" s="138">
        <v>25</v>
      </c>
      <c r="AK119" s="136">
        <v>7.22</v>
      </c>
      <c r="AL119" s="139">
        <v>16</v>
      </c>
      <c r="AM119" s="138">
        <v>98</v>
      </c>
      <c r="AO119" s="136">
        <v>30</v>
      </c>
      <c r="AP119" s="139">
        <v>1</v>
      </c>
      <c r="AQ119" s="138" t="s">
        <v>883</v>
      </c>
      <c r="AS119" s="136">
        <v>7.15</v>
      </c>
      <c r="AT119" s="139">
        <v>7</v>
      </c>
      <c r="AU119" s="138">
        <v>16</v>
      </c>
      <c r="AW119" s="136">
        <v>30</v>
      </c>
      <c r="AX119" s="139">
        <v>1</v>
      </c>
      <c r="AY119" s="138" t="s">
        <v>883</v>
      </c>
      <c r="BA119" s="136">
        <v>8.0500000000000007</v>
      </c>
      <c r="BB119" s="139">
        <v>6</v>
      </c>
      <c r="BC119" s="138">
        <v>9</v>
      </c>
    </row>
    <row r="120" spans="5:55" x14ac:dyDescent="0.3">
      <c r="E120" s="152">
        <v>8.0399999999999991</v>
      </c>
      <c r="F120" s="153">
        <v>4</v>
      </c>
      <c r="G120" s="155" t="s">
        <v>863</v>
      </c>
      <c r="I120" s="136">
        <v>30.07</v>
      </c>
      <c r="J120" s="139">
        <v>8</v>
      </c>
      <c r="K120" s="138">
        <v>25</v>
      </c>
      <c r="M120" s="136">
        <v>7.13</v>
      </c>
      <c r="N120" s="139">
        <v>8</v>
      </c>
      <c r="O120" s="138">
        <v>25</v>
      </c>
      <c r="Q120" s="136">
        <v>30.02</v>
      </c>
      <c r="R120" s="139">
        <v>2</v>
      </c>
      <c r="S120" s="138" t="s">
        <v>883</v>
      </c>
      <c r="U120" s="136">
        <v>7.16</v>
      </c>
      <c r="V120" s="139">
        <v>14</v>
      </c>
      <c r="W120" s="138">
        <v>91</v>
      </c>
      <c r="Y120" s="136">
        <v>7.12</v>
      </c>
      <c r="Z120" s="139">
        <v>7</v>
      </c>
      <c r="AA120" s="138">
        <v>16</v>
      </c>
      <c r="AC120" s="136">
        <v>7.19</v>
      </c>
      <c r="AD120" s="139">
        <v>17</v>
      </c>
      <c r="AE120" s="138">
        <v>99</v>
      </c>
      <c r="AG120" s="136">
        <v>7.24</v>
      </c>
      <c r="AH120" s="137">
        <v>9</v>
      </c>
      <c r="AI120" s="138">
        <v>37</v>
      </c>
      <c r="AK120" s="136">
        <v>7.23</v>
      </c>
      <c r="AL120" s="139">
        <v>17</v>
      </c>
      <c r="AM120" s="138">
        <v>99</v>
      </c>
      <c r="AO120" s="136">
        <v>30.07</v>
      </c>
      <c r="AP120" s="139">
        <v>2</v>
      </c>
      <c r="AQ120" s="138" t="s">
        <v>883</v>
      </c>
      <c r="AS120" s="136">
        <v>7.16</v>
      </c>
      <c r="AT120" s="139">
        <v>8</v>
      </c>
      <c r="AU120" s="138">
        <v>25</v>
      </c>
      <c r="AW120" s="136">
        <v>30.03</v>
      </c>
      <c r="AX120" s="139">
        <v>2</v>
      </c>
      <c r="AY120" s="138" t="s">
        <v>883</v>
      </c>
      <c r="BA120" s="136">
        <v>8.06</v>
      </c>
      <c r="BB120" s="139">
        <v>7</v>
      </c>
      <c r="BC120" s="138">
        <v>16</v>
      </c>
    </row>
    <row r="121" spans="5:55" x14ac:dyDescent="0.3">
      <c r="E121" s="152">
        <v>8.0499999999999989</v>
      </c>
      <c r="F121" s="153">
        <v>5</v>
      </c>
      <c r="G121" s="155" t="s">
        <v>877</v>
      </c>
      <c r="I121" s="136">
        <v>30.08</v>
      </c>
      <c r="J121" s="139">
        <v>9</v>
      </c>
      <c r="K121" s="138">
        <v>37</v>
      </c>
      <c r="M121" s="136">
        <v>7.14</v>
      </c>
      <c r="N121" s="139">
        <v>9</v>
      </c>
      <c r="O121" s="138">
        <v>37</v>
      </c>
      <c r="Q121" s="136">
        <v>30.04</v>
      </c>
      <c r="R121" s="139">
        <v>3</v>
      </c>
      <c r="S121" s="138">
        <v>1</v>
      </c>
      <c r="U121" s="136">
        <v>7.17</v>
      </c>
      <c r="V121" s="139">
        <v>15</v>
      </c>
      <c r="W121" s="138">
        <v>95</v>
      </c>
      <c r="Y121" s="136">
        <v>7.13</v>
      </c>
      <c r="Z121" s="139">
        <v>8</v>
      </c>
      <c r="AA121" s="138">
        <v>25</v>
      </c>
      <c r="AC121" s="136">
        <v>7.2</v>
      </c>
      <c r="AD121" s="139">
        <v>18</v>
      </c>
      <c r="AE121" s="138" t="s">
        <v>884</v>
      </c>
      <c r="AG121" s="136">
        <v>7.26</v>
      </c>
      <c r="AH121" s="137">
        <v>10</v>
      </c>
      <c r="AI121" s="138">
        <v>50</v>
      </c>
      <c r="AK121" s="136">
        <v>7.24</v>
      </c>
      <c r="AL121" s="139">
        <v>18</v>
      </c>
      <c r="AM121" s="138" t="s">
        <v>884</v>
      </c>
      <c r="AO121" s="136">
        <v>30.09</v>
      </c>
      <c r="AP121" s="139">
        <v>3</v>
      </c>
      <c r="AQ121" s="138">
        <v>1</v>
      </c>
      <c r="AS121" s="136">
        <v>7.18</v>
      </c>
      <c r="AT121" s="139">
        <v>9</v>
      </c>
      <c r="AU121" s="138">
        <v>37</v>
      </c>
      <c r="AW121" s="136">
        <v>30.05</v>
      </c>
      <c r="AX121" s="139">
        <v>3</v>
      </c>
      <c r="AY121" s="138">
        <v>1</v>
      </c>
      <c r="BA121" s="136">
        <v>8.07</v>
      </c>
      <c r="BB121" s="139">
        <v>8</v>
      </c>
      <c r="BC121" s="138">
        <v>25</v>
      </c>
    </row>
    <row r="122" spans="5:55" x14ac:dyDescent="0.3">
      <c r="E122" s="152">
        <v>8.07</v>
      </c>
      <c r="F122" s="153">
        <v>6</v>
      </c>
      <c r="G122" s="155" t="s">
        <v>864</v>
      </c>
      <c r="I122" s="136">
        <v>30.1</v>
      </c>
      <c r="J122" s="139">
        <v>10</v>
      </c>
      <c r="K122" s="138">
        <v>50</v>
      </c>
      <c r="M122" s="136">
        <v>7.16</v>
      </c>
      <c r="N122" s="139">
        <v>10</v>
      </c>
      <c r="O122" s="138">
        <v>50</v>
      </c>
      <c r="Q122" s="136">
        <v>30.08</v>
      </c>
      <c r="R122" s="139">
        <v>4</v>
      </c>
      <c r="S122" s="138">
        <v>2</v>
      </c>
      <c r="U122" s="136">
        <v>7.19</v>
      </c>
      <c r="V122" s="139">
        <v>16</v>
      </c>
      <c r="W122" s="138">
        <v>98</v>
      </c>
      <c r="Y122" s="136">
        <v>7.14</v>
      </c>
      <c r="Z122" s="139">
        <v>9</v>
      </c>
      <c r="AA122" s="138">
        <v>37</v>
      </c>
      <c r="AC122" s="136">
        <v>7.24</v>
      </c>
      <c r="AD122" s="139">
        <v>19</v>
      </c>
      <c r="AE122" s="138" t="s">
        <v>884</v>
      </c>
      <c r="AG122" s="136">
        <v>7.28</v>
      </c>
      <c r="AH122" s="137">
        <v>11</v>
      </c>
      <c r="AI122" s="138">
        <v>63</v>
      </c>
      <c r="AK122" s="136">
        <v>7.26</v>
      </c>
      <c r="AL122" s="139">
        <v>19</v>
      </c>
      <c r="AM122" s="138" t="s">
        <v>884</v>
      </c>
      <c r="AO122" s="136">
        <v>30.1</v>
      </c>
      <c r="AP122" s="139">
        <v>4</v>
      </c>
      <c r="AQ122" s="138">
        <v>2</v>
      </c>
      <c r="AS122" s="136">
        <v>7.19</v>
      </c>
      <c r="AT122" s="139">
        <v>10</v>
      </c>
      <c r="AU122" s="138">
        <v>50</v>
      </c>
      <c r="AW122" s="136">
        <v>30.06</v>
      </c>
      <c r="AX122" s="139">
        <v>4</v>
      </c>
      <c r="AY122" s="138">
        <v>2</v>
      </c>
      <c r="BA122" s="136">
        <v>8.08</v>
      </c>
      <c r="BB122" s="139">
        <v>9</v>
      </c>
      <c r="BC122" s="138">
        <v>37</v>
      </c>
    </row>
    <row r="123" spans="5:55" x14ac:dyDescent="0.3">
      <c r="E123" s="152">
        <v>8.08</v>
      </c>
      <c r="F123" s="153">
        <v>7</v>
      </c>
      <c r="G123" s="155" t="s">
        <v>878</v>
      </c>
      <c r="I123" s="136">
        <v>30.11</v>
      </c>
      <c r="J123" s="139">
        <v>11</v>
      </c>
      <c r="K123" s="138">
        <v>63</v>
      </c>
      <c r="M123" s="136">
        <v>7.18</v>
      </c>
      <c r="N123" s="139">
        <v>11</v>
      </c>
      <c r="O123" s="138">
        <v>63</v>
      </c>
      <c r="Q123" s="136">
        <v>30.1</v>
      </c>
      <c r="R123" s="139">
        <v>5</v>
      </c>
      <c r="S123" s="138">
        <v>5</v>
      </c>
      <c r="U123" s="136">
        <v>7.2</v>
      </c>
      <c r="V123" s="139">
        <v>17</v>
      </c>
      <c r="W123" s="138">
        <v>99</v>
      </c>
      <c r="Y123" s="136">
        <v>7.15</v>
      </c>
      <c r="Z123" s="139">
        <v>10</v>
      </c>
      <c r="AA123" s="138">
        <v>50</v>
      </c>
      <c r="AC123" s="136">
        <v>8</v>
      </c>
      <c r="AD123" s="139">
        <v>1</v>
      </c>
      <c r="AE123" s="138" t="s">
        <v>883</v>
      </c>
      <c r="AG123" s="136">
        <v>7.3</v>
      </c>
      <c r="AH123" s="137">
        <v>12</v>
      </c>
      <c r="AI123" s="138">
        <v>75</v>
      </c>
      <c r="AK123" s="136">
        <v>8</v>
      </c>
      <c r="AL123" s="139">
        <v>1</v>
      </c>
      <c r="AM123" s="138" t="s">
        <v>883</v>
      </c>
      <c r="AO123" s="136">
        <v>30.11</v>
      </c>
      <c r="AP123" s="139">
        <v>5</v>
      </c>
      <c r="AQ123" s="138">
        <v>5</v>
      </c>
      <c r="AS123" s="136">
        <v>7.2</v>
      </c>
      <c r="AT123" s="139">
        <v>11</v>
      </c>
      <c r="AU123" s="138">
        <v>63</v>
      </c>
      <c r="AW123" s="136">
        <v>30.08</v>
      </c>
      <c r="AX123" s="139">
        <v>5</v>
      </c>
      <c r="AY123" s="138">
        <v>5</v>
      </c>
      <c r="BA123" s="136">
        <v>8.09</v>
      </c>
      <c r="BB123" s="139">
        <v>10</v>
      </c>
      <c r="BC123" s="138">
        <v>50</v>
      </c>
    </row>
    <row r="124" spans="5:55" x14ac:dyDescent="0.3">
      <c r="E124" s="152">
        <v>8.1</v>
      </c>
      <c r="F124" s="153">
        <v>8</v>
      </c>
      <c r="G124" s="155" t="s">
        <v>865</v>
      </c>
      <c r="I124" s="136">
        <v>30.12</v>
      </c>
      <c r="J124" s="139">
        <v>12</v>
      </c>
      <c r="K124" s="138">
        <v>75</v>
      </c>
      <c r="M124" s="136">
        <v>7.2</v>
      </c>
      <c r="N124" s="139">
        <v>12</v>
      </c>
      <c r="O124" s="138">
        <v>75</v>
      </c>
      <c r="Q124" s="136">
        <v>30.12</v>
      </c>
      <c r="R124" s="139">
        <v>6</v>
      </c>
      <c r="S124" s="138">
        <v>9</v>
      </c>
      <c r="U124" s="136">
        <v>7.21</v>
      </c>
      <c r="V124" s="139">
        <v>18</v>
      </c>
      <c r="W124" s="138" t="s">
        <v>884</v>
      </c>
      <c r="Y124" s="136">
        <v>7.16</v>
      </c>
      <c r="Z124" s="139">
        <v>11</v>
      </c>
      <c r="AA124" s="138">
        <v>63</v>
      </c>
      <c r="AC124" s="136">
        <v>8.02</v>
      </c>
      <c r="AD124" s="139">
        <v>2</v>
      </c>
      <c r="AE124" s="138" t="s">
        <v>883</v>
      </c>
      <c r="AG124" s="136">
        <v>7.31</v>
      </c>
      <c r="AH124" s="137">
        <v>13</v>
      </c>
      <c r="AI124" s="138">
        <v>85</v>
      </c>
      <c r="AK124" s="136">
        <v>8.02</v>
      </c>
      <c r="AL124" s="139">
        <v>2</v>
      </c>
      <c r="AM124" s="138" t="s">
        <v>883</v>
      </c>
      <c r="AO124" s="136">
        <v>30.12</v>
      </c>
      <c r="AP124" s="139">
        <v>6</v>
      </c>
      <c r="AQ124" s="138">
        <v>9</v>
      </c>
      <c r="AS124" s="136">
        <v>7.22</v>
      </c>
      <c r="AT124" s="139">
        <v>12</v>
      </c>
      <c r="AU124" s="138">
        <v>75</v>
      </c>
      <c r="AW124" s="136">
        <v>30.09</v>
      </c>
      <c r="AX124" s="139">
        <v>6</v>
      </c>
      <c r="AY124" s="138">
        <v>9</v>
      </c>
      <c r="BA124" s="136">
        <v>8.1</v>
      </c>
      <c r="BB124" s="139">
        <v>11</v>
      </c>
      <c r="BC124" s="138">
        <v>63</v>
      </c>
    </row>
    <row r="125" spans="5:55" x14ac:dyDescent="0.3">
      <c r="E125" s="152">
        <v>8.1199999999999992</v>
      </c>
      <c r="F125" s="153">
        <v>9</v>
      </c>
      <c r="G125" s="155" t="s">
        <v>879</v>
      </c>
      <c r="I125" s="136">
        <v>30.14</v>
      </c>
      <c r="J125" s="139">
        <v>13</v>
      </c>
      <c r="K125" s="138">
        <v>85</v>
      </c>
      <c r="M125" s="136">
        <v>7.21</v>
      </c>
      <c r="N125" s="139">
        <v>13</v>
      </c>
      <c r="O125" s="138">
        <v>85</v>
      </c>
      <c r="Q125" s="136">
        <v>30.14</v>
      </c>
      <c r="R125" s="139">
        <v>7</v>
      </c>
      <c r="S125" s="138">
        <v>16</v>
      </c>
      <c r="U125" s="136">
        <v>7.23</v>
      </c>
      <c r="V125" s="139">
        <v>19</v>
      </c>
      <c r="W125" s="138" t="s">
        <v>884</v>
      </c>
      <c r="Y125" s="136">
        <v>7.17</v>
      </c>
      <c r="Z125" s="139">
        <v>12</v>
      </c>
      <c r="AA125" s="138">
        <v>75</v>
      </c>
      <c r="AC125" s="136">
        <v>8.0399999999999991</v>
      </c>
      <c r="AD125" s="139">
        <v>3</v>
      </c>
      <c r="AE125" s="138">
        <v>1</v>
      </c>
      <c r="AG125" s="136">
        <v>7.33</v>
      </c>
      <c r="AH125" s="137">
        <v>14</v>
      </c>
      <c r="AI125" s="138">
        <v>91</v>
      </c>
      <c r="AK125" s="136">
        <v>8.0500000000000007</v>
      </c>
      <c r="AL125" s="139">
        <v>3</v>
      </c>
      <c r="AM125" s="138">
        <v>1</v>
      </c>
      <c r="AO125" s="136">
        <v>30.13</v>
      </c>
      <c r="AP125" s="139">
        <v>7</v>
      </c>
      <c r="AQ125" s="138">
        <v>16</v>
      </c>
      <c r="AS125" s="136">
        <v>7.23</v>
      </c>
      <c r="AT125" s="139">
        <v>13</v>
      </c>
      <c r="AU125" s="138">
        <v>85</v>
      </c>
      <c r="AW125" s="136">
        <v>30.11</v>
      </c>
      <c r="AX125" s="139">
        <v>7</v>
      </c>
      <c r="AY125" s="138">
        <v>16</v>
      </c>
      <c r="BA125" s="136">
        <v>8.11</v>
      </c>
      <c r="BB125" s="139">
        <v>12</v>
      </c>
      <c r="BC125" s="138">
        <v>75</v>
      </c>
    </row>
    <row r="126" spans="5:55" x14ac:dyDescent="0.3">
      <c r="E126" s="152">
        <v>8.129999999999999</v>
      </c>
      <c r="F126" s="153">
        <v>10</v>
      </c>
      <c r="G126" s="155" t="s">
        <v>866</v>
      </c>
      <c r="I126" s="136">
        <v>30.15</v>
      </c>
      <c r="J126" s="139">
        <v>14</v>
      </c>
      <c r="K126" s="138">
        <v>91</v>
      </c>
      <c r="M126" s="136">
        <v>7.23</v>
      </c>
      <c r="N126" s="139">
        <v>14</v>
      </c>
      <c r="O126" s="138">
        <v>91</v>
      </c>
      <c r="Q126" s="136">
        <v>30.16</v>
      </c>
      <c r="R126" s="139">
        <v>8</v>
      </c>
      <c r="S126" s="138">
        <v>25</v>
      </c>
      <c r="U126" s="136">
        <v>8</v>
      </c>
      <c r="V126" s="139">
        <v>1</v>
      </c>
      <c r="W126" s="138" t="s">
        <v>883</v>
      </c>
      <c r="Y126" s="136">
        <v>7.18</v>
      </c>
      <c r="Z126" s="139">
        <v>13</v>
      </c>
      <c r="AA126" s="138">
        <v>85</v>
      </c>
      <c r="AC126" s="136">
        <v>8.0500000000000007</v>
      </c>
      <c r="AD126" s="139">
        <v>4</v>
      </c>
      <c r="AE126" s="138">
        <v>2</v>
      </c>
      <c r="AG126" s="136">
        <v>7.35</v>
      </c>
      <c r="AH126" s="137">
        <v>15</v>
      </c>
      <c r="AI126" s="138">
        <v>95</v>
      </c>
      <c r="AK126" s="136">
        <v>8.06</v>
      </c>
      <c r="AL126" s="139">
        <v>4</v>
      </c>
      <c r="AM126" s="138">
        <v>2</v>
      </c>
      <c r="AO126" s="136">
        <v>30.14</v>
      </c>
      <c r="AP126" s="139">
        <v>8</v>
      </c>
      <c r="AQ126" s="138">
        <v>25</v>
      </c>
      <c r="AS126" s="136">
        <v>7.25</v>
      </c>
      <c r="AT126" s="139">
        <v>14</v>
      </c>
      <c r="AU126" s="138">
        <v>91</v>
      </c>
      <c r="AW126" s="136">
        <v>30.12</v>
      </c>
      <c r="AX126" s="139">
        <v>8</v>
      </c>
      <c r="AY126" s="138">
        <v>25</v>
      </c>
      <c r="BA126" s="136">
        <v>8.1199999999999992</v>
      </c>
      <c r="BB126" s="139">
        <v>13</v>
      </c>
      <c r="BC126" s="138">
        <v>85</v>
      </c>
    </row>
    <row r="127" spans="5:55" x14ac:dyDescent="0.3">
      <c r="E127" s="152">
        <v>8.15</v>
      </c>
      <c r="F127" s="153">
        <v>11</v>
      </c>
      <c r="G127" s="155" t="s">
        <v>867</v>
      </c>
      <c r="I127" s="136">
        <v>30.17</v>
      </c>
      <c r="J127" s="139">
        <v>15</v>
      </c>
      <c r="K127" s="138">
        <v>95</v>
      </c>
      <c r="M127" s="136">
        <v>7.25</v>
      </c>
      <c r="N127" s="139">
        <v>15</v>
      </c>
      <c r="O127" s="138">
        <v>95</v>
      </c>
      <c r="Q127" s="136">
        <v>30.18</v>
      </c>
      <c r="R127" s="139">
        <v>9</v>
      </c>
      <c r="S127" s="138">
        <v>37</v>
      </c>
      <c r="U127" s="136">
        <v>8.01</v>
      </c>
      <c r="V127" s="139">
        <v>2</v>
      </c>
      <c r="W127" s="138" t="s">
        <v>883</v>
      </c>
      <c r="Y127" s="136">
        <v>7.19</v>
      </c>
      <c r="Z127" s="139">
        <v>14</v>
      </c>
      <c r="AA127" s="138">
        <v>91</v>
      </c>
      <c r="AC127" s="136">
        <v>8.06</v>
      </c>
      <c r="AD127" s="139">
        <v>5</v>
      </c>
      <c r="AE127" s="138">
        <v>5</v>
      </c>
      <c r="AG127" s="136">
        <v>7.37</v>
      </c>
      <c r="AH127" s="137">
        <v>16</v>
      </c>
      <c r="AI127" s="138">
        <v>98</v>
      </c>
      <c r="AK127" s="136">
        <v>8.09</v>
      </c>
      <c r="AL127" s="139">
        <v>5</v>
      </c>
      <c r="AM127" s="138">
        <v>5</v>
      </c>
      <c r="AO127" s="136">
        <v>30.15</v>
      </c>
      <c r="AP127" s="139">
        <v>9</v>
      </c>
      <c r="AQ127" s="138">
        <v>37</v>
      </c>
      <c r="AS127" s="136">
        <v>7.26</v>
      </c>
      <c r="AT127" s="139">
        <v>15</v>
      </c>
      <c r="AU127" s="138">
        <v>95</v>
      </c>
      <c r="AW127" s="136">
        <v>30.14</v>
      </c>
      <c r="AX127" s="139">
        <v>9</v>
      </c>
      <c r="AY127" s="138">
        <v>37</v>
      </c>
      <c r="BA127" s="136">
        <v>8.1300000000000008</v>
      </c>
      <c r="BB127" s="139">
        <v>14</v>
      </c>
      <c r="BC127" s="138">
        <v>91</v>
      </c>
    </row>
    <row r="128" spans="5:55" x14ac:dyDescent="0.3">
      <c r="E128" s="152">
        <v>8.17</v>
      </c>
      <c r="F128" s="153">
        <v>12</v>
      </c>
      <c r="G128" s="155" t="s">
        <v>868</v>
      </c>
      <c r="I128" s="136">
        <v>30.18</v>
      </c>
      <c r="J128" s="139">
        <v>16</v>
      </c>
      <c r="K128" s="138">
        <v>98</v>
      </c>
      <c r="M128" s="136">
        <v>7.27</v>
      </c>
      <c r="N128" s="139">
        <v>16</v>
      </c>
      <c r="O128" s="138">
        <v>98</v>
      </c>
      <c r="Q128" s="136">
        <v>30.21</v>
      </c>
      <c r="R128" s="139">
        <v>10</v>
      </c>
      <c r="S128" s="138">
        <v>50</v>
      </c>
      <c r="U128" s="136">
        <v>8.02</v>
      </c>
      <c r="V128" s="139">
        <v>3</v>
      </c>
      <c r="W128" s="138">
        <v>1</v>
      </c>
      <c r="Y128" s="136">
        <v>7.2</v>
      </c>
      <c r="Z128" s="139">
        <v>15</v>
      </c>
      <c r="AA128" s="138">
        <v>95</v>
      </c>
      <c r="AC128" s="136">
        <v>8.07</v>
      </c>
      <c r="AD128" s="139">
        <v>6</v>
      </c>
      <c r="AE128" s="138">
        <v>9</v>
      </c>
      <c r="AG128" s="136">
        <v>7.38</v>
      </c>
      <c r="AH128" s="137">
        <v>17</v>
      </c>
      <c r="AI128" s="138">
        <v>99</v>
      </c>
      <c r="AK128" s="136">
        <v>8.1</v>
      </c>
      <c r="AL128" s="139">
        <v>6</v>
      </c>
      <c r="AM128" s="138">
        <v>9</v>
      </c>
      <c r="AO128" s="136">
        <v>30.16</v>
      </c>
      <c r="AP128" s="139">
        <v>10</v>
      </c>
      <c r="AQ128" s="138">
        <v>50</v>
      </c>
      <c r="AS128" s="136">
        <v>7.27</v>
      </c>
      <c r="AT128" s="139">
        <v>16</v>
      </c>
      <c r="AU128" s="138">
        <v>98</v>
      </c>
      <c r="AW128" s="136">
        <v>30.16</v>
      </c>
      <c r="AX128" s="139">
        <v>10</v>
      </c>
      <c r="AY128" s="138">
        <v>50</v>
      </c>
      <c r="BA128" s="136">
        <v>8.14</v>
      </c>
      <c r="BB128" s="139">
        <v>15</v>
      </c>
      <c r="BC128" s="138">
        <v>95</v>
      </c>
    </row>
    <row r="129" spans="5:55" x14ac:dyDescent="0.3">
      <c r="E129" s="152">
        <v>8.18</v>
      </c>
      <c r="F129" s="153">
        <v>13</v>
      </c>
      <c r="G129" s="155" t="s">
        <v>869</v>
      </c>
      <c r="I129" s="136">
        <v>30.2</v>
      </c>
      <c r="J129" s="139">
        <v>17</v>
      </c>
      <c r="K129" s="138">
        <v>99</v>
      </c>
      <c r="M129" s="136">
        <v>7.29</v>
      </c>
      <c r="N129" s="139">
        <v>17</v>
      </c>
      <c r="O129" s="138">
        <v>99</v>
      </c>
      <c r="Q129" s="136">
        <v>30.23</v>
      </c>
      <c r="R129" s="139">
        <v>11</v>
      </c>
      <c r="S129" s="138">
        <v>63</v>
      </c>
      <c r="U129" s="136">
        <v>8.0299999999999994</v>
      </c>
      <c r="V129" s="139">
        <v>4</v>
      </c>
      <c r="W129" s="138">
        <v>2</v>
      </c>
      <c r="Y129" s="136">
        <v>7.21</v>
      </c>
      <c r="Z129" s="139">
        <v>16</v>
      </c>
      <c r="AA129" s="138">
        <v>98</v>
      </c>
      <c r="AC129" s="136">
        <v>8.09</v>
      </c>
      <c r="AD129" s="139">
        <v>7</v>
      </c>
      <c r="AE129" s="138">
        <v>16</v>
      </c>
      <c r="AG129" s="136">
        <v>7.4</v>
      </c>
      <c r="AH129" s="137">
        <v>18</v>
      </c>
      <c r="AI129" s="138" t="s">
        <v>884</v>
      </c>
      <c r="AK129" s="136">
        <v>8.11</v>
      </c>
      <c r="AL129" s="139">
        <v>7</v>
      </c>
      <c r="AM129" s="138">
        <v>16</v>
      </c>
      <c r="AO129" s="136">
        <v>30.17</v>
      </c>
      <c r="AP129" s="139">
        <v>11</v>
      </c>
      <c r="AQ129" s="138">
        <v>63</v>
      </c>
      <c r="AS129" s="136">
        <v>7.29</v>
      </c>
      <c r="AT129" s="139">
        <v>17</v>
      </c>
      <c r="AU129" s="138">
        <v>99</v>
      </c>
      <c r="AW129" s="136">
        <v>30.18</v>
      </c>
      <c r="AX129" s="139">
        <v>11</v>
      </c>
      <c r="AY129" s="138">
        <v>63</v>
      </c>
      <c r="BA129" s="136">
        <v>8.15</v>
      </c>
      <c r="BB129" s="139">
        <v>16</v>
      </c>
      <c r="BC129" s="138">
        <v>98</v>
      </c>
    </row>
    <row r="130" spans="5:55" x14ac:dyDescent="0.3">
      <c r="E130" s="152">
        <v>8.19</v>
      </c>
      <c r="F130" s="153">
        <v>14</v>
      </c>
      <c r="G130" s="155" t="s">
        <v>870</v>
      </c>
      <c r="I130" s="136">
        <v>30.21</v>
      </c>
      <c r="J130" s="139">
        <v>18</v>
      </c>
      <c r="K130" s="138" t="s">
        <v>884</v>
      </c>
      <c r="M130" s="136">
        <v>7.3</v>
      </c>
      <c r="N130" s="139">
        <v>18</v>
      </c>
      <c r="O130" s="138" t="s">
        <v>884</v>
      </c>
      <c r="Q130" s="136">
        <v>30.25</v>
      </c>
      <c r="R130" s="139">
        <v>12</v>
      </c>
      <c r="S130" s="138">
        <v>75</v>
      </c>
      <c r="U130" s="136">
        <v>8.0399999999999991</v>
      </c>
      <c r="V130" s="139">
        <v>5</v>
      </c>
      <c r="W130" s="138">
        <v>5</v>
      </c>
      <c r="Y130" s="136">
        <v>7.22</v>
      </c>
      <c r="Z130" s="139">
        <v>17</v>
      </c>
      <c r="AA130" s="138">
        <v>99</v>
      </c>
      <c r="AC130" s="136">
        <v>8.1</v>
      </c>
      <c r="AD130" s="139">
        <v>8</v>
      </c>
      <c r="AE130" s="138">
        <v>25</v>
      </c>
      <c r="AG130" s="136">
        <v>7.45</v>
      </c>
      <c r="AH130" s="137">
        <v>19</v>
      </c>
      <c r="AI130" s="138" t="s">
        <v>884</v>
      </c>
      <c r="AK130" s="136">
        <v>8.1300000000000008</v>
      </c>
      <c r="AL130" s="139">
        <v>8</v>
      </c>
      <c r="AM130" s="138">
        <v>25</v>
      </c>
      <c r="AO130" s="136">
        <v>30.18</v>
      </c>
      <c r="AP130" s="139">
        <v>12</v>
      </c>
      <c r="AQ130" s="138">
        <v>75</v>
      </c>
      <c r="AS130" s="136">
        <v>7.3</v>
      </c>
      <c r="AT130" s="139">
        <v>18</v>
      </c>
      <c r="AU130" s="138" t="s">
        <v>884</v>
      </c>
      <c r="AW130" s="136">
        <v>30.19</v>
      </c>
      <c r="AX130" s="139">
        <v>12</v>
      </c>
      <c r="AY130" s="138">
        <v>75</v>
      </c>
      <c r="BA130" s="136">
        <v>8.16</v>
      </c>
      <c r="BB130" s="139">
        <v>17</v>
      </c>
      <c r="BC130" s="138">
        <v>99</v>
      </c>
    </row>
    <row r="131" spans="5:55" x14ac:dyDescent="0.3">
      <c r="E131" s="152">
        <v>8.1999999999999993</v>
      </c>
      <c r="F131" s="153">
        <v>15</v>
      </c>
      <c r="G131" s="155" t="s">
        <v>871</v>
      </c>
      <c r="I131" s="136">
        <v>30.24</v>
      </c>
      <c r="J131" s="139">
        <v>19</v>
      </c>
      <c r="K131" s="138" t="s">
        <v>884</v>
      </c>
      <c r="M131" s="136">
        <v>7.35</v>
      </c>
      <c r="N131" s="139">
        <v>19</v>
      </c>
      <c r="O131" s="138" t="s">
        <v>884</v>
      </c>
      <c r="Q131" s="136">
        <v>30.27</v>
      </c>
      <c r="R131" s="139">
        <v>13</v>
      </c>
      <c r="S131" s="138">
        <v>85</v>
      </c>
      <c r="U131" s="136">
        <v>8.0500000000000007</v>
      </c>
      <c r="V131" s="139">
        <v>6</v>
      </c>
      <c r="W131" s="138">
        <v>9</v>
      </c>
      <c r="Y131" s="136">
        <v>7.23</v>
      </c>
      <c r="Z131" s="139">
        <v>18</v>
      </c>
      <c r="AA131" s="138" t="s">
        <v>884</v>
      </c>
      <c r="AC131" s="136">
        <v>8.11</v>
      </c>
      <c r="AD131" s="139">
        <v>9</v>
      </c>
      <c r="AE131" s="138">
        <v>37</v>
      </c>
      <c r="AG131" s="136">
        <v>8</v>
      </c>
      <c r="AH131" s="137">
        <v>1</v>
      </c>
      <c r="AI131" s="138" t="s">
        <v>883</v>
      </c>
      <c r="AK131" s="136">
        <v>8.14</v>
      </c>
      <c r="AL131" s="139">
        <v>9</v>
      </c>
      <c r="AM131" s="138">
        <v>37</v>
      </c>
      <c r="AO131" s="136">
        <v>30.19</v>
      </c>
      <c r="AP131" s="139">
        <v>13</v>
      </c>
      <c r="AQ131" s="138">
        <v>85</v>
      </c>
      <c r="AS131" s="136">
        <v>7.33</v>
      </c>
      <c r="AT131" s="139">
        <v>19</v>
      </c>
      <c r="AU131" s="138" t="s">
        <v>884</v>
      </c>
      <c r="AW131" s="136">
        <v>30.21</v>
      </c>
      <c r="AX131" s="139">
        <v>13</v>
      </c>
      <c r="AY131" s="138">
        <v>85</v>
      </c>
      <c r="BA131" s="136">
        <v>8.17</v>
      </c>
      <c r="BB131" s="139">
        <v>18</v>
      </c>
      <c r="BC131" s="138" t="s">
        <v>884</v>
      </c>
    </row>
    <row r="132" spans="5:55" x14ac:dyDescent="0.3">
      <c r="E132" s="152">
        <v>8.2200000000000006</v>
      </c>
      <c r="F132" s="153">
        <v>16</v>
      </c>
      <c r="G132" s="155" t="s">
        <v>872</v>
      </c>
      <c r="I132" s="136">
        <v>31</v>
      </c>
      <c r="J132" s="139">
        <v>1</v>
      </c>
      <c r="K132" s="138" t="s">
        <v>883</v>
      </c>
      <c r="M132" s="136">
        <v>8</v>
      </c>
      <c r="N132" s="139">
        <v>1</v>
      </c>
      <c r="O132" s="138" t="s">
        <v>883</v>
      </c>
      <c r="Q132" s="136">
        <v>30.29</v>
      </c>
      <c r="R132" s="139">
        <v>14</v>
      </c>
      <c r="S132" s="138">
        <v>91</v>
      </c>
      <c r="U132" s="136">
        <v>8.07</v>
      </c>
      <c r="V132" s="139">
        <v>7</v>
      </c>
      <c r="W132" s="138">
        <v>16</v>
      </c>
      <c r="Y132" s="136">
        <v>7.24</v>
      </c>
      <c r="Z132" s="139">
        <v>19</v>
      </c>
      <c r="AA132" s="138" t="s">
        <v>884</v>
      </c>
      <c r="AC132" s="136">
        <v>8.1199999999999992</v>
      </c>
      <c r="AD132" s="139">
        <v>10</v>
      </c>
      <c r="AE132" s="138">
        <v>50</v>
      </c>
      <c r="AG132" s="136">
        <v>8.1199999999999992</v>
      </c>
      <c r="AH132" s="137">
        <v>2</v>
      </c>
      <c r="AI132" s="138" t="s">
        <v>883</v>
      </c>
      <c r="AK132" s="136">
        <v>8.16</v>
      </c>
      <c r="AL132" s="139">
        <v>10</v>
      </c>
      <c r="AM132" s="138">
        <v>50</v>
      </c>
      <c r="AO132" s="136">
        <v>30.2</v>
      </c>
      <c r="AP132" s="139">
        <v>14</v>
      </c>
      <c r="AQ132" s="138">
        <v>91</v>
      </c>
      <c r="AS132" s="136">
        <v>8</v>
      </c>
      <c r="AT132" s="139">
        <v>1</v>
      </c>
      <c r="AU132" s="138" t="s">
        <v>883</v>
      </c>
      <c r="AW132" s="136">
        <v>30.23</v>
      </c>
      <c r="AX132" s="139">
        <v>14</v>
      </c>
      <c r="AY132" s="138">
        <v>91</v>
      </c>
      <c r="BA132" s="136">
        <v>8.18</v>
      </c>
      <c r="BB132" s="139">
        <v>19</v>
      </c>
      <c r="BC132" s="138" t="s">
        <v>884</v>
      </c>
    </row>
    <row r="133" spans="5:55" x14ac:dyDescent="0.3">
      <c r="E133" s="152">
        <v>8.24</v>
      </c>
      <c r="F133" s="153">
        <v>17</v>
      </c>
      <c r="G133" s="155" t="s">
        <v>873</v>
      </c>
      <c r="I133" s="136">
        <v>31.01</v>
      </c>
      <c r="J133" s="139">
        <v>2</v>
      </c>
      <c r="K133" s="138" t="s">
        <v>883</v>
      </c>
      <c r="M133" s="136">
        <v>8.02</v>
      </c>
      <c r="N133" s="139">
        <v>2</v>
      </c>
      <c r="O133" s="138" t="s">
        <v>883</v>
      </c>
      <c r="Q133" s="136">
        <v>30.31</v>
      </c>
      <c r="R133" s="139">
        <v>15</v>
      </c>
      <c r="S133" s="138">
        <v>95</v>
      </c>
      <c r="U133" s="136">
        <v>8.08</v>
      </c>
      <c r="V133" s="139">
        <v>8</v>
      </c>
      <c r="W133" s="138">
        <v>25</v>
      </c>
      <c r="Y133" s="136">
        <v>8</v>
      </c>
      <c r="Z133" s="139">
        <v>1</v>
      </c>
      <c r="AA133" s="138" t="s">
        <v>883</v>
      </c>
      <c r="AC133" s="136">
        <v>8.1300000000000008</v>
      </c>
      <c r="AD133" s="139">
        <v>11</v>
      </c>
      <c r="AE133" s="138">
        <v>63</v>
      </c>
      <c r="AG133" s="136">
        <v>8.15</v>
      </c>
      <c r="AH133" s="137">
        <v>3</v>
      </c>
      <c r="AI133" s="138">
        <v>1</v>
      </c>
      <c r="AK133" s="136">
        <v>8.17</v>
      </c>
      <c r="AL133" s="139">
        <v>11</v>
      </c>
      <c r="AM133" s="138">
        <v>63</v>
      </c>
      <c r="AO133" s="136">
        <v>30.21</v>
      </c>
      <c r="AP133" s="139">
        <v>15</v>
      </c>
      <c r="AQ133" s="138">
        <v>95</v>
      </c>
      <c r="AS133" s="136">
        <v>8.08</v>
      </c>
      <c r="AT133" s="139">
        <v>2</v>
      </c>
      <c r="AU133" s="138" t="s">
        <v>883</v>
      </c>
      <c r="AW133" s="136">
        <v>30.25</v>
      </c>
      <c r="AX133" s="139">
        <v>15</v>
      </c>
      <c r="AY133" s="138">
        <v>95</v>
      </c>
      <c r="BA133" s="136">
        <v>9</v>
      </c>
      <c r="BB133" s="139">
        <v>1</v>
      </c>
      <c r="BC133" s="138" t="s">
        <v>883</v>
      </c>
    </row>
    <row r="134" spans="5:55" x14ac:dyDescent="0.3">
      <c r="E134" s="152">
        <v>8.26</v>
      </c>
      <c r="F134" s="153">
        <v>18</v>
      </c>
      <c r="G134" s="155" t="s">
        <v>874</v>
      </c>
      <c r="I134" s="136">
        <v>31.02</v>
      </c>
      <c r="J134" s="139">
        <v>3</v>
      </c>
      <c r="K134" s="138">
        <v>1</v>
      </c>
      <c r="M134" s="136">
        <v>8.0399999999999991</v>
      </c>
      <c r="N134" s="139">
        <v>3</v>
      </c>
      <c r="O134" s="138">
        <v>1</v>
      </c>
      <c r="Q134" s="136">
        <v>30.34</v>
      </c>
      <c r="R134" s="139">
        <v>16</v>
      </c>
      <c r="S134" s="138">
        <v>98</v>
      </c>
      <c r="U134" s="136">
        <v>8.1</v>
      </c>
      <c r="V134" s="139">
        <v>9</v>
      </c>
      <c r="W134" s="138">
        <v>37</v>
      </c>
      <c r="Y134" s="136">
        <v>8.07</v>
      </c>
      <c r="Z134" s="139">
        <v>2</v>
      </c>
      <c r="AA134" s="138" t="s">
        <v>883</v>
      </c>
      <c r="AC134" s="136">
        <v>8.14</v>
      </c>
      <c r="AD134" s="139">
        <v>12</v>
      </c>
      <c r="AE134" s="138">
        <v>75</v>
      </c>
      <c r="AG134" s="136">
        <v>8.17</v>
      </c>
      <c r="AH134" s="137">
        <v>4</v>
      </c>
      <c r="AI134" s="138">
        <v>2</v>
      </c>
      <c r="AK134" s="136">
        <v>8.18</v>
      </c>
      <c r="AL134" s="139">
        <v>12</v>
      </c>
      <c r="AM134" s="138">
        <v>75</v>
      </c>
      <c r="AO134" s="136">
        <v>30.22</v>
      </c>
      <c r="AP134" s="139">
        <v>16</v>
      </c>
      <c r="AQ134" s="138">
        <v>98</v>
      </c>
      <c r="AS134" s="136">
        <v>8.1</v>
      </c>
      <c r="AT134" s="139">
        <v>3</v>
      </c>
      <c r="AU134" s="138">
        <v>1</v>
      </c>
      <c r="AW134" s="136">
        <v>30.26</v>
      </c>
      <c r="AX134" s="139">
        <v>16</v>
      </c>
      <c r="AY134" s="138">
        <v>98</v>
      </c>
      <c r="BA134" s="136">
        <v>9.02</v>
      </c>
      <c r="BB134" s="139">
        <v>2</v>
      </c>
      <c r="BC134" s="138" t="s">
        <v>883</v>
      </c>
    </row>
    <row r="135" spans="5:55" ht="19.5" thickBot="1" x14ac:dyDescent="0.35">
      <c r="E135" s="157">
        <v>8.2799999999999994</v>
      </c>
      <c r="F135" s="158">
        <v>19</v>
      </c>
      <c r="G135" s="159" t="s">
        <v>874</v>
      </c>
      <c r="I135" s="136">
        <v>31.03</v>
      </c>
      <c r="J135" s="139">
        <v>4</v>
      </c>
      <c r="K135" s="138">
        <v>2</v>
      </c>
      <c r="M135" s="136">
        <v>8.07</v>
      </c>
      <c r="N135" s="139">
        <v>4</v>
      </c>
      <c r="O135" s="138">
        <v>2</v>
      </c>
      <c r="Q135" s="136">
        <v>30.36</v>
      </c>
      <c r="R135" s="139">
        <v>17</v>
      </c>
      <c r="S135" s="138">
        <v>99</v>
      </c>
      <c r="U135" s="136">
        <v>8.11</v>
      </c>
      <c r="V135" s="139">
        <v>10</v>
      </c>
      <c r="W135" s="138">
        <v>50</v>
      </c>
      <c r="Y135" s="136">
        <v>8.09</v>
      </c>
      <c r="Z135" s="139">
        <v>3</v>
      </c>
      <c r="AA135" s="138">
        <v>1</v>
      </c>
      <c r="AC135" s="136">
        <v>8.15</v>
      </c>
      <c r="AD135" s="139">
        <v>13</v>
      </c>
      <c r="AE135" s="138">
        <v>85</v>
      </c>
      <c r="AG135" s="136">
        <v>8.19</v>
      </c>
      <c r="AH135" s="137">
        <v>5</v>
      </c>
      <c r="AI135" s="138">
        <v>5</v>
      </c>
      <c r="AK135" s="136">
        <v>8.1999999999999993</v>
      </c>
      <c r="AL135" s="139">
        <v>13</v>
      </c>
      <c r="AM135" s="138">
        <v>85</v>
      </c>
      <c r="AO135" s="136">
        <v>30.24</v>
      </c>
      <c r="AP135" s="139">
        <v>17</v>
      </c>
      <c r="AQ135" s="138">
        <v>99</v>
      </c>
      <c r="AS135" s="136">
        <v>8.11</v>
      </c>
      <c r="AT135" s="139">
        <v>4</v>
      </c>
      <c r="AU135" s="138">
        <v>2</v>
      </c>
      <c r="AW135" s="136">
        <v>30.28</v>
      </c>
      <c r="AX135" s="139">
        <v>17</v>
      </c>
      <c r="AY135" s="138">
        <v>99</v>
      </c>
      <c r="BA135" s="136">
        <v>9.0299999999999994</v>
      </c>
      <c r="BB135" s="139">
        <v>3</v>
      </c>
      <c r="BC135" s="138">
        <v>1</v>
      </c>
    </row>
    <row r="136" spans="5:55" x14ac:dyDescent="0.3">
      <c r="E136" s="149">
        <v>9</v>
      </c>
      <c r="F136" s="150">
        <v>1</v>
      </c>
      <c r="G136" s="163" t="s">
        <v>862</v>
      </c>
      <c r="I136" s="136">
        <v>31.04</v>
      </c>
      <c r="J136" s="139">
        <v>5</v>
      </c>
      <c r="K136" s="138">
        <v>5</v>
      </c>
      <c r="M136" s="136">
        <v>8.09</v>
      </c>
      <c r="N136" s="139">
        <v>5</v>
      </c>
      <c r="O136" s="138">
        <v>5</v>
      </c>
      <c r="Q136" s="136">
        <v>30.38</v>
      </c>
      <c r="R136" s="139">
        <v>18</v>
      </c>
      <c r="S136" s="138" t="s">
        <v>884</v>
      </c>
      <c r="U136" s="136">
        <v>8.1300000000000008</v>
      </c>
      <c r="V136" s="139">
        <v>11</v>
      </c>
      <c r="W136" s="138">
        <v>63</v>
      </c>
      <c r="Y136" s="136">
        <v>8.1</v>
      </c>
      <c r="Z136" s="139">
        <v>4</v>
      </c>
      <c r="AA136" s="138">
        <v>2</v>
      </c>
      <c r="AC136" s="136">
        <v>8.17</v>
      </c>
      <c r="AD136" s="139">
        <v>14</v>
      </c>
      <c r="AE136" s="138">
        <v>91</v>
      </c>
      <c r="AG136" s="136">
        <v>8.2100000000000009</v>
      </c>
      <c r="AH136" s="137">
        <v>6</v>
      </c>
      <c r="AI136" s="138">
        <v>9</v>
      </c>
      <c r="AK136" s="136">
        <v>8.2100000000000009</v>
      </c>
      <c r="AL136" s="139">
        <v>14</v>
      </c>
      <c r="AM136" s="138">
        <v>91</v>
      </c>
      <c r="AO136" s="136">
        <v>30.25</v>
      </c>
      <c r="AP136" s="139">
        <v>18</v>
      </c>
      <c r="AQ136" s="138" t="s">
        <v>884</v>
      </c>
      <c r="AS136" s="136">
        <v>8.1300000000000008</v>
      </c>
      <c r="AT136" s="139">
        <v>5</v>
      </c>
      <c r="AU136" s="138">
        <v>5</v>
      </c>
      <c r="AW136" s="136">
        <v>30.3</v>
      </c>
      <c r="AX136" s="139">
        <v>18</v>
      </c>
      <c r="AY136" s="138" t="s">
        <v>884</v>
      </c>
      <c r="BA136" s="136">
        <v>9.0399999999999991</v>
      </c>
      <c r="BB136" s="139">
        <v>4</v>
      </c>
      <c r="BC136" s="138">
        <v>2</v>
      </c>
    </row>
    <row r="137" spans="5:55" x14ac:dyDescent="0.3">
      <c r="E137" s="152">
        <v>9.02</v>
      </c>
      <c r="F137" s="153">
        <v>2</v>
      </c>
      <c r="G137" s="155" t="s">
        <v>862</v>
      </c>
      <c r="I137" s="136">
        <v>31.05</v>
      </c>
      <c r="J137" s="139">
        <v>6</v>
      </c>
      <c r="K137" s="138">
        <v>9</v>
      </c>
      <c r="M137" s="136">
        <v>8.11</v>
      </c>
      <c r="N137" s="139">
        <v>6</v>
      </c>
      <c r="O137" s="138">
        <v>9</v>
      </c>
      <c r="Q137" s="136">
        <v>30.41</v>
      </c>
      <c r="R137" s="139">
        <v>19</v>
      </c>
      <c r="S137" s="138" t="s">
        <v>884</v>
      </c>
      <c r="U137" s="136">
        <v>8.14</v>
      </c>
      <c r="V137" s="139">
        <v>12</v>
      </c>
      <c r="W137" s="138">
        <v>75</v>
      </c>
      <c r="Y137" s="136">
        <v>8.11</v>
      </c>
      <c r="Z137" s="139">
        <v>5</v>
      </c>
      <c r="AA137" s="138">
        <v>5</v>
      </c>
      <c r="AC137" s="136">
        <v>8.18</v>
      </c>
      <c r="AD137" s="139">
        <v>15</v>
      </c>
      <c r="AE137" s="138">
        <v>95</v>
      </c>
      <c r="AG137" s="136">
        <v>8.23</v>
      </c>
      <c r="AH137" s="137">
        <v>7</v>
      </c>
      <c r="AI137" s="138">
        <v>16</v>
      </c>
      <c r="AK137" s="136">
        <v>8.23</v>
      </c>
      <c r="AL137" s="139">
        <v>15</v>
      </c>
      <c r="AM137" s="138">
        <v>95</v>
      </c>
      <c r="AO137" s="136">
        <v>30.26</v>
      </c>
      <c r="AP137" s="139">
        <v>19</v>
      </c>
      <c r="AQ137" s="138" t="s">
        <v>884</v>
      </c>
      <c r="AS137" s="136">
        <v>8.14</v>
      </c>
      <c r="AT137" s="139">
        <v>6</v>
      </c>
      <c r="AU137" s="138">
        <v>9</v>
      </c>
      <c r="AW137" s="136">
        <v>30.33</v>
      </c>
      <c r="AX137" s="139">
        <v>19</v>
      </c>
      <c r="AY137" s="138" t="s">
        <v>884</v>
      </c>
      <c r="BA137" s="136">
        <v>9.0500000000000007</v>
      </c>
      <c r="BB137" s="139">
        <v>5</v>
      </c>
      <c r="BC137" s="138">
        <v>5</v>
      </c>
    </row>
    <row r="138" spans="5:55" x14ac:dyDescent="0.3">
      <c r="E138" s="152">
        <v>9.0399999999999991</v>
      </c>
      <c r="F138" s="153">
        <v>3</v>
      </c>
      <c r="G138" s="155" t="s">
        <v>876</v>
      </c>
      <c r="I138" s="136">
        <v>31.06</v>
      </c>
      <c r="J138" s="139">
        <v>7</v>
      </c>
      <c r="K138" s="138">
        <v>16</v>
      </c>
      <c r="M138" s="136">
        <v>8.1300000000000008</v>
      </c>
      <c r="N138" s="139">
        <v>7</v>
      </c>
      <c r="O138" s="138">
        <v>16</v>
      </c>
      <c r="Q138" s="136">
        <v>31</v>
      </c>
      <c r="R138" s="139">
        <v>1</v>
      </c>
      <c r="S138" s="138" t="s">
        <v>883</v>
      </c>
      <c r="U138" s="136">
        <v>8.16</v>
      </c>
      <c r="V138" s="139">
        <v>13</v>
      </c>
      <c r="W138" s="138">
        <v>85</v>
      </c>
      <c r="Y138" s="136">
        <v>8.1199999999999992</v>
      </c>
      <c r="Z138" s="139">
        <v>6</v>
      </c>
      <c r="AA138" s="138">
        <v>9</v>
      </c>
      <c r="AC138" s="136">
        <v>8.1999999999999993</v>
      </c>
      <c r="AD138" s="139">
        <v>16</v>
      </c>
      <c r="AE138" s="138">
        <v>98</v>
      </c>
      <c r="AG138" s="136">
        <v>8.24</v>
      </c>
      <c r="AH138" s="137">
        <v>8</v>
      </c>
      <c r="AI138" s="138">
        <v>25</v>
      </c>
      <c r="AK138" s="136">
        <v>8.24</v>
      </c>
      <c r="AL138" s="139">
        <v>16</v>
      </c>
      <c r="AM138" s="138">
        <v>98</v>
      </c>
      <c r="AO138" s="136">
        <v>31</v>
      </c>
      <c r="AP138" s="139">
        <v>1</v>
      </c>
      <c r="AQ138" s="138" t="s">
        <v>883</v>
      </c>
      <c r="AS138" s="136">
        <v>8.16</v>
      </c>
      <c r="AT138" s="139">
        <v>7</v>
      </c>
      <c r="AU138" s="138">
        <v>16</v>
      </c>
      <c r="AW138" s="136">
        <v>31</v>
      </c>
      <c r="AX138" s="139">
        <v>1</v>
      </c>
      <c r="AY138" s="138" t="s">
        <v>883</v>
      </c>
      <c r="BA138" s="136">
        <v>9.06</v>
      </c>
      <c r="BB138" s="139">
        <v>6</v>
      </c>
      <c r="BC138" s="138">
        <v>9</v>
      </c>
    </row>
    <row r="139" spans="5:55" x14ac:dyDescent="0.3">
      <c r="E139" s="152">
        <v>9.06</v>
      </c>
      <c r="F139" s="153">
        <v>4</v>
      </c>
      <c r="G139" s="155" t="s">
        <v>863</v>
      </c>
      <c r="I139" s="136">
        <v>31.07</v>
      </c>
      <c r="J139" s="139">
        <v>8</v>
      </c>
      <c r="K139" s="138">
        <v>25</v>
      </c>
      <c r="M139" s="136">
        <v>8.14</v>
      </c>
      <c r="N139" s="139">
        <v>8</v>
      </c>
      <c r="O139" s="138">
        <v>25</v>
      </c>
      <c r="Q139" s="136">
        <v>31.02</v>
      </c>
      <c r="R139" s="139">
        <v>2</v>
      </c>
      <c r="S139" s="138" t="s">
        <v>883</v>
      </c>
      <c r="U139" s="136">
        <v>8.17</v>
      </c>
      <c r="V139" s="139">
        <v>14</v>
      </c>
      <c r="W139" s="138">
        <v>91</v>
      </c>
      <c r="Y139" s="136">
        <v>8.1300000000000008</v>
      </c>
      <c r="Z139" s="139">
        <v>7</v>
      </c>
      <c r="AA139" s="138">
        <v>16</v>
      </c>
      <c r="AC139" s="136">
        <v>8.2100000000000009</v>
      </c>
      <c r="AD139" s="139">
        <v>17</v>
      </c>
      <c r="AE139" s="138">
        <v>99</v>
      </c>
      <c r="AG139" s="136">
        <v>8.26</v>
      </c>
      <c r="AH139" s="137">
        <v>9</v>
      </c>
      <c r="AI139" s="138">
        <v>37</v>
      </c>
      <c r="AK139" s="136">
        <v>8.25</v>
      </c>
      <c r="AL139" s="139">
        <v>17</v>
      </c>
      <c r="AM139" s="138">
        <v>99</v>
      </c>
      <c r="AO139" s="136">
        <v>31.07</v>
      </c>
      <c r="AP139" s="139">
        <v>2</v>
      </c>
      <c r="AQ139" s="138" t="s">
        <v>883</v>
      </c>
      <c r="AS139" s="136">
        <v>8.17</v>
      </c>
      <c r="AT139" s="139">
        <v>8</v>
      </c>
      <c r="AU139" s="138">
        <v>25</v>
      </c>
      <c r="AW139" s="136">
        <v>31.03</v>
      </c>
      <c r="AX139" s="139">
        <v>2</v>
      </c>
      <c r="AY139" s="138" t="s">
        <v>883</v>
      </c>
      <c r="BA139" s="136">
        <v>9.07</v>
      </c>
      <c r="BB139" s="139">
        <v>7</v>
      </c>
      <c r="BC139" s="138">
        <v>16</v>
      </c>
    </row>
    <row r="140" spans="5:55" x14ac:dyDescent="0.3">
      <c r="E140" s="152">
        <v>9.08</v>
      </c>
      <c r="F140" s="153">
        <v>5</v>
      </c>
      <c r="G140" s="155" t="s">
        <v>877</v>
      </c>
      <c r="I140" s="136">
        <v>31.08</v>
      </c>
      <c r="J140" s="139">
        <v>9</v>
      </c>
      <c r="K140" s="138">
        <v>37</v>
      </c>
      <c r="M140" s="136">
        <v>8.16</v>
      </c>
      <c r="N140" s="139">
        <v>9</v>
      </c>
      <c r="O140" s="138">
        <v>37</v>
      </c>
      <c r="Q140" s="136">
        <v>31.04</v>
      </c>
      <c r="R140" s="139">
        <v>3</v>
      </c>
      <c r="S140" s="138">
        <v>1</v>
      </c>
      <c r="U140" s="136">
        <v>8.19</v>
      </c>
      <c r="V140" s="139">
        <v>15</v>
      </c>
      <c r="W140" s="138">
        <v>95</v>
      </c>
      <c r="Y140" s="136">
        <v>8.14</v>
      </c>
      <c r="Z140" s="139">
        <v>8</v>
      </c>
      <c r="AA140" s="138">
        <v>25</v>
      </c>
      <c r="AC140" s="136">
        <v>8.2200000000000006</v>
      </c>
      <c r="AD140" s="139">
        <v>18</v>
      </c>
      <c r="AE140" s="138" t="s">
        <v>884</v>
      </c>
      <c r="AG140" s="136">
        <v>8.2799999999999994</v>
      </c>
      <c r="AH140" s="137">
        <v>10</v>
      </c>
      <c r="AI140" s="138">
        <v>50</v>
      </c>
      <c r="AK140" s="136">
        <v>8.27</v>
      </c>
      <c r="AL140" s="139">
        <v>18</v>
      </c>
      <c r="AM140" s="138" t="s">
        <v>884</v>
      </c>
      <c r="AO140" s="136">
        <v>31.09</v>
      </c>
      <c r="AP140" s="139">
        <v>3</v>
      </c>
      <c r="AQ140" s="138">
        <v>1</v>
      </c>
      <c r="AS140" s="136">
        <v>8.19</v>
      </c>
      <c r="AT140" s="139">
        <v>9</v>
      </c>
      <c r="AU140" s="138">
        <v>37</v>
      </c>
      <c r="AW140" s="136">
        <v>31.05</v>
      </c>
      <c r="AX140" s="139">
        <v>3</v>
      </c>
      <c r="AY140" s="138">
        <v>1</v>
      </c>
      <c r="BA140" s="136">
        <v>9.08</v>
      </c>
      <c r="BB140" s="139">
        <v>8</v>
      </c>
      <c r="BC140" s="138">
        <v>25</v>
      </c>
    </row>
    <row r="141" spans="5:55" x14ac:dyDescent="0.3">
      <c r="E141" s="152">
        <v>9.1</v>
      </c>
      <c r="F141" s="153">
        <v>6</v>
      </c>
      <c r="G141" s="155" t="s">
        <v>864</v>
      </c>
      <c r="I141" s="136">
        <v>31.1</v>
      </c>
      <c r="J141" s="139">
        <v>10</v>
      </c>
      <c r="K141" s="138">
        <v>50</v>
      </c>
      <c r="M141" s="136">
        <v>8.18</v>
      </c>
      <c r="N141" s="139">
        <v>10</v>
      </c>
      <c r="O141" s="138">
        <v>50</v>
      </c>
      <c r="Q141" s="136">
        <v>31.08</v>
      </c>
      <c r="R141" s="139">
        <v>4</v>
      </c>
      <c r="S141" s="138">
        <v>2</v>
      </c>
      <c r="U141" s="136">
        <v>8.1999999999999993</v>
      </c>
      <c r="V141" s="139">
        <v>16</v>
      </c>
      <c r="W141" s="138">
        <v>98</v>
      </c>
      <c r="Y141" s="136">
        <v>8.15</v>
      </c>
      <c r="Z141" s="139">
        <v>9</v>
      </c>
      <c r="AA141" s="138">
        <v>37</v>
      </c>
      <c r="AC141" s="136">
        <v>8.27</v>
      </c>
      <c r="AD141" s="139">
        <v>19</v>
      </c>
      <c r="AE141" s="138" t="s">
        <v>884</v>
      </c>
      <c r="AG141" s="136">
        <v>8.3000000000000007</v>
      </c>
      <c r="AH141" s="137">
        <v>11</v>
      </c>
      <c r="AI141" s="138">
        <v>63</v>
      </c>
      <c r="AK141" s="136">
        <v>8.2899999999999991</v>
      </c>
      <c r="AL141" s="139">
        <v>19</v>
      </c>
      <c r="AM141" s="138" t="s">
        <v>884</v>
      </c>
      <c r="AO141" s="136">
        <v>31.1</v>
      </c>
      <c r="AP141" s="139">
        <v>4</v>
      </c>
      <c r="AQ141" s="138">
        <v>2</v>
      </c>
      <c r="AS141" s="136">
        <v>8.1999999999999993</v>
      </c>
      <c r="AT141" s="139">
        <v>10</v>
      </c>
      <c r="AU141" s="138">
        <v>50</v>
      </c>
      <c r="AW141" s="136">
        <v>31.06</v>
      </c>
      <c r="AX141" s="139">
        <v>4</v>
      </c>
      <c r="AY141" s="138">
        <v>2</v>
      </c>
      <c r="BA141" s="136">
        <v>9.09</v>
      </c>
      <c r="BB141" s="139">
        <v>9</v>
      </c>
      <c r="BC141" s="138">
        <v>37</v>
      </c>
    </row>
    <row r="142" spans="5:55" x14ac:dyDescent="0.3">
      <c r="E142" s="152">
        <v>9.11</v>
      </c>
      <c r="F142" s="153">
        <v>7</v>
      </c>
      <c r="G142" s="155" t="s">
        <v>878</v>
      </c>
      <c r="I142" s="136">
        <v>31.11</v>
      </c>
      <c r="J142" s="139">
        <v>11</v>
      </c>
      <c r="K142" s="138">
        <v>63</v>
      </c>
      <c r="M142" s="136">
        <v>8.1999999999999993</v>
      </c>
      <c r="N142" s="139">
        <v>11</v>
      </c>
      <c r="O142" s="138">
        <v>63</v>
      </c>
      <c r="Q142" s="136">
        <v>31.1</v>
      </c>
      <c r="R142" s="139">
        <v>5</v>
      </c>
      <c r="S142" s="138">
        <v>5</v>
      </c>
      <c r="U142" s="136">
        <v>8.2100000000000009</v>
      </c>
      <c r="V142" s="139">
        <v>17</v>
      </c>
      <c r="W142" s="138">
        <v>99</v>
      </c>
      <c r="Y142" s="136">
        <v>8.16</v>
      </c>
      <c r="Z142" s="139">
        <v>10</v>
      </c>
      <c r="AA142" s="138">
        <v>50</v>
      </c>
      <c r="AC142" s="136">
        <v>9</v>
      </c>
      <c r="AD142" s="139">
        <v>1</v>
      </c>
      <c r="AE142" s="138" t="s">
        <v>883</v>
      </c>
      <c r="AG142" s="136">
        <v>8.32</v>
      </c>
      <c r="AH142" s="137">
        <v>12</v>
      </c>
      <c r="AI142" s="138">
        <v>75</v>
      </c>
      <c r="AK142" s="136">
        <v>9</v>
      </c>
      <c r="AL142" s="139">
        <v>1</v>
      </c>
      <c r="AM142" s="138" t="s">
        <v>883</v>
      </c>
      <c r="AO142" s="136">
        <v>31.11</v>
      </c>
      <c r="AP142" s="139">
        <v>5</v>
      </c>
      <c r="AQ142" s="138">
        <v>5</v>
      </c>
      <c r="AS142" s="136">
        <v>8.2200000000000006</v>
      </c>
      <c r="AT142" s="139">
        <v>11</v>
      </c>
      <c r="AU142" s="138">
        <v>63</v>
      </c>
      <c r="AW142" s="136">
        <v>31.08</v>
      </c>
      <c r="AX142" s="139">
        <v>5</v>
      </c>
      <c r="AY142" s="138">
        <v>5</v>
      </c>
      <c r="BA142" s="136">
        <v>9.1</v>
      </c>
      <c r="BB142" s="139">
        <v>10</v>
      </c>
      <c r="BC142" s="138">
        <v>50</v>
      </c>
    </row>
    <row r="143" spans="5:55" x14ac:dyDescent="0.3">
      <c r="E143" s="152">
        <v>9.1199999999999992</v>
      </c>
      <c r="F143" s="153">
        <v>8</v>
      </c>
      <c r="G143" s="155" t="s">
        <v>865</v>
      </c>
      <c r="I143" s="136">
        <v>31.12</v>
      </c>
      <c r="J143" s="139">
        <v>12</v>
      </c>
      <c r="K143" s="138">
        <v>75</v>
      </c>
      <c r="M143" s="136">
        <v>8.2100000000000009</v>
      </c>
      <c r="N143" s="139">
        <v>12</v>
      </c>
      <c r="O143" s="138">
        <v>75</v>
      </c>
      <c r="Q143" s="136">
        <v>31.12</v>
      </c>
      <c r="R143" s="139">
        <v>6</v>
      </c>
      <c r="S143" s="138">
        <v>9</v>
      </c>
      <c r="U143" s="136">
        <v>8.23</v>
      </c>
      <c r="V143" s="139">
        <v>18</v>
      </c>
      <c r="W143" s="138" t="s">
        <v>884</v>
      </c>
      <c r="Y143" s="136">
        <v>8.17</v>
      </c>
      <c r="Z143" s="139">
        <v>11</v>
      </c>
      <c r="AA143" s="138">
        <v>63</v>
      </c>
      <c r="AC143" s="136">
        <v>9.0299999999999994</v>
      </c>
      <c r="AD143" s="139">
        <v>2</v>
      </c>
      <c r="AE143" s="138" t="s">
        <v>883</v>
      </c>
      <c r="AG143" s="136">
        <v>8.34</v>
      </c>
      <c r="AH143" s="137">
        <v>13</v>
      </c>
      <c r="AI143" s="138">
        <v>85</v>
      </c>
      <c r="AK143" s="136">
        <v>9.0500000000000007</v>
      </c>
      <c r="AL143" s="139">
        <v>2</v>
      </c>
      <c r="AM143" s="138" t="s">
        <v>883</v>
      </c>
      <c r="AO143" s="136">
        <v>31.12</v>
      </c>
      <c r="AP143" s="139">
        <v>6</v>
      </c>
      <c r="AQ143" s="138">
        <v>9</v>
      </c>
      <c r="AS143" s="136">
        <v>8.23</v>
      </c>
      <c r="AT143" s="139">
        <v>12</v>
      </c>
      <c r="AU143" s="138">
        <v>75</v>
      </c>
      <c r="AW143" s="136">
        <v>31.09</v>
      </c>
      <c r="AX143" s="139">
        <v>6</v>
      </c>
      <c r="AY143" s="138">
        <v>9</v>
      </c>
      <c r="BA143" s="136">
        <v>9.11</v>
      </c>
      <c r="BB143" s="139">
        <v>11</v>
      </c>
      <c r="BC143" s="138">
        <v>63</v>
      </c>
    </row>
    <row r="144" spans="5:55" x14ac:dyDescent="0.3">
      <c r="E144" s="152">
        <v>9.14</v>
      </c>
      <c r="F144" s="153">
        <v>9</v>
      </c>
      <c r="G144" s="155" t="s">
        <v>879</v>
      </c>
      <c r="I144" s="136">
        <v>31.14</v>
      </c>
      <c r="J144" s="139">
        <v>13</v>
      </c>
      <c r="K144" s="138">
        <v>85</v>
      </c>
      <c r="M144" s="136">
        <v>8.23</v>
      </c>
      <c r="N144" s="139">
        <v>13</v>
      </c>
      <c r="O144" s="138">
        <v>85</v>
      </c>
      <c r="Q144" s="136">
        <v>31.14</v>
      </c>
      <c r="R144" s="139">
        <v>7</v>
      </c>
      <c r="S144" s="138">
        <v>16</v>
      </c>
      <c r="U144" s="136">
        <v>8.24</v>
      </c>
      <c r="V144" s="139">
        <v>19</v>
      </c>
      <c r="W144" s="138" t="s">
        <v>884</v>
      </c>
      <c r="Y144" s="136">
        <v>8.18</v>
      </c>
      <c r="Z144" s="139">
        <v>12</v>
      </c>
      <c r="AA144" s="138">
        <v>75</v>
      </c>
      <c r="AC144" s="136">
        <v>9.0399999999999991</v>
      </c>
      <c r="AD144" s="139">
        <v>3</v>
      </c>
      <c r="AE144" s="138">
        <v>1</v>
      </c>
      <c r="AG144" s="136">
        <v>8.36</v>
      </c>
      <c r="AH144" s="137">
        <v>14</v>
      </c>
      <c r="AI144" s="138">
        <v>91</v>
      </c>
      <c r="AK144" s="136">
        <v>9.08</v>
      </c>
      <c r="AL144" s="139">
        <v>3</v>
      </c>
      <c r="AM144" s="138">
        <v>1</v>
      </c>
      <c r="AO144" s="136">
        <v>31.13</v>
      </c>
      <c r="AP144" s="139">
        <v>7</v>
      </c>
      <c r="AQ144" s="138">
        <v>16</v>
      </c>
      <c r="AS144" s="136">
        <v>8.25</v>
      </c>
      <c r="AT144" s="139">
        <v>13</v>
      </c>
      <c r="AU144" s="138">
        <v>85</v>
      </c>
      <c r="AW144" s="136">
        <v>31.11</v>
      </c>
      <c r="AX144" s="139">
        <v>7</v>
      </c>
      <c r="AY144" s="138">
        <v>16</v>
      </c>
      <c r="BA144" s="136">
        <v>9.1199999999999992</v>
      </c>
      <c r="BB144" s="139">
        <v>12</v>
      </c>
      <c r="BC144" s="138">
        <v>75</v>
      </c>
    </row>
    <row r="145" spans="5:55" x14ac:dyDescent="0.3">
      <c r="E145" s="152">
        <v>9.15</v>
      </c>
      <c r="F145" s="153">
        <v>10</v>
      </c>
      <c r="G145" s="155" t="s">
        <v>866</v>
      </c>
      <c r="I145" s="136">
        <v>31.15</v>
      </c>
      <c r="J145" s="139">
        <v>14</v>
      </c>
      <c r="K145" s="138">
        <v>91</v>
      </c>
      <c r="M145" s="136">
        <v>8.25</v>
      </c>
      <c r="N145" s="139">
        <v>14</v>
      </c>
      <c r="O145" s="138">
        <v>91</v>
      </c>
      <c r="Q145" s="136">
        <v>31.16</v>
      </c>
      <c r="R145" s="139">
        <v>8</v>
      </c>
      <c r="S145" s="138">
        <v>25</v>
      </c>
      <c r="U145" s="136">
        <v>9</v>
      </c>
      <c r="V145" s="139">
        <v>1</v>
      </c>
      <c r="W145" s="138" t="s">
        <v>883</v>
      </c>
      <c r="Y145" s="136">
        <v>8.19</v>
      </c>
      <c r="Z145" s="139">
        <v>13</v>
      </c>
      <c r="AA145" s="138">
        <v>85</v>
      </c>
      <c r="AC145" s="136">
        <v>9.0500000000000007</v>
      </c>
      <c r="AD145" s="139">
        <v>4</v>
      </c>
      <c r="AE145" s="138">
        <v>2</v>
      </c>
      <c r="AG145" s="136">
        <v>8.3800000000000008</v>
      </c>
      <c r="AH145" s="137">
        <v>15</v>
      </c>
      <c r="AI145" s="138">
        <v>95</v>
      </c>
      <c r="AK145" s="136">
        <v>9.09</v>
      </c>
      <c r="AL145" s="139">
        <v>4</v>
      </c>
      <c r="AM145" s="138">
        <v>2</v>
      </c>
      <c r="AO145" s="136">
        <v>31.14</v>
      </c>
      <c r="AP145" s="139">
        <v>8</v>
      </c>
      <c r="AQ145" s="138">
        <v>25</v>
      </c>
      <c r="AS145" s="136">
        <v>8.26</v>
      </c>
      <c r="AT145" s="139">
        <v>14</v>
      </c>
      <c r="AU145" s="138">
        <v>91</v>
      </c>
      <c r="AW145" s="136">
        <v>31.12</v>
      </c>
      <c r="AX145" s="139">
        <v>8</v>
      </c>
      <c r="AY145" s="138">
        <v>25</v>
      </c>
      <c r="BA145" s="136">
        <v>9.1300000000000008</v>
      </c>
      <c r="BB145" s="139">
        <v>13</v>
      </c>
      <c r="BC145" s="138">
        <v>85</v>
      </c>
    </row>
    <row r="146" spans="5:55" x14ac:dyDescent="0.3">
      <c r="E146" s="152">
        <v>9.17</v>
      </c>
      <c r="F146" s="153">
        <v>11</v>
      </c>
      <c r="G146" s="155" t="s">
        <v>867</v>
      </c>
      <c r="I146" s="136">
        <v>31.17</v>
      </c>
      <c r="J146" s="139">
        <v>15</v>
      </c>
      <c r="K146" s="138">
        <v>95</v>
      </c>
      <c r="M146" s="136">
        <v>8.27</v>
      </c>
      <c r="N146" s="139">
        <v>15</v>
      </c>
      <c r="O146" s="138">
        <v>95</v>
      </c>
      <c r="Q146" s="136">
        <v>31.18</v>
      </c>
      <c r="R146" s="139">
        <v>9</v>
      </c>
      <c r="S146" s="138">
        <v>37</v>
      </c>
      <c r="U146" s="136">
        <v>9.01</v>
      </c>
      <c r="V146" s="139">
        <v>2</v>
      </c>
      <c r="W146" s="138" t="s">
        <v>883</v>
      </c>
      <c r="Y146" s="136">
        <v>8.1999999999999993</v>
      </c>
      <c r="Z146" s="139">
        <v>14</v>
      </c>
      <c r="AA146" s="138">
        <v>91</v>
      </c>
      <c r="AC146" s="136">
        <v>9.07</v>
      </c>
      <c r="AD146" s="139">
        <v>5</v>
      </c>
      <c r="AE146" s="138">
        <v>5</v>
      </c>
      <c r="AG146" s="136">
        <v>8.4</v>
      </c>
      <c r="AH146" s="137">
        <v>16</v>
      </c>
      <c r="AI146" s="138">
        <v>98</v>
      </c>
      <c r="AK146" s="136">
        <v>9.11</v>
      </c>
      <c r="AL146" s="139">
        <v>5</v>
      </c>
      <c r="AM146" s="138">
        <v>5</v>
      </c>
      <c r="AO146" s="136">
        <v>31.15</v>
      </c>
      <c r="AP146" s="139">
        <v>9</v>
      </c>
      <c r="AQ146" s="138">
        <v>37</v>
      </c>
      <c r="AS146" s="136">
        <v>8.27</v>
      </c>
      <c r="AT146" s="139">
        <v>15</v>
      </c>
      <c r="AU146" s="138">
        <v>95</v>
      </c>
      <c r="AW146" s="136">
        <v>31.14</v>
      </c>
      <c r="AX146" s="139">
        <v>9</v>
      </c>
      <c r="AY146" s="138">
        <v>37</v>
      </c>
      <c r="BA146" s="136">
        <v>9.14</v>
      </c>
      <c r="BB146" s="139">
        <v>14</v>
      </c>
      <c r="BC146" s="138">
        <v>91</v>
      </c>
    </row>
    <row r="147" spans="5:55" x14ac:dyDescent="0.3">
      <c r="E147" s="152">
        <v>9.18</v>
      </c>
      <c r="F147" s="153">
        <v>12</v>
      </c>
      <c r="G147" s="155" t="s">
        <v>868</v>
      </c>
      <c r="I147" s="136">
        <v>31.18</v>
      </c>
      <c r="J147" s="139">
        <v>16</v>
      </c>
      <c r="K147" s="138">
        <v>98</v>
      </c>
      <c r="M147" s="136">
        <v>8.2899999999999991</v>
      </c>
      <c r="N147" s="139">
        <v>16</v>
      </c>
      <c r="O147" s="138">
        <v>98</v>
      </c>
      <c r="Q147" s="136">
        <v>31.21</v>
      </c>
      <c r="R147" s="139">
        <v>10</v>
      </c>
      <c r="S147" s="138">
        <v>50</v>
      </c>
      <c r="U147" s="136">
        <v>9.02</v>
      </c>
      <c r="V147" s="139">
        <v>3</v>
      </c>
      <c r="W147" s="138">
        <v>1</v>
      </c>
      <c r="Y147" s="136">
        <v>8.2100000000000009</v>
      </c>
      <c r="Z147" s="139">
        <v>15</v>
      </c>
      <c r="AA147" s="138">
        <v>95</v>
      </c>
      <c r="AC147" s="136">
        <v>9.08</v>
      </c>
      <c r="AD147" s="139">
        <v>6</v>
      </c>
      <c r="AE147" s="138">
        <v>9</v>
      </c>
      <c r="AG147" s="136">
        <v>8.42</v>
      </c>
      <c r="AH147" s="137">
        <v>17</v>
      </c>
      <c r="AI147" s="138">
        <v>99</v>
      </c>
      <c r="AK147" s="136">
        <v>9.1199999999999992</v>
      </c>
      <c r="AL147" s="139">
        <v>6</v>
      </c>
      <c r="AM147" s="138">
        <v>9</v>
      </c>
      <c r="AO147" s="136">
        <v>31.16</v>
      </c>
      <c r="AP147" s="139">
        <v>10</v>
      </c>
      <c r="AQ147" s="138">
        <v>50</v>
      </c>
      <c r="AS147" s="136">
        <v>8.2899999999999991</v>
      </c>
      <c r="AT147" s="139">
        <v>16</v>
      </c>
      <c r="AU147" s="138">
        <v>98</v>
      </c>
      <c r="AW147" s="136">
        <v>31.16</v>
      </c>
      <c r="AX147" s="139">
        <v>10</v>
      </c>
      <c r="AY147" s="138">
        <v>50</v>
      </c>
      <c r="BA147" s="136">
        <v>9.15</v>
      </c>
      <c r="BB147" s="139">
        <v>15</v>
      </c>
      <c r="BC147" s="138">
        <v>95</v>
      </c>
    </row>
    <row r="148" spans="5:55" x14ac:dyDescent="0.3">
      <c r="E148" s="152">
        <v>9.19</v>
      </c>
      <c r="F148" s="153">
        <v>13</v>
      </c>
      <c r="G148" s="155" t="s">
        <v>869</v>
      </c>
      <c r="I148" s="136">
        <v>31.2</v>
      </c>
      <c r="J148" s="139">
        <v>17</v>
      </c>
      <c r="K148" s="138">
        <v>99</v>
      </c>
      <c r="M148" s="136">
        <v>8.3000000000000007</v>
      </c>
      <c r="N148" s="139">
        <v>17</v>
      </c>
      <c r="O148" s="138">
        <v>99</v>
      </c>
      <c r="Q148" s="136">
        <v>31.23</v>
      </c>
      <c r="R148" s="139">
        <v>11</v>
      </c>
      <c r="S148" s="138">
        <v>63</v>
      </c>
      <c r="U148" s="136">
        <v>9.0399999999999991</v>
      </c>
      <c r="V148" s="139">
        <v>4</v>
      </c>
      <c r="W148" s="138">
        <v>2</v>
      </c>
      <c r="Y148" s="136">
        <v>8.2200000000000006</v>
      </c>
      <c r="Z148" s="139">
        <v>16</v>
      </c>
      <c r="AA148" s="138">
        <v>98</v>
      </c>
      <c r="AC148" s="136">
        <v>9.1</v>
      </c>
      <c r="AD148" s="139">
        <v>7</v>
      </c>
      <c r="AE148" s="138">
        <v>16</v>
      </c>
      <c r="AG148" s="136">
        <v>8.44</v>
      </c>
      <c r="AH148" s="137">
        <v>18</v>
      </c>
      <c r="AI148" s="138" t="s">
        <v>884</v>
      </c>
      <c r="AK148" s="136">
        <v>9.1300000000000008</v>
      </c>
      <c r="AL148" s="139">
        <v>7</v>
      </c>
      <c r="AM148" s="138">
        <v>16</v>
      </c>
      <c r="AO148" s="136">
        <v>31.17</v>
      </c>
      <c r="AP148" s="139">
        <v>11</v>
      </c>
      <c r="AQ148" s="138">
        <v>63</v>
      </c>
      <c r="AS148" s="136">
        <v>8.3000000000000007</v>
      </c>
      <c r="AT148" s="139">
        <v>17</v>
      </c>
      <c r="AU148" s="138">
        <v>99</v>
      </c>
      <c r="AW148" s="136">
        <v>31.18</v>
      </c>
      <c r="AX148" s="139">
        <v>11</v>
      </c>
      <c r="AY148" s="138">
        <v>63</v>
      </c>
      <c r="BA148" s="136">
        <v>9.16</v>
      </c>
      <c r="BB148" s="139">
        <v>16</v>
      </c>
      <c r="BC148" s="138">
        <v>98</v>
      </c>
    </row>
    <row r="149" spans="5:55" x14ac:dyDescent="0.3">
      <c r="E149" s="152">
        <v>9.2100000000000009</v>
      </c>
      <c r="F149" s="153">
        <v>14</v>
      </c>
      <c r="G149" s="155" t="s">
        <v>870</v>
      </c>
      <c r="I149" s="136">
        <v>31.21</v>
      </c>
      <c r="J149" s="139">
        <v>18</v>
      </c>
      <c r="K149" s="138" t="s">
        <v>884</v>
      </c>
      <c r="M149" s="136">
        <v>8.32</v>
      </c>
      <c r="N149" s="139">
        <v>18</v>
      </c>
      <c r="O149" s="138" t="s">
        <v>884</v>
      </c>
      <c r="Q149" s="136">
        <v>31.25</v>
      </c>
      <c r="R149" s="139">
        <v>12</v>
      </c>
      <c r="S149" s="138">
        <v>75</v>
      </c>
      <c r="U149" s="136">
        <v>9.0500000000000007</v>
      </c>
      <c r="V149" s="139">
        <v>5</v>
      </c>
      <c r="W149" s="138">
        <v>5</v>
      </c>
      <c r="Y149" s="136">
        <v>8.23</v>
      </c>
      <c r="Z149" s="139">
        <v>17</v>
      </c>
      <c r="AA149" s="138">
        <v>99</v>
      </c>
      <c r="AC149" s="136">
        <v>9.11</v>
      </c>
      <c r="AD149" s="139">
        <v>8</v>
      </c>
      <c r="AE149" s="138">
        <v>25</v>
      </c>
      <c r="AG149" s="136">
        <v>8.48</v>
      </c>
      <c r="AH149" s="137">
        <v>19</v>
      </c>
      <c r="AI149" s="138" t="s">
        <v>884</v>
      </c>
      <c r="AK149" s="136">
        <v>9.15</v>
      </c>
      <c r="AL149" s="139">
        <v>8</v>
      </c>
      <c r="AM149" s="138">
        <v>25</v>
      </c>
      <c r="AO149" s="136">
        <v>31.18</v>
      </c>
      <c r="AP149" s="139">
        <v>12</v>
      </c>
      <c r="AQ149" s="138">
        <v>75</v>
      </c>
      <c r="AS149" s="136">
        <v>8.32</v>
      </c>
      <c r="AT149" s="139">
        <v>18</v>
      </c>
      <c r="AU149" s="138" t="s">
        <v>884</v>
      </c>
      <c r="AW149" s="136">
        <v>31.19</v>
      </c>
      <c r="AX149" s="139">
        <v>12</v>
      </c>
      <c r="AY149" s="138">
        <v>75</v>
      </c>
      <c r="BA149" s="136">
        <v>9.17</v>
      </c>
      <c r="BB149" s="139">
        <v>17</v>
      </c>
      <c r="BC149" s="138">
        <v>99</v>
      </c>
    </row>
    <row r="150" spans="5:55" x14ac:dyDescent="0.3">
      <c r="E150" s="152">
        <v>9.2200000000000006</v>
      </c>
      <c r="F150" s="153">
        <v>15</v>
      </c>
      <c r="G150" s="155" t="s">
        <v>871</v>
      </c>
      <c r="I150" s="136">
        <v>31.24</v>
      </c>
      <c r="J150" s="139">
        <v>19</v>
      </c>
      <c r="K150" s="138" t="s">
        <v>884</v>
      </c>
      <c r="M150" s="136">
        <v>8.3800000000000008</v>
      </c>
      <c r="N150" s="139">
        <v>19</v>
      </c>
      <c r="O150" s="138" t="s">
        <v>884</v>
      </c>
      <c r="Q150" s="136">
        <v>31.27</v>
      </c>
      <c r="R150" s="139">
        <v>13</v>
      </c>
      <c r="S150" s="138">
        <v>85</v>
      </c>
      <c r="U150" s="136">
        <v>9.07</v>
      </c>
      <c r="V150" s="139">
        <v>6</v>
      </c>
      <c r="W150" s="138">
        <v>9</v>
      </c>
      <c r="Y150" s="136">
        <v>8.24</v>
      </c>
      <c r="Z150" s="139">
        <v>18</v>
      </c>
      <c r="AA150" s="138" t="s">
        <v>884</v>
      </c>
      <c r="AC150" s="136">
        <v>9.1199999999999992</v>
      </c>
      <c r="AD150" s="139">
        <v>9</v>
      </c>
      <c r="AE150" s="138">
        <v>37</v>
      </c>
      <c r="AG150" s="136">
        <v>9</v>
      </c>
      <c r="AH150" s="137">
        <v>1</v>
      </c>
      <c r="AI150" s="138" t="s">
        <v>883</v>
      </c>
      <c r="AK150" s="136">
        <v>9.16</v>
      </c>
      <c r="AL150" s="139">
        <v>9</v>
      </c>
      <c r="AM150" s="138">
        <v>37</v>
      </c>
      <c r="AO150" s="136">
        <v>31.19</v>
      </c>
      <c r="AP150" s="139">
        <v>13</v>
      </c>
      <c r="AQ150" s="138">
        <v>85</v>
      </c>
      <c r="AS150" s="136">
        <v>8.35</v>
      </c>
      <c r="AT150" s="139">
        <v>19</v>
      </c>
      <c r="AU150" s="138" t="s">
        <v>884</v>
      </c>
      <c r="AW150" s="136">
        <v>31.21</v>
      </c>
      <c r="AX150" s="139">
        <v>13</v>
      </c>
      <c r="AY150" s="138">
        <v>85</v>
      </c>
      <c r="BA150" s="136">
        <v>9.18</v>
      </c>
      <c r="BB150" s="139">
        <v>18</v>
      </c>
      <c r="BC150" s="138" t="s">
        <v>884</v>
      </c>
    </row>
    <row r="151" spans="5:55" x14ac:dyDescent="0.3">
      <c r="E151" s="152">
        <v>9.24</v>
      </c>
      <c r="F151" s="153">
        <v>16</v>
      </c>
      <c r="G151" s="155" t="s">
        <v>872</v>
      </c>
      <c r="I151" s="136">
        <v>32</v>
      </c>
      <c r="J151" s="139">
        <v>1</v>
      </c>
      <c r="K151" s="138" t="s">
        <v>883</v>
      </c>
      <c r="M151" s="136">
        <v>9</v>
      </c>
      <c r="N151" s="139">
        <v>1</v>
      </c>
      <c r="O151" s="138" t="s">
        <v>883</v>
      </c>
      <c r="Q151" s="136">
        <v>31.29</v>
      </c>
      <c r="R151" s="139">
        <v>14</v>
      </c>
      <c r="S151" s="138">
        <v>91</v>
      </c>
      <c r="U151" s="136">
        <v>9.08</v>
      </c>
      <c r="V151" s="139">
        <v>7</v>
      </c>
      <c r="W151" s="138">
        <v>16</v>
      </c>
      <c r="Y151" s="136">
        <v>8.25</v>
      </c>
      <c r="Z151" s="139">
        <v>19</v>
      </c>
      <c r="AA151" s="138" t="s">
        <v>884</v>
      </c>
      <c r="AC151" s="136">
        <v>9.14</v>
      </c>
      <c r="AD151" s="139">
        <v>10</v>
      </c>
      <c r="AE151" s="138">
        <v>50</v>
      </c>
      <c r="AG151" s="136">
        <v>9.14</v>
      </c>
      <c r="AH151" s="137">
        <v>2</v>
      </c>
      <c r="AI151" s="138" t="s">
        <v>883</v>
      </c>
      <c r="AK151" s="136">
        <v>9.17</v>
      </c>
      <c r="AL151" s="139">
        <v>10</v>
      </c>
      <c r="AM151" s="138">
        <v>50</v>
      </c>
      <c r="AO151" s="136">
        <v>31.2</v>
      </c>
      <c r="AP151" s="139">
        <v>14</v>
      </c>
      <c r="AQ151" s="138">
        <v>91</v>
      </c>
      <c r="AS151" s="136">
        <v>9</v>
      </c>
      <c r="AT151" s="139">
        <v>1</v>
      </c>
      <c r="AU151" s="138" t="s">
        <v>883</v>
      </c>
      <c r="AW151" s="136">
        <v>31.23</v>
      </c>
      <c r="AX151" s="139">
        <v>14</v>
      </c>
      <c r="AY151" s="138">
        <v>91</v>
      </c>
      <c r="BA151" s="136">
        <v>9.19</v>
      </c>
      <c r="BB151" s="139">
        <v>19</v>
      </c>
      <c r="BC151" s="138" t="s">
        <v>884</v>
      </c>
    </row>
    <row r="152" spans="5:55" x14ac:dyDescent="0.3">
      <c r="E152" s="152">
        <v>9.2799999999999994</v>
      </c>
      <c r="F152" s="153">
        <v>17</v>
      </c>
      <c r="G152" s="155" t="s">
        <v>873</v>
      </c>
      <c r="I152" s="136">
        <v>32.01</v>
      </c>
      <c r="J152" s="139">
        <v>2</v>
      </c>
      <c r="K152" s="138" t="s">
        <v>883</v>
      </c>
      <c r="M152" s="136">
        <v>9.0299999999999994</v>
      </c>
      <c r="N152" s="139">
        <v>2</v>
      </c>
      <c r="O152" s="138" t="s">
        <v>883</v>
      </c>
      <c r="Q152" s="136">
        <v>31.31</v>
      </c>
      <c r="R152" s="139">
        <v>15</v>
      </c>
      <c r="S152" s="138">
        <v>95</v>
      </c>
      <c r="U152" s="136">
        <v>9.09</v>
      </c>
      <c r="V152" s="139">
        <v>8</v>
      </c>
      <c r="W152" s="138">
        <v>25</v>
      </c>
      <c r="Y152" s="136">
        <v>9</v>
      </c>
      <c r="Z152" s="139">
        <v>1</v>
      </c>
      <c r="AA152" s="138" t="s">
        <v>883</v>
      </c>
      <c r="AC152" s="136">
        <v>9.15</v>
      </c>
      <c r="AD152" s="139">
        <v>11</v>
      </c>
      <c r="AE152" s="138">
        <v>63</v>
      </c>
      <c r="AG152" s="136">
        <v>9.18</v>
      </c>
      <c r="AH152" s="137">
        <v>3</v>
      </c>
      <c r="AI152" s="138">
        <v>1</v>
      </c>
      <c r="AK152" s="136">
        <v>9.19</v>
      </c>
      <c r="AL152" s="139">
        <v>11</v>
      </c>
      <c r="AM152" s="138">
        <v>63</v>
      </c>
      <c r="AO152" s="136">
        <v>31.21</v>
      </c>
      <c r="AP152" s="139">
        <v>15</v>
      </c>
      <c r="AQ152" s="138">
        <v>95</v>
      </c>
      <c r="AS152" s="136">
        <v>9.09</v>
      </c>
      <c r="AT152" s="139">
        <v>2</v>
      </c>
      <c r="AU152" s="138" t="s">
        <v>883</v>
      </c>
      <c r="AW152" s="136">
        <v>31.25</v>
      </c>
      <c r="AX152" s="139">
        <v>15</v>
      </c>
      <c r="AY152" s="138">
        <v>95</v>
      </c>
      <c r="BA152" s="136">
        <v>10</v>
      </c>
      <c r="BB152" s="139">
        <v>1</v>
      </c>
      <c r="BC152" s="138" t="s">
        <v>883</v>
      </c>
    </row>
    <row r="153" spans="5:55" x14ac:dyDescent="0.3">
      <c r="E153" s="152">
        <v>9.2899999999999991</v>
      </c>
      <c r="F153" s="153">
        <v>18</v>
      </c>
      <c r="G153" s="155" t="s">
        <v>874</v>
      </c>
      <c r="I153" s="136">
        <v>32.020000000000003</v>
      </c>
      <c r="J153" s="139">
        <v>3</v>
      </c>
      <c r="K153" s="138">
        <v>1</v>
      </c>
      <c r="M153" s="136">
        <v>9.0500000000000007</v>
      </c>
      <c r="N153" s="139">
        <v>3</v>
      </c>
      <c r="O153" s="138">
        <v>1</v>
      </c>
      <c r="Q153" s="136">
        <v>31.34</v>
      </c>
      <c r="R153" s="139">
        <v>16</v>
      </c>
      <c r="S153" s="138">
        <v>98</v>
      </c>
      <c r="U153" s="136">
        <v>9.11</v>
      </c>
      <c r="V153" s="139">
        <v>9</v>
      </c>
      <c r="W153" s="138">
        <v>37</v>
      </c>
      <c r="Y153" s="136">
        <v>9.08</v>
      </c>
      <c r="Z153" s="139">
        <v>2</v>
      </c>
      <c r="AA153" s="138" t="s">
        <v>883</v>
      </c>
      <c r="AC153" s="136">
        <v>9.16</v>
      </c>
      <c r="AD153" s="139">
        <v>12</v>
      </c>
      <c r="AE153" s="138">
        <v>75</v>
      </c>
      <c r="AG153" s="136">
        <v>9.1999999999999993</v>
      </c>
      <c r="AH153" s="137">
        <v>4</v>
      </c>
      <c r="AI153" s="138">
        <v>2</v>
      </c>
      <c r="AK153" s="136">
        <v>9.1999999999999993</v>
      </c>
      <c r="AL153" s="139">
        <v>12</v>
      </c>
      <c r="AM153" s="138">
        <v>75</v>
      </c>
      <c r="AO153" s="136">
        <v>31.22</v>
      </c>
      <c r="AP153" s="139">
        <v>16</v>
      </c>
      <c r="AQ153" s="138">
        <v>98</v>
      </c>
      <c r="AS153" s="136">
        <v>9.11</v>
      </c>
      <c r="AT153" s="139">
        <v>3</v>
      </c>
      <c r="AU153" s="138">
        <v>1</v>
      </c>
      <c r="AW153" s="136">
        <v>31.26</v>
      </c>
      <c r="AX153" s="139">
        <v>16</v>
      </c>
      <c r="AY153" s="138">
        <v>98</v>
      </c>
      <c r="BA153" s="136">
        <v>10.02</v>
      </c>
      <c r="BB153" s="139">
        <v>2</v>
      </c>
      <c r="BC153" s="138" t="s">
        <v>883</v>
      </c>
    </row>
    <row r="154" spans="5:55" ht="19.5" thickBot="1" x14ac:dyDescent="0.35">
      <c r="E154" s="157">
        <v>9.31</v>
      </c>
      <c r="F154" s="158">
        <v>19</v>
      </c>
      <c r="G154" s="159" t="s">
        <v>874</v>
      </c>
      <c r="I154" s="136">
        <v>32.03</v>
      </c>
      <c r="J154" s="139">
        <v>4</v>
      </c>
      <c r="K154" s="138">
        <v>2</v>
      </c>
      <c r="M154" s="136">
        <v>9.07</v>
      </c>
      <c r="N154" s="139">
        <v>4</v>
      </c>
      <c r="O154" s="138">
        <v>2</v>
      </c>
      <c r="Q154" s="136">
        <v>31.36</v>
      </c>
      <c r="R154" s="139">
        <v>17</v>
      </c>
      <c r="S154" s="138">
        <v>99</v>
      </c>
      <c r="U154" s="136">
        <v>9.1199999999999992</v>
      </c>
      <c r="V154" s="139">
        <v>10</v>
      </c>
      <c r="W154" s="138">
        <v>50</v>
      </c>
      <c r="Y154" s="136">
        <v>9.09</v>
      </c>
      <c r="Z154" s="139">
        <v>3</v>
      </c>
      <c r="AA154" s="138">
        <v>1</v>
      </c>
      <c r="AC154" s="136">
        <v>9.18</v>
      </c>
      <c r="AD154" s="139">
        <v>13</v>
      </c>
      <c r="AE154" s="138">
        <v>85</v>
      </c>
      <c r="AG154" s="136">
        <v>9.2200000000000006</v>
      </c>
      <c r="AH154" s="137">
        <v>5</v>
      </c>
      <c r="AI154" s="138">
        <v>5</v>
      </c>
      <c r="AK154" s="136">
        <v>9.2200000000000006</v>
      </c>
      <c r="AL154" s="139">
        <v>13</v>
      </c>
      <c r="AM154" s="138">
        <v>85</v>
      </c>
      <c r="AO154" s="136">
        <v>31.24</v>
      </c>
      <c r="AP154" s="139">
        <v>17</v>
      </c>
      <c r="AQ154" s="138">
        <v>99</v>
      </c>
      <c r="AS154" s="136">
        <v>9.1199999999999992</v>
      </c>
      <c r="AT154" s="139">
        <v>4</v>
      </c>
      <c r="AU154" s="138">
        <v>2</v>
      </c>
      <c r="AW154" s="136">
        <v>31.28</v>
      </c>
      <c r="AX154" s="139">
        <v>17</v>
      </c>
      <c r="AY154" s="138">
        <v>99</v>
      </c>
      <c r="BA154" s="136">
        <v>10.029999999999999</v>
      </c>
      <c r="BB154" s="139">
        <v>3</v>
      </c>
      <c r="BC154" s="138">
        <v>1</v>
      </c>
    </row>
    <row r="155" spans="5:55" x14ac:dyDescent="0.3">
      <c r="E155" s="160">
        <v>10</v>
      </c>
      <c r="F155" s="161">
        <v>1</v>
      </c>
      <c r="G155" s="162" t="s">
        <v>862</v>
      </c>
      <c r="I155" s="136">
        <v>32.04</v>
      </c>
      <c r="J155" s="139">
        <v>5</v>
      </c>
      <c r="K155" s="138">
        <v>5</v>
      </c>
      <c r="M155" s="136">
        <v>9.09</v>
      </c>
      <c r="N155" s="139">
        <v>5</v>
      </c>
      <c r="O155" s="138">
        <v>5</v>
      </c>
      <c r="Q155" s="136">
        <v>31.38</v>
      </c>
      <c r="R155" s="139">
        <v>18</v>
      </c>
      <c r="S155" s="138" t="s">
        <v>884</v>
      </c>
      <c r="U155" s="136">
        <v>9.1300000000000008</v>
      </c>
      <c r="V155" s="139">
        <v>11</v>
      </c>
      <c r="W155" s="138">
        <v>63</v>
      </c>
      <c r="Y155" s="136">
        <v>9.1</v>
      </c>
      <c r="Z155" s="139">
        <v>4</v>
      </c>
      <c r="AA155" s="138">
        <v>2</v>
      </c>
      <c r="AC155" s="136">
        <v>9.19</v>
      </c>
      <c r="AD155" s="139">
        <v>14</v>
      </c>
      <c r="AE155" s="138">
        <v>91</v>
      </c>
      <c r="AG155" s="136">
        <v>9.24</v>
      </c>
      <c r="AH155" s="137">
        <v>6</v>
      </c>
      <c r="AI155" s="138">
        <v>9</v>
      </c>
      <c r="AK155" s="136">
        <v>9.23</v>
      </c>
      <c r="AL155" s="139">
        <v>14</v>
      </c>
      <c r="AM155" s="138">
        <v>91</v>
      </c>
      <c r="AO155" s="136">
        <v>31.25</v>
      </c>
      <c r="AP155" s="139">
        <v>18</v>
      </c>
      <c r="AQ155" s="138" t="s">
        <v>884</v>
      </c>
      <c r="AS155" s="136">
        <v>9.1300000000000008</v>
      </c>
      <c r="AT155" s="139">
        <v>5</v>
      </c>
      <c r="AU155" s="138">
        <v>5</v>
      </c>
      <c r="AW155" s="136">
        <v>31.3</v>
      </c>
      <c r="AX155" s="139">
        <v>18</v>
      </c>
      <c r="AY155" s="138" t="s">
        <v>884</v>
      </c>
      <c r="BA155" s="136">
        <v>10.039999999999999</v>
      </c>
      <c r="BB155" s="139">
        <v>4</v>
      </c>
      <c r="BC155" s="138">
        <v>2</v>
      </c>
    </row>
    <row r="156" spans="5:55" x14ac:dyDescent="0.3">
      <c r="E156" s="152">
        <v>10.039999999999999</v>
      </c>
      <c r="F156" s="153">
        <v>2</v>
      </c>
      <c r="G156" s="155" t="s">
        <v>862</v>
      </c>
      <c r="I156" s="136">
        <v>32.049999999999997</v>
      </c>
      <c r="J156" s="139">
        <v>6</v>
      </c>
      <c r="K156" s="138">
        <v>9</v>
      </c>
      <c r="M156" s="136">
        <v>9.11</v>
      </c>
      <c r="N156" s="139">
        <v>6</v>
      </c>
      <c r="O156" s="138">
        <v>9</v>
      </c>
      <c r="Q156" s="136">
        <v>31.41</v>
      </c>
      <c r="R156" s="139">
        <v>19</v>
      </c>
      <c r="S156" s="138" t="s">
        <v>884</v>
      </c>
      <c r="U156" s="136">
        <v>9.15</v>
      </c>
      <c r="V156" s="139">
        <v>12</v>
      </c>
      <c r="W156" s="138">
        <v>75</v>
      </c>
      <c r="Y156" s="136">
        <v>9.11</v>
      </c>
      <c r="Z156" s="139">
        <v>5</v>
      </c>
      <c r="AA156" s="138">
        <v>5</v>
      </c>
      <c r="AC156" s="136">
        <v>9.1999999999999993</v>
      </c>
      <c r="AD156" s="139">
        <v>15</v>
      </c>
      <c r="AE156" s="138">
        <v>95</v>
      </c>
      <c r="AG156" s="136">
        <v>9.26</v>
      </c>
      <c r="AH156" s="137">
        <v>7</v>
      </c>
      <c r="AI156" s="138">
        <v>16</v>
      </c>
      <c r="AK156" s="136">
        <v>9.24</v>
      </c>
      <c r="AL156" s="139">
        <v>15</v>
      </c>
      <c r="AM156" s="138">
        <v>95</v>
      </c>
      <c r="AO156" s="136">
        <v>31.26</v>
      </c>
      <c r="AP156" s="139">
        <v>19</v>
      </c>
      <c r="AQ156" s="138" t="s">
        <v>884</v>
      </c>
      <c r="AS156" s="136">
        <v>9.15</v>
      </c>
      <c r="AT156" s="139">
        <v>6</v>
      </c>
      <c r="AU156" s="138">
        <v>9</v>
      </c>
      <c r="AW156" s="136">
        <v>31.33</v>
      </c>
      <c r="AX156" s="139">
        <v>19</v>
      </c>
      <c r="AY156" s="138" t="s">
        <v>884</v>
      </c>
      <c r="BA156" s="136">
        <v>10.050000000000001</v>
      </c>
      <c r="BB156" s="139">
        <v>5</v>
      </c>
      <c r="BC156" s="138">
        <v>5</v>
      </c>
    </row>
    <row r="157" spans="5:55" x14ac:dyDescent="0.3">
      <c r="E157" s="152">
        <v>10.06</v>
      </c>
      <c r="F157" s="153">
        <v>3</v>
      </c>
      <c r="G157" s="155" t="s">
        <v>876</v>
      </c>
      <c r="I157" s="136">
        <v>32.06</v>
      </c>
      <c r="J157" s="139">
        <v>7</v>
      </c>
      <c r="K157" s="138">
        <v>16</v>
      </c>
      <c r="M157" s="136">
        <v>9.1300000000000008</v>
      </c>
      <c r="N157" s="139">
        <v>7</v>
      </c>
      <c r="O157" s="138">
        <v>16</v>
      </c>
      <c r="Q157" s="136">
        <v>32</v>
      </c>
      <c r="R157" s="139">
        <v>1</v>
      </c>
      <c r="S157" s="138" t="s">
        <v>883</v>
      </c>
      <c r="U157" s="136">
        <v>9.16</v>
      </c>
      <c r="V157" s="139">
        <v>13</v>
      </c>
      <c r="W157" s="138">
        <v>85</v>
      </c>
      <c r="Y157" s="136">
        <v>9.1199999999999992</v>
      </c>
      <c r="Z157" s="139">
        <v>6</v>
      </c>
      <c r="AA157" s="138">
        <v>9</v>
      </c>
      <c r="AC157" s="136">
        <v>9.2100000000000009</v>
      </c>
      <c r="AD157" s="139">
        <v>16</v>
      </c>
      <c r="AE157" s="138">
        <v>98</v>
      </c>
      <c r="AG157" s="136">
        <v>9.2799999999999994</v>
      </c>
      <c r="AH157" s="137">
        <v>8</v>
      </c>
      <c r="AI157" s="138">
        <v>25</v>
      </c>
      <c r="AK157" s="136">
        <v>9.26</v>
      </c>
      <c r="AL157" s="139">
        <v>16</v>
      </c>
      <c r="AM157" s="138">
        <v>98</v>
      </c>
      <c r="AO157" s="136">
        <v>32</v>
      </c>
      <c r="AP157" s="139">
        <v>1</v>
      </c>
      <c r="AQ157" s="138" t="s">
        <v>883</v>
      </c>
      <c r="AS157" s="136">
        <v>9.16</v>
      </c>
      <c r="AT157" s="139">
        <v>7</v>
      </c>
      <c r="AU157" s="138">
        <v>16</v>
      </c>
      <c r="AW157" s="136">
        <v>32</v>
      </c>
      <c r="AX157" s="139">
        <v>1</v>
      </c>
      <c r="AY157" s="138" t="s">
        <v>883</v>
      </c>
      <c r="BA157" s="136">
        <v>10.06</v>
      </c>
      <c r="BB157" s="139">
        <v>6</v>
      </c>
      <c r="BC157" s="138">
        <v>9</v>
      </c>
    </row>
    <row r="158" spans="5:55" x14ac:dyDescent="0.3">
      <c r="E158" s="152">
        <v>10.08</v>
      </c>
      <c r="F158" s="153">
        <v>4</v>
      </c>
      <c r="G158" s="155" t="s">
        <v>863</v>
      </c>
      <c r="I158" s="136">
        <v>32.07</v>
      </c>
      <c r="J158" s="139">
        <v>8</v>
      </c>
      <c r="K158" s="138">
        <v>25</v>
      </c>
      <c r="M158" s="136">
        <v>9.15</v>
      </c>
      <c r="N158" s="139">
        <v>8</v>
      </c>
      <c r="O158" s="138">
        <v>25</v>
      </c>
      <c r="Q158" s="136">
        <v>32.020000000000003</v>
      </c>
      <c r="R158" s="139">
        <v>2</v>
      </c>
      <c r="S158" s="138" t="s">
        <v>883</v>
      </c>
      <c r="U158" s="136">
        <v>9.17</v>
      </c>
      <c r="V158" s="139">
        <v>14</v>
      </c>
      <c r="W158" s="138">
        <v>91</v>
      </c>
      <c r="Y158" s="136">
        <v>9.1300000000000008</v>
      </c>
      <c r="Z158" s="139">
        <v>7</v>
      </c>
      <c r="AA158" s="138">
        <v>16</v>
      </c>
      <c r="AC158" s="136">
        <v>9.24</v>
      </c>
      <c r="AD158" s="139">
        <v>17</v>
      </c>
      <c r="AE158" s="138">
        <v>99</v>
      </c>
      <c r="AG158" s="136">
        <v>9.3000000000000007</v>
      </c>
      <c r="AH158" s="137">
        <v>9</v>
      </c>
      <c r="AI158" s="138">
        <v>37</v>
      </c>
      <c r="AK158" s="136">
        <v>9.2799999999999994</v>
      </c>
      <c r="AL158" s="139">
        <v>17</v>
      </c>
      <c r="AM158" s="138">
        <v>99</v>
      </c>
      <c r="AO158" s="136">
        <v>32.07</v>
      </c>
      <c r="AP158" s="139">
        <v>2</v>
      </c>
      <c r="AQ158" s="138" t="s">
        <v>883</v>
      </c>
      <c r="AS158" s="136">
        <v>9.18</v>
      </c>
      <c r="AT158" s="139">
        <v>8</v>
      </c>
      <c r="AU158" s="138">
        <v>25</v>
      </c>
      <c r="AW158" s="136">
        <v>32.03</v>
      </c>
      <c r="AX158" s="139">
        <v>2</v>
      </c>
      <c r="AY158" s="138" t="s">
        <v>883</v>
      </c>
      <c r="BA158" s="136">
        <v>10.07</v>
      </c>
      <c r="BB158" s="139">
        <v>7</v>
      </c>
      <c r="BC158" s="138">
        <v>16</v>
      </c>
    </row>
    <row r="159" spans="5:55" x14ac:dyDescent="0.3">
      <c r="E159" s="152">
        <v>10.1</v>
      </c>
      <c r="F159" s="153">
        <v>5</v>
      </c>
      <c r="G159" s="155" t="s">
        <v>877</v>
      </c>
      <c r="I159" s="136">
        <v>32.08</v>
      </c>
      <c r="J159" s="139">
        <v>9</v>
      </c>
      <c r="K159" s="138">
        <v>37</v>
      </c>
      <c r="M159" s="136">
        <v>9.17</v>
      </c>
      <c r="N159" s="139">
        <v>9</v>
      </c>
      <c r="O159" s="138">
        <v>37</v>
      </c>
      <c r="Q159" s="136">
        <v>32.04</v>
      </c>
      <c r="R159" s="139">
        <v>3</v>
      </c>
      <c r="S159" s="138">
        <v>1</v>
      </c>
      <c r="U159" s="136">
        <v>9.19</v>
      </c>
      <c r="V159" s="139">
        <v>15</v>
      </c>
      <c r="W159" s="138">
        <v>95</v>
      </c>
      <c r="Y159" s="136">
        <v>9.14</v>
      </c>
      <c r="Z159" s="139">
        <v>8</v>
      </c>
      <c r="AA159" s="138">
        <v>25</v>
      </c>
      <c r="AC159" s="136">
        <v>9.25</v>
      </c>
      <c r="AD159" s="139">
        <v>18</v>
      </c>
      <c r="AE159" s="138" t="s">
        <v>884</v>
      </c>
      <c r="AG159" s="136">
        <v>9.31</v>
      </c>
      <c r="AH159" s="137">
        <v>10</v>
      </c>
      <c r="AI159" s="138">
        <v>50</v>
      </c>
      <c r="AK159" s="136">
        <v>9.3000000000000007</v>
      </c>
      <c r="AL159" s="139">
        <v>18</v>
      </c>
      <c r="AM159" s="138" t="s">
        <v>884</v>
      </c>
      <c r="AO159" s="136">
        <v>32.090000000000003</v>
      </c>
      <c r="AP159" s="139">
        <v>3</v>
      </c>
      <c r="AQ159" s="138">
        <v>1</v>
      </c>
      <c r="AS159" s="136">
        <v>9.19</v>
      </c>
      <c r="AT159" s="139">
        <v>9</v>
      </c>
      <c r="AU159" s="138">
        <v>37</v>
      </c>
      <c r="AW159" s="136">
        <v>32.049999999999997</v>
      </c>
      <c r="AX159" s="139">
        <v>3</v>
      </c>
      <c r="AY159" s="138">
        <v>1</v>
      </c>
      <c r="BA159" s="136">
        <v>10.08</v>
      </c>
      <c r="BB159" s="139">
        <v>8</v>
      </c>
      <c r="BC159" s="138">
        <v>25</v>
      </c>
    </row>
    <row r="160" spans="5:55" x14ac:dyDescent="0.3">
      <c r="E160" s="152">
        <v>10.119999999999999</v>
      </c>
      <c r="F160" s="153">
        <v>6</v>
      </c>
      <c r="G160" s="155" t="s">
        <v>864</v>
      </c>
      <c r="I160" s="136">
        <v>32.1</v>
      </c>
      <c r="J160" s="139">
        <v>10</v>
      </c>
      <c r="K160" s="138">
        <v>50</v>
      </c>
      <c r="M160" s="136">
        <v>9.19</v>
      </c>
      <c r="N160" s="139">
        <v>10</v>
      </c>
      <c r="O160" s="138">
        <v>50</v>
      </c>
      <c r="Q160" s="136">
        <v>32.08</v>
      </c>
      <c r="R160" s="139">
        <v>4</v>
      </c>
      <c r="S160" s="138">
        <v>2</v>
      </c>
      <c r="U160" s="136">
        <v>9.1999999999999993</v>
      </c>
      <c r="V160" s="139">
        <v>16</v>
      </c>
      <c r="W160" s="138">
        <v>98</v>
      </c>
      <c r="Y160" s="136">
        <v>9.15</v>
      </c>
      <c r="Z160" s="139">
        <v>9</v>
      </c>
      <c r="AA160" s="138">
        <v>37</v>
      </c>
      <c r="AC160" s="136">
        <v>9.2799999999999994</v>
      </c>
      <c r="AD160" s="139">
        <v>19</v>
      </c>
      <c r="AE160" s="138" t="s">
        <v>884</v>
      </c>
      <c r="AG160" s="136">
        <v>9.33</v>
      </c>
      <c r="AH160" s="137">
        <v>11</v>
      </c>
      <c r="AI160" s="138">
        <v>63</v>
      </c>
      <c r="AK160" s="136">
        <v>9.32</v>
      </c>
      <c r="AL160" s="139">
        <v>19</v>
      </c>
      <c r="AM160" s="138" t="s">
        <v>884</v>
      </c>
      <c r="AO160" s="136">
        <v>32.1</v>
      </c>
      <c r="AP160" s="139">
        <v>4</v>
      </c>
      <c r="AQ160" s="138">
        <v>2</v>
      </c>
      <c r="AS160" s="136">
        <v>9.2100000000000009</v>
      </c>
      <c r="AT160" s="139">
        <v>10</v>
      </c>
      <c r="AU160" s="138">
        <v>50</v>
      </c>
      <c r="AW160" s="136">
        <v>32.06</v>
      </c>
      <c r="AX160" s="139">
        <v>4</v>
      </c>
      <c r="AY160" s="138">
        <v>2</v>
      </c>
      <c r="BA160" s="136">
        <v>10.09</v>
      </c>
      <c r="BB160" s="139">
        <v>9</v>
      </c>
      <c r="BC160" s="138">
        <v>37</v>
      </c>
    </row>
    <row r="161" spans="5:55" x14ac:dyDescent="0.3">
      <c r="E161" s="152">
        <v>10.129999999999999</v>
      </c>
      <c r="F161" s="153">
        <v>7</v>
      </c>
      <c r="G161" s="155" t="s">
        <v>878</v>
      </c>
      <c r="I161" s="136">
        <v>32.11</v>
      </c>
      <c r="J161" s="139">
        <v>11</v>
      </c>
      <c r="K161" s="138">
        <v>63</v>
      </c>
      <c r="M161" s="136">
        <v>9.2200000000000006</v>
      </c>
      <c r="N161" s="139">
        <v>11</v>
      </c>
      <c r="O161" s="138">
        <v>63</v>
      </c>
      <c r="Q161" s="136">
        <v>32.1</v>
      </c>
      <c r="R161" s="139">
        <v>5</v>
      </c>
      <c r="S161" s="138">
        <v>5</v>
      </c>
      <c r="U161" s="136">
        <v>9.2200000000000006</v>
      </c>
      <c r="V161" s="139">
        <v>17</v>
      </c>
      <c r="W161" s="138">
        <v>99</v>
      </c>
      <c r="Y161" s="136">
        <v>9.16</v>
      </c>
      <c r="Z161" s="139">
        <v>10</v>
      </c>
      <c r="AA161" s="138">
        <v>50</v>
      </c>
      <c r="AC161" s="136">
        <v>10</v>
      </c>
      <c r="AD161" s="139">
        <v>1</v>
      </c>
      <c r="AE161" s="138" t="s">
        <v>883</v>
      </c>
      <c r="AG161" s="136">
        <v>9.35</v>
      </c>
      <c r="AH161" s="137">
        <v>12</v>
      </c>
      <c r="AI161" s="138">
        <v>75</v>
      </c>
      <c r="AK161" s="136">
        <v>10</v>
      </c>
      <c r="AL161" s="139">
        <v>1</v>
      </c>
      <c r="AM161" s="138" t="s">
        <v>883</v>
      </c>
      <c r="AO161" s="136">
        <v>32.11</v>
      </c>
      <c r="AP161" s="139">
        <v>5</v>
      </c>
      <c r="AQ161" s="138">
        <v>5</v>
      </c>
      <c r="AS161" s="136">
        <v>9.2200000000000006</v>
      </c>
      <c r="AT161" s="139">
        <v>11</v>
      </c>
      <c r="AU161" s="138">
        <v>63</v>
      </c>
      <c r="AW161" s="136">
        <v>32.08</v>
      </c>
      <c r="AX161" s="139">
        <v>5</v>
      </c>
      <c r="AY161" s="138">
        <v>5</v>
      </c>
      <c r="BA161" s="136">
        <v>10.1</v>
      </c>
      <c r="BB161" s="139">
        <v>10</v>
      </c>
      <c r="BC161" s="138">
        <v>50</v>
      </c>
    </row>
    <row r="162" spans="5:55" x14ac:dyDescent="0.3">
      <c r="E162" s="152">
        <v>10.15</v>
      </c>
      <c r="F162" s="153">
        <v>8</v>
      </c>
      <c r="G162" s="155" t="s">
        <v>865</v>
      </c>
      <c r="I162" s="136">
        <v>32.119999999999997</v>
      </c>
      <c r="J162" s="139">
        <v>12</v>
      </c>
      <c r="K162" s="138">
        <v>75</v>
      </c>
      <c r="M162" s="136">
        <v>9.24</v>
      </c>
      <c r="N162" s="139">
        <v>12</v>
      </c>
      <c r="O162" s="138">
        <v>75</v>
      </c>
      <c r="Q162" s="136">
        <v>32.119999999999997</v>
      </c>
      <c r="R162" s="139">
        <v>6</v>
      </c>
      <c r="S162" s="138">
        <v>9</v>
      </c>
      <c r="U162" s="136">
        <v>9.23</v>
      </c>
      <c r="V162" s="139">
        <v>18</v>
      </c>
      <c r="W162" s="138" t="s">
        <v>884</v>
      </c>
      <c r="Y162" s="136">
        <v>9.17</v>
      </c>
      <c r="Z162" s="139">
        <v>11</v>
      </c>
      <c r="AA162" s="138">
        <v>63</v>
      </c>
      <c r="AC162" s="136">
        <v>10.039999999999999</v>
      </c>
      <c r="AD162" s="139">
        <v>2</v>
      </c>
      <c r="AE162" s="138" t="s">
        <v>883</v>
      </c>
      <c r="AG162" s="136">
        <v>9.3699999999999992</v>
      </c>
      <c r="AH162" s="137">
        <v>13</v>
      </c>
      <c r="AI162" s="138">
        <v>85</v>
      </c>
      <c r="AK162" s="136">
        <v>10.09</v>
      </c>
      <c r="AL162" s="139">
        <v>2</v>
      </c>
      <c r="AM162" s="138" t="s">
        <v>883</v>
      </c>
      <c r="AO162" s="136">
        <v>32.119999999999997</v>
      </c>
      <c r="AP162" s="139">
        <v>6</v>
      </c>
      <c r="AQ162" s="138">
        <v>9</v>
      </c>
      <c r="AS162" s="136">
        <v>9.24</v>
      </c>
      <c r="AT162" s="139">
        <v>12</v>
      </c>
      <c r="AU162" s="138">
        <v>75</v>
      </c>
      <c r="AW162" s="136">
        <v>32.090000000000003</v>
      </c>
      <c r="AX162" s="139">
        <v>6</v>
      </c>
      <c r="AY162" s="138">
        <v>9</v>
      </c>
      <c r="BA162" s="136">
        <v>10.11</v>
      </c>
      <c r="BB162" s="139">
        <v>11</v>
      </c>
      <c r="BC162" s="138">
        <v>63</v>
      </c>
    </row>
    <row r="163" spans="5:55" x14ac:dyDescent="0.3">
      <c r="E163" s="152">
        <v>10.17</v>
      </c>
      <c r="F163" s="153">
        <v>9</v>
      </c>
      <c r="G163" s="155" t="s">
        <v>879</v>
      </c>
      <c r="I163" s="136">
        <v>32.14</v>
      </c>
      <c r="J163" s="139">
        <v>13</v>
      </c>
      <c r="K163" s="138">
        <v>85</v>
      </c>
      <c r="M163" s="136">
        <v>9.26</v>
      </c>
      <c r="N163" s="139">
        <v>13</v>
      </c>
      <c r="O163" s="138">
        <v>85</v>
      </c>
      <c r="Q163" s="136">
        <v>32.14</v>
      </c>
      <c r="R163" s="139">
        <v>7</v>
      </c>
      <c r="S163" s="138">
        <v>16</v>
      </c>
      <c r="U163" s="136">
        <v>9.26</v>
      </c>
      <c r="V163" s="139">
        <v>19</v>
      </c>
      <c r="W163" s="138" t="s">
        <v>884</v>
      </c>
      <c r="Y163" s="136">
        <v>9.18</v>
      </c>
      <c r="Z163" s="139">
        <v>12</v>
      </c>
      <c r="AA163" s="138">
        <v>75</v>
      </c>
      <c r="AC163" s="136">
        <v>10.050000000000001</v>
      </c>
      <c r="AD163" s="139">
        <v>3</v>
      </c>
      <c r="AE163" s="138">
        <v>1</v>
      </c>
      <c r="AG163" s="136">
        <v>9.3800000000000008</v>
      </c>
      <c r="AH163" s="137">
        <v>14</v>
      </c>
      <c r="AI163" s="138">
        <v>91</v>
      </c>
      <c r="AK163" s="136">
        <v>10.1</v>
      </c>
      <c r="AL163" s="139">
        <v>3</v>
      </c>
      <c r="AM163" s="138">
        <v>1</v>
      </c>
      <c r="AO163" s="136">
        <v>32.130000000000003</v>
      </c>
      <c r="AP163" s="139">
        <v>7</v>
      </c>
      <c r="AQ163" s="138">
        <v>16</v>
      </c>
      <c r="AS163" s="136">
        <v>9.25</v>
      </c>
      <c r="AT163" s="139">
        <v>13</v>
      </c>
      <c r="AU163" s="138">
        <v>85</v>
      </c>
      <c r="AW163" s="136">
        <v>32.11</v>
      </c>
      <c r="AX163" s="139">
        <v>7</v>
      </c>
      <c r="AY163" s="138">
        <v>16</v>
      </c>
      <c r="BA163" s="136">
        <v>10.119999999999999</v>
      </c>
      <c r="BB163" s="139">
        <v>12</v>
      </c>
      <c r="BC163" s="138">
        <v>75</v>
      </c>
    </row>
    <row r="164" spans="5:55" x14ac:dyDescent="0.3">
      <c r="E164" s="152">
        <v>10.18</v>
      </c>
      <c r="F164" s="153">
        <v>10</v>
      </c>
      <c r="G164" s="155" t="s">
        <v>866</v>
      </c>
      <c r="I164" s="136">
        <v>32.15</v>
      </c>
      <c r="J164" s="139">
        <v>14</v>
      </c>
      <c r="K164" s="138">
        <v>91</v>
      </c>
      <c r="M164" s="136">
        <v>9.2799999999999994</v>
      </c>
      <c r="N164" s="139">
        <v>14</v>
      </c>
      <c r="O164" s="138">
        <v>91</v>
      </c>
      <c r="Q164" s="136">
        <v>32.159999999999997</v>
      </c>
      <c r="R164" s="139">
        <v>8</v>
      </c>
      <c r="S164" s="138">
        <v>25</v>
      </c>
      <c r="U164" s="136">
        <v>10</v>
      </c>
      <c r="V164" s="139">
        <v>1</v>
      </c>
      <c r="W164" s="138" t="s">
        <v>883</v>
      </c>
      <c r="Y164" s="136">
        <v>9.19</v>
      </c>
      <c r="Z164" s="139">
        <v>13</v>
      </c>
      <c r="AA164" s="138">
        <v>85</v>
      </c>
      <c r="AC164" s="136">
        <v>10.07</v>
      </c>
      <c r="AD164" s="139">
        <v>4</v>
      </c>
      <c r="AE164" s="138">
        <v>2</v>
      </c>
      <c r="AG164" s="136">
        <v>9.4</v>
      </c>
      <c r="AH164" s="137">
        <v>15</v>
      </c>
      <c r="AI164" s="138">
        <v>95</v>
      </c>
      <c r="AK164" s="136">
        <v>10.11</v>
      </c>
      <c r="AL164" s="139">
        <v>4</v>
      </c>
      <c r="AM164" s="138">
        <v>2</v>
      </c>
      <c r="AO164" s="136">
        <v>32.14</v>
      </c>
      <c r="AP164" s="139">
        <v>8</v>
      </c>
      <c r="AQ164" s="138">
        <v>25</v>
      </c>
      <c r="AS164" s="136">
        <v>9.27</v>
      </c>
      <c r="AT164" s="139">
        <v>14</v>
      </c>
      <c r="AU164" s="138">
        <v>91</v>
      </c>
      <c r="AW164" s="136">
        <v>32.119999999999997</v>
      </c>
      <c r="AX164" s="139">
        <v>8</v>
      </c>
      <c r="AY164" s="138">
        <v>25</v>
      </c>
      <c r="BA164" s="136">
        <v>10.130000000000001</v>
      </c>
      <c r="BB164" s="139">
        <v>13</v>
      </c>
      <c r="BC164" s="138">
        <v>85</v>
      </c>
    </row>
    <row r="165" spans="5:55" x14ac:dyDescent="0.3">
      <c r="E165" s="152">
        <v>10.19</v>
      </c>
      <c r="F165" s="153">
        <v>11</v>
      </c>
      <c r="G165" s="155" t="s">
        <v>867</v>
      </c>
      <c r="I165" s="136">
        <v>32.17</v>
      </c>
      <c r="J165" s="139">
        <v>15</v>
      </c>
      <c r="K165" s="138">
        <v>95</v>
      </c>
      <c r="M165" s="136">
        <v>9.3000000000000007</v>
      </c>
      <c r="N165" s="139">
        <v>15</v>
      </c>
      <c r="O165" s="138">
        <v>95</v>
      </c>
      <c r="Q165" s="136">
        <v>32.18</v>
      </c>
      <c r="R165" s="139">
        <v>9</v>
      </c>
      <c r="S165" s="138">
        <v>37</v>
      </c>
      <c r="U165" s="136">
        <v>10.01</v>
      </c>
      <c r="V165" s="139">
        <v>2</v>
      </c>
      <c r="W165" s="138" t="s">
        <v>883</v>
      </c>
      <c r="Y165" s="136">
        <v>9.1999999999999993</v>
      </c>
      <c r="Z165" s="139">
        <v>14</v>
      </c>
      <c r="AA165" s="138">
        <v>91</v>
      </c>
      <c r="AC165" s="136">
        <v>10.08</v>
      </c>
      <c r="AD165" s="139">
        <v>5</v>
      </c>
      <c r="AE165" s="138">
        <v>5</v>
      </c>
      <c r="AG165" s="136">
        <v>9.42</v>
      </c>
      <c r="AH165" s="137">
        <v>16</v>
      </c>
      <c r="AI165" s="138">
        <v>98</v>
      </c>
      <c r="AK165" s="136">
        <v>10.130000000000001</v>
      </c>
      <c r="AL165" s="139">
        <v>5</v>
      </c>
      <c r="AM165" s="138">
        <v>5</v>
      </c>
      <c r="AO165" s="136">
        <v>32.15</v>
      </c>
      <c r="AP165" s="139">
        <v>9</v>
      </c>
      <c r="AQ165" s="138">
        <v>37</v>
      </c>
      <c r="AS165" s="136">
        <v>9.2899999999999991</v>
      </c>
      <c r="AT165" s="139">
        <v>15</v>
      </c>
      <c r="AU165" s="138">
        <v>95</v>
      </c>
      <c r="AW165" s="136">
        <v>32.14</v>
      </c>
      <c r="AX165" s="139">
        <v>9</v>
      </c>
      <c r="AY165" s="138">
        <v>37</v>
      </c>
      <c r="BA165" s="136">
        <v>10.14</v>
      </c>
      <c r="BB165" s="139">
        <v>14</v>
      </c>
      <c r="BC165" s="138">
        <v>91</v>
      </c>
    </row>
    <row r="166" spans="5:55" x14ac:dyDescent="0.3">
      <c r="E166" s="152">
        <v>10.199999999999999</v>
      </c>
      <c r="F166" s="153">
        <v>12</v>
      </c>
      <c r="G166" s="155" t="s">
        <v>868</v>
      </c>
      <c r="I166" s="136">
        <v>32.18</v>
      </c>
      <c r="J166" s="139">
        <v>16</v>
      </c>
      <c r="K166" s="138">
        <v>98</v>
      </c>
      <c r="M166" s="136">
        <v>9.32</v>
      </c>
      <c r="N166" s="139">
        <v>16</v>
      </c>
      <c r="O166" s="138">
        <v>98</v>
      </c>
      <c r="Q166" s="136">
        <v>32.21</v>
      </c>
      <c r="R166" s="139">
        <v>10</v>
      </c>
      <c r="S166" s="138">
        <v>50</v>
      </c>
      <c r="U166" s="136">
        <v>10.02</v>
      </c>
      <c r="V166" s="139">
        <v>3</v>
      </c>
      <c r="W166" s="138">
        <v>1</v>
      </c>
      <c r="Y166" s="136">
        <v>9.2100000000000009</v>
      </c>
      <c r="Z166" s="139">
        <v>15</v>
      </c>
      <c r="AA166" s="138">
        <v>95</v>
      </c>
      <c r="AC166" s="136">
        <v>10.1</v>
      </c>
      <c r="AD166" s="139">
        <v>6</v>
      </c>
      <c r="AE166" s="138">
        <v>9</v>
      </c>
      <c r="AG166" s="136">
        <v>9.4600000000000009</v>
      </c>
      <c r="AH166" s="137">
        <v>17</v>
      </c>
      <c r="AI166" s="138">
        <v>99</v>
      </c>
      <c r="AK166" s="136">
        <v>10.14</v>
      </c>
      <c r="AL166" s="139">
        <v>6</v>
      </c>
      <c r="AM166" s="138">
        <v>9</v>
      </c>
      <c r="AO166" s="136">
        <v>32.159999999999997</v>
      </c>
      <c r="AP166" s="139">
        <v>10</v>
      </c>
      <c r="AQ166" s="138">
        <v>50</v>
      </c>
      <c r="AS166" s="136">
        <v>9.3000000000000007</v>
      </c>
      <c r="AT166" s="139">
        <v>16</v>
      </c>
      <c r="AU166" s="138">
        <v>98</v>
      </c>
      <c r="AW166" s="136">
        <v>32.159999999999997</v>
      </c>
      <c r="AX166" s="139">
        <v>10</v>
      </c>
      <c r="AY166" s="138">
        <v>50</v>
      </c>
      <c r="BA166" s="136">
        <v>10.15</v>
      </c>
      <c r="BB166" s="139">
        <v>15</v>
      </c>
      <c r="BC166" s="138">
        <v>95</v>
      </c>
    </row>
    <row r="167" spans="5:55" x14ac:dyDescent="0.3">
      <c r="E167" s="152">
        <v>10.220000000000001</v>
      </c>
      <c r="F167" s="153">
        <v>13</v>
      </c>
      <c r="G167" s="155" t="s">
        <v>869</v>
      </c>
      <c r="I167" s="136">
        <v>32.200000000000003</v>
      </c>
      <c r="J167" s="139">
        <v>17</v>
      </c>
      <c r="K167" s="138">
        <v>99</v>
      </c>
      <c r="M167" s="136">
        <v>9.34</v>
      </c>
      <c r="N167" s="139">
        <v>17</v>
      </c>
      <c r="O167" s="138">
        <v>99</v>
      </c>
      <c r="Q167" s="136">
        <v>32.229999999999997</v>
      </c>
      <c r="R167" s="139">
        <v>11</v>
      </c>
      <c r="S167" s="138">
        <v>63</v>
      </c>
      <c r="U167" s="136">
        <v>10.039999999999999</v>
      </c>
      <c r="V167" s="139">
        <v>4</v>
      </c>
      <c r="W167" s="138">
        <v>2</v>
      </c>
      <c r="Y167" s="136">
        <v>9.2200000000000006</v>
      </c>
      <c r="Z167" s="139">
        <v>16</v>
      </c>
      <c r="AA167" s="138">
        <v>98</v>
      </c>
      <c r="AC167" s="136">
        <v>10.11</v>
      </c>
      <c r="AD167" s="139">
        <v>7</v>
      </c>
      <c r="AE167" s="138">
        <v>16</v>
      </c>
      <c r="AG167" s="136">
        <v>9.48</v>
      </c>
      <c r="AH167" s="137">
        <v>18</v>
      </c>
      <c r="AI167" s="138" t="s">
        <v>884</v>
      </c>
      <c r="AK167" s="136">
        <v>10.16</v>
      </c>
      <c r="AL167" s="139">
        <v>7</v>
      </c>
      <c r="AM167" s="138">
        <v>16</v>
      </c>
      <c r="AO167" s="136">
        <v>32.17</v>
      </c>
      <c r="AP167" s="139">
        <v>11</v>
      </c>
      <c r="AQ167" s="138">
        <v>63</v>
      </c>
      <c r="AS167" s="136">
        <v>9.32</v>
      </c>
      <c r="AT167" s="139">
        <v>17</v>
      </c>
      <c r="AU167" s="138">
        <v>99</v>
      </c>
      <c r="AW167" s="136">
        <v>32.18</v>
      </c>
      <c r="AX167" s="139">
        <v>11</v>
      </c>
      <c r="AY167" s="138">
        <v>63</v>
      </c>
      <c r="BA167" s="136">
        <v>10.16</v>
      </c>
      <c r="BB167" s="139">
        <v>16</v>
      </c>
      <c r="BC167" s="138">
        <v>98</v>
      </c>
    </row>
    <row r="168" spans="5:55" x14ac:dyDescent="0.3">
      <c r="E168" s="152">
        <v>10.24</v>
      </c>
      <c r="F168" s="153">
        <v>14</v>
      </c>
      <c r="G168" s="155" t="s">
        <v>870</v>
      </c>
      <c r="I168" s="136">
        <v>32.21</v>
      </c>
      <c r="J168" s="139">
        <v>18</v>
      </c>
      <c r="K168" s="138" t="s">
        <v>884</v>
      </c>
      <c r="M168" s="136">
        <v>9.36</v>
      </c>
      <c r="N168" s="139">
        <v>18</v>
      </c>
      <c r="O168" s="138" t="s">
        <v>884</v>
      </c>
      <c r="Q168" s="136">
        <v>32.25</v>
      </c>
      <c r="R168" s="139">
        <v>12</v>
      </c>
      <c r="S168" s="138">
        <v>75</v>
      </c>
      <c r="U168" s="136">
        <v>10.050000000000001</v>
      </c>
      <c r="V168" s="139">
        <v>5</v>
      </c>
      <c r="W168" s="138">
        <v>5</v>
      </c>
      <c r="Y168" s="136">
        <v>9.23</v>
      </c>
      <c r="Z168" s="139">
        <v>17</v>
      </c>
      <c r="AA168" s="138">
        <v>99</v>
      </c>
      <c r="AC168" s="136">
        <v>10.119999999999999</v>
      </c>
      <c r="AD168" s="139">
        <v>8</v>
      </c>
      <c r="AE168" s="138">
        <v>25</v>
      </c>
      <c r="AG168" s="136">
        <v>9.5399999999999991</v>
      </c>
      <c r="AH168" s="137">
        <v>19</v>
      </c>
      <c r="AI168" s="138" t="s">
        <v>884</v>
      </c>
      <c r="AK168" s="136">
        <v>10.17</v>
      </c>
      <c r="AL168" s="139">
        <v>8</v>
      </c>
      <c r="AM168" s="138">
        <v>25</v>
      </c>
      <c r="AO168" s="136">
        <v>32.18</v>
      </c>
      <c r="AP168" s="139">
        <v>12</v>
      </c>
      <c r="AQ168" s="138">
        <v>75</v>
      </c>
      <c r="AS168" s="136">
        <v>9.33</v>
      </c>
      <c r="AT168" s="139">
        <v>18</v>
      </c>
      <c r="AU168" s="138" t="s">
        <v>884</v>
      </c>
      <c r="AW168" s="136">
        <v>32.19</v>
      </c>
      <c r="AX168" s="139">
        <v>12</v>
      </c>
      <c r="AY168" s="138">
        <v>75</v>
      </c>
      <c r="BA168" s="136">
        <v>10.17</v>
      </c>
      <c r="BB168" s="139">
        <v>17</v>
      </c>
      <c r="BC168" s="138">
        <v>99</v>
      </c>
    </row>
    <row r="169" spans="5:55" x14ac:dyDescent="0.3">
      <c r="E169" s="152">
        <v>10.26</v>
      </c>
      <c r="F169" s="153">
        <v>15</v>
      </c>
      <c r="G169" s="155" t="s">
        <v>871</v>
      </c>
      <c r="I169" s="136">
        <v>32.24</v>
      </c>
      <c r="J169" s="139">
        <v>19</v>
      </c>
      <c r="K169" s="138" t="s">
        <v>884</v>
      </c>
      <c r="M169" s="136">
        <v>9.4</v>
      </c>
      <c r="N169" s="139">
        <v>19</v>
      </c>
      <c r="O169" s="138" t="s">
        <v>884</v>
      </c>
      <c r="Q169" s="136">
        <v>32.270000000000003</v>
      </c>
      <c r="R169" s="139">
        <v>13</v>
      </c>
      <c r="S169" s="138">
        <v>85</v>
      </c>
      <c r="U169" s="136">
        <v>10.07</v>
      </c>
      <c r="V169" s="139">
        <v>6</v>
      </c>
      <c r="W169" s="138">
        <v>9</v>
      </c>
      <c r="Y169" s="136">
        <v>9.24</v>
      </c>
      <c r="Z169" s="139">
        <v>18</v>
      </c>
      <c r="AA169" s="138" t="s">
        <v>884</v>
      </c>
      <c r="AC169" s="136">
        <v>10.14</v>
      </c>
      <c r="AD169" s="139">
        <v>9</v>
      </c>
      <c r="AE169" s="138">
        <v>37</v>
      </c>
      <c r="AG169" s="136">
        <v>10</v>
      </c>
      <c r="AH169" s="137">
        <v>1</v>
      </c>
      <c r="AI169" s="138" t="s">
        <v>883</v>
      </c>
      <c r="AK169" s="136">
        <v>10.18</v>
      </c>
      <c r="AL169" s="139">
        <v>9</v>
      </c>
      <c r="AM169" s="138">
        <v>37</v>
      </c>
      <c r="AO169" s="136">
        <v>32.19</v>
      </c>
      <c r="AP169" s="139">
        <v>13</v>
      </c>
      <c r="AQ169" s="138">
        <v>85</v>
      </c>
      <c r="AS169" s="136">
        <v>9.36</v>
      </c>
      <c r="AT169" s="139">
        <v>19</v>
      </c>
      <c r="AU169" s="138" t="s">
        <v>884</v>
      </c>
      <c r="AW169" s="136">
        <v>32.21</v>
      </c>
      <c r="AX169" s="139">
        <v>13</v>
      </c>
      <c r="AY169" s="138">
        <v>85</v>
      </c>
      <c r="BA169" s="136">
        <v>10.18</v>
      </c>
      <c r="BB169" s="139">
        <v>18</v>
      </c>
      <c r="BC169" s="138" t="s">
        <v>884</v>
      </c>
    </row>
    <row r="170" spans="5:55" x14ac:dyDescent="0.3">
      <c r="E170" s="152">
        <v>10.28</v>
      </c>
      <c r="F170" s="153">
        <v>16</v>
      </c>
      <c r="G170" s="155" t="s">
        <v>872</v>
      </c>
      <c r="I170" s="136">
        <v>33</v>
      </c>
      <c r="J170" s="139">
        <v>1</v>
      </c>
      <c r="K170" s="138" t="s">
        <v>883</v>
      </c>
      <c r="M170" s="136">
        <v>10</v>
      </c>
      <c r="N170" s="139">
        <v>1</v>
      </c>
      <c r="O170" s="138" t="s">
        <v>883</v>
      </c>
      <c r="Q170" s="136">
        <v>32.29</v>
      </c>
      <c r="R170" s="139">
        <v>14</v>
      </c>
      <c r="S170" s="138">
        <v>91</v>
      </c>
      <c r="U170" s="136">
        <v>10.08</v>
      </c>
      <c r="V170" s="139">
        <v>7</v>
      </c>
      <c r="W170" s="138">
        <v>16</v>
      </c>
      <c r="Y170" s="136">
        <v>9.26</v>
      </c>
      <c r="Z170" s="139">
        <v>19</v>
      </c>
      <c r="AA170" s="138" t="s">
        <v>884</v>
      </c>
      <c r="AC170" s="136">
        <v>10.15</v>
      </c>
      <c r="AD170" s="139">
        <v>10</v>
      </c>
      <c r="AE170" s="138">
        <v>50</v>
      </c>
      <c r="AG170" s="136">
        <v>10.18</v>
      </c>
      <c r="AH170" s="137">
        <v>2</v>
      </c>
      <c r="AI170" s="138" t="s">
        <v>883</v>
      </c>
      <c r="AK170" s="136">
        <v>10.199999999999999</v>
      </c>
      <c r="AL170" s="139">
        <v>10</v>
      </c>
      <c r="AM170" s="138">
        <v>50</v>
      </c>
      <c r="AO170" s="136">
        <v>32.200000000000003</v>
      </c>
      <c r="AP170" s="139">
        <v>14</v>
      </c>
      <c r="AQ170" s="138">
        <v>91</v>
      </c>
      <c r="AS170" s="136">
        <v>10</v>
      </c>
      <c r="AT170" s="139">
        <v>1</v>
      </c>
      <c r="AU170" s="138" t="s">
        <v>883</v>
      </c>
      <c r="AW170" s="136">
        <v>32.229999999999997</v>
      </c>
      <c r="AX170" s="139">
        <v>14</v>
      </c>
      <c r="AY170" s="138">
        <v>91</v>
      </c>
      <c r="BA170" s="136">
        <v>10.19</v>
      </c>
      <c r="BB170" s="139">
        <v>19</v>
      </c>
      <c r="BC170" s="138" t="s">
        <v>884</v>
      </c>
    </row>
    <row r="171" spans="5:55" x14ac:dyDescent="0.3">
      <c r="E171" s="152">
        <v>10.29</v>
      </c>
      <c r="F171" s="153">
        <v>17</v>
      </c>
      <c r="G171" s="155" t="s">
        <v>873</v>
      </c>
      <c r="I171" s="136">
        <v>33.01</v>
      </c>
      <c r="J171" s="139">
        <v>2</v>
      </c>
      <c r="K171" s="138" t="s">
        <v>883</v>
      </c>
      <c r="M171" s="136">
        <v>10.039999999999999</v>
      </c>
      <c r="N171" s="139">
        <v>2</v>
      </c>
      <c r="O171" s="138" t="s">
        <v>883</v>
      </c>
      <c r="Q171" s="136">
        <v>32.31</v>
      </c>
      <c r="R171" s="139">
        <v>15</v>
      </c>
      <c r="S171" s="138">
        <v>95</v>
      </c>
      <c r="U171" s="136">
        <v>10.1</v>
      </c>
      <c r="V171" s="139">
        <v>8</v>
      </c>
      <c r="W171" s="138">
        <v>25</v>
      </c>
      <c r="Y171" s="136">
        <v>10</v>
      </c>
      <c r="Z171" s="139">
        <v>1</v>
      </c>
      <c r="AA171" s="138" t="s">
        <v>883</v>
      </c>
      <c r="AC171" s="136">
        <v>10.17</v>
      </c>
      <c r="AD171" s="139">
        <v>11</v>
      </c>
      <c r="AE171" s="138">
        <v>63</v>
      </c>
      <c r="AG171" s="136">
        <v>10.199999999999999</v>
      </c>
      <c r="AH171" s="137">
        <v>3</v>
      </c>
      <c r="AI171" s="138">
        <v>1</v>
      </c>
      <c r="AK171" s="136">
        <v>10.210000000000001</v>
      </c>
      <c r="AL171" s="139">
        <v>11</v>
      </c>
      <c r="AM171" s="138">
        <v>63</v>
      </c>
      <c r="AO171" s="136">
        <v>32.21</v>
      </c>
      <c r="AP171" s="139">
        <v>15</v>
      </c>
      <c r="AQ171" s="138">
        <v>95</v>
      </c>
      <c r="AS171" s="136">
        <v>10.1</v>
      </c>
      <c r="AT171" s="139">
        <v>2</v>
      </c>
      <c r="AU171" s="138" t="s">
        <v>883</v>
      </c>
      <c r="AW171" s="136">
        <v>32.25</v>
      </c>
      <c r="AX171" s="139">
        <v>15</v>
      </c>
      <c r="AY171" s="138">
        <v>95</v>
      </c>
      <c r="BA171" s="136">
        <v>11</v>
      </c>
      <c r="BB171" s="139">
        <v>1</v>
      </c>
      <c r="BC171" s="138" t="s">
        <v>883</v>
      </c>
    </row>
    <row r="172" spans="5:55" x14ac:dyDescent="0.3">
      <c r="E172" s="152">
        <v>10.31</v>
      </c>
      <c r="F172" s="153">
        <v>18</v>
      </c>
      <c r="G172" s="155" t="s">
        <v>874</v>
      </c>
      <c r="I172" s="136">
        <v>33.020000000000003</v>
      </c>
      <c r="J172" s="139">
        <v>3</v>
      </c>
      <c r="K172" s="138">
        <v>1</v>
      </c>
      <c r="M172" s="136">
        <v>10.07</v>
      </c>
      <c r="N172" s="139">
        <v>3</v>
      </c>
      <c r="O172" s="138">
        <v>1</v>
      </c>
      <c r="Q172" s="136">
        <v>32.340000000000003</v>
      </c>
      <c r="R172" s="139">
        <v>16</v>
      </c>
      <c r="S172" s="138">
        <v>98</v>
      </c>
      <c r="U172" s="136">
        <v>10.11</v>
      </c>
      <c r="V172" s="139">
        <v>9</v>
      </c>
      <c r="W172" s="138">
        <v>37</v>
      </c>
      <c r="Y172" s="136">
        <v>10.09</v>
      </c>
      <c r="Z172" s="139">
        <v>2</v>
      </c>
      <c r="AA172" s="138" t="s">
        <v>883</v>
      </c>
      <c r="AC172" s="136">
        <v>10.18</v>
      </c>
      <c r="AD172" s="139">
        <v>12</v>
      </c>
      <c r="AE172" s="138">
        <v>75</v>
      </c>
      <c r="AG172" s="136">
        <v>10.220000000000001</v>
      </c>
      <c r="AH172" s="137">
        <v>4</v>
      </c>
      <c r="AI172" s="138">
        <v>2</v>
      </c>
      <c r="AK172" s="136">
        <v>10.23</v>
      </c>
      <c r="AL172" s="139">
        <v>12</v>
      </c>
      <c r="AM172" s="138">
        <v>75</v>
      </c>
      <c r="AO172" s="136">
        <v>32.22</v>
      </c>
      <c r="AP172" s="139">
        <v>16</v>
      </c>
      <c r="AQ172" s="138">
        <v>98</v>
      </c>
      <c r="AS172" s="136">
        <v>10.11</v>
      </c>
      <c r="AT172" s="139">
        <v>3</v>
      </c>
      <c r="AU172" s="138">
        <v>1</v>
      </c>
      <c r="AW172" s="136">
        <v>32.26</v>
      </c>
      <c r="AX172" s="139">
        <v>16</v>
      </c>
      <c r="AY172" s="138">
        <v>98</v>
      </c>
      <c r="BA172" s="136">
        <v>11.02</v>
      </c>
      <c r="BB172" s="139">
        <v>2</v>
      </c>
      <c r="BC172" s="138" t="s">
        <v>883</v>
      </c>
    </row>
    <row r="173" spans="5:55" ht="19.5" thickBot="1" x14ac:dyDescent="0.35">
      <c r="E173" s="157">
        <v>10.33</v>
      </c>
      <c r="F173" s="158">
        <v>19</v>
      </c>
      <c r="G173" s="159" t="s">
        <v>874</v>
      </c>
      <c r="I173" s="136">
        <v>33.03</v>
      </c>
      <c r="J173" s="139">
        <v>4</v>
      </c>
      <c r="K173" s="138">
        <v>2</v>
      </c>
      <c r="M173" s="136">
        <v>10.09</v>
      </c>
      <c r="N173" s="139">
        <v>4</v>
      </c>
      <c r="O173" s="138">
        <v>2</v>
      </c>
      <c r="Q173" s="136">
        <v>32.36</v>
      </c>
      <c r="R173" s="139">
        <v>17</v>
      </c>
      <c r="S173" s="138">
        <v>99</v>
      </c>
      <c r="U173" s="136">
        <v>10.130000000000001</v>
      </c>
      <c r="V173" s="139">
        <v>10</v>
      </c>
      <c r="W173" s="138">
        <v>50</v>
      </c>
      <c r="Y173" s="136">
        <v>10.1</v>
      </c>
      <c r="Z173" s="139">
        <v>3</v>
      </c>
      <c r="AA173" s="138">
        <v>1</v>
      </c>
      <c r="AC173" s="136">
        <v>10.199999999999999</v>
      </c>
      <c r="AD173" s="139">
        <v>13</v>
      </c>
      <c r="AE173" s="138">
        <v>85</v>
      </c>
      <c r="AG173" s="136">
        <v>10.24</v>
      </c>
      <c r="AH173" s="137">
        <v>5</v>
      </c>
      <c r="AI173" s="138">
        <v>5</v>
      </c>
      <c r="AK173" s="136">
        <v>10.24</v>
      </c>
      <c r="AL173" s="139">
        <v>13</v>
      </c>
      <c r="AM173" s="138">
        <v>85</v>
      </c>
      <c r="AO173" s="136">
        <v>32.24</v>
      </c>
      <c r="AP173" s="139">
        <v>17</v>
      </c>
      <c r="AQ173" s="138">
        <v>99</v>
      </c>
      <c r="AS173" s="136">
        <v>10.130000000000001</v>
      </c>
      <c r="AT173" s="139">
        <v>4</v>
      </c>
      <c r="AU173" s="138">
        <v>2</v>
      </c>
      <c r="AW173" s="136">
        <v>32.28</v>
      </c>
      <c r="AX173" s="139">
        <v>17</v>
      </c>
      <c r="AY173" s="138">
        <v>99</v>
      </c>
      <c r="BA173" s="136">
        <v>11.04</v>
      </c>
      <c r="BB173" s="139">
        <v>3</v>
      </c>
      <c r="BC173" s="138">
        <v>1</v>
      </c>
    </row>
    <row r="174" spans="5:55" x14ac:dyDescent="0.3">
      <c r="E174" s="149">
        <v>11</v>
      </c>
      <c r="F174" s="150">
        <v>1</v>
      </c>
      <c r="G174" s="163" t="s">
        <v>862</v>
      </c>
      <c r="I174" s="136">
        <v>33.04</v>
      </c>
      <c r="J174" s="139">
        <v>5</v>
      </c>
      <c r="K174" s="138">
        <v>5</v>
      </c>
      <c r="M174" s="136">
        <v>10.11</v>
      </c>
      <c r="N174" s="139">
        <v>5</v>
      </c>
      <c r="O174" s="138">
        <v>5</v>
      </c>
      <c r="Q174" s="136">
        <v>32.380000000000003</v>
      </c>
      <c r="R174" s="139">
        <v>18</v>
      </c>
      <c r="S174" s="138" t="s">
        <v>884</v>
      </c>
      <c r="U174" s="136">
        <v>10.14</v>
      </c>
      <c r="V174" s="139">
        <v>11</v>
      </c>
      <c r="W174" s="138">
        <v>63</v>
      </c>
      <c r="Y174" s="136">
        <v>10.11</v>
      </c>
      <c r="Z174" s="139">
        <v>4</v>
      </c>
      <c r="AA174" s="138">
        <v>2</v>
      </c>
      <c r="AC174" s="136">
        <v>10.210000000000001</v>
      </c>
      <c r="AD174" s="139">
        <v>14</v>
      </c>
      <c r="AE174" s="138">
        <v>91</v>
      </c>
      <c r="AG174" s="136">
        <v>10.26</v>
      </c>
      <c r="AH174" s="137">
        <v>6</v>
      </c>
      <c r="AI174" s="138">
        <v>9</v>
      </c>
      <c r="AK174" s="136">
        <v>10.25</v>
      </c>
      <c r="AL174" s="139">
        <v>14</v>
      </c>
      <c r="AM174" s="138">
        <v>91</v>
      </c>
      <c r="AO174" s="136">
        <v>32.25</v>
      </c>
      <c r="AP174" s="139">
        <v>18</v>
      </c>
      <c r="AQ174" s="138" t="s">
        <v>884</v>
      </c>
      <c r="AS174" s="136">
        <v>10.14</v>
      </c>
      <c r="AT174" s="139">
        <v>5</v>
      </c>
      <c r="AU174" s="138">
        <v>5</v>
      </c>
      <c r="AW174" s="136">
        <v>32.299999999999997</v>
      </c>
      <c r="AX174" s="139">
        <v>18</v>
      </c>
      <c r="AY174" s="138" t="s">
        <v>884</v>
      </c>
      <c r="BA174" s="136">
        <v>11.05</v>
      </c>
      <c r="BB174" s="139">
        <v>4</v>
      </c>
      <c r="BC174" s="138">
        <v>2</v>
      </c>
    </row>
    <row r="175" spans="5:55" x14ac:dyDescent="0.3">
      <c r="E175" s="152">
        <v>11.05</v>
      </c>
      <c r="F175" s="153">
        <v>2</v>
      </c>
      <c r="G175" s="155" t="s">
        <v>862</v>
      </c>
      <c r="I175" s="136">
        <v>33.049999999999997</v>
      </c>
      <c r="J175" s="139">
        <v>6</v>
      </c>
      <c r="K175" s="138">
        <v>9</v>
      </c>
      <c r="M175" s="136">
        <v>10.130000000000001</v>
      </c>
      <c r="N175" s="139">
        <v>6</v>
      </c>
      <c r="O175" s="138">
        <v>9</v>
      </c>
      <c r="Q175" s="136">
        <v>32.409999999999997</v>
      </c>
      <c r="R175" s="139">
        <v>19</v>
      </c>
      <c r="S175" s="138" t="s">
        <v>884</v>
      </c>
      <c r="U175" s="136">
        <v>10.16</v>
      </c>
      <c r="V175" s="139">
        <v>12</v>
      </c>
      <c r="W175" s="138">
        <v>75</v>
      </c>
      <c r="Y175" s="136">
        <v>10.119999999999999</v>
      </c>
      <c r="Z175" s="139">
        <v>5</v>
      </c>
      <c r="AA175" s="138">
        <v>5</v>
      </c>
      <c r="AC175" s="136">
        <v>10.220000000000001</v>
      </c>
      <c r="AD175" s="139">
        <v>15</v>
      </c>
      <c r="AE175" s="138">
        <v>95</v>
      </c>
      <c r="AG175" s="136">
        <v>10.28</v>
      </c>
      <c r="AH175" s="137">
        <v>7</v>
      </c>
      <c r="AI175" s="138">
        <v>16</v>
      </c>
      <c r="AK175" s="136">
        <v>10.27</v>
      </c>
      <c r="AL175" s="139">
        <v>15</v>
      </c>
      <c r="AM175" s="138">
        <v>95</v>
      </c>
      <c r="AO175" s="136">
        <v>32.26</v>
      </c>
      <c r="AP175" s="139">
        <v>19</v>
      </c>
      <c r="AQ175" s="138" t="s">
        <v>884</v>
      </c>
      <c r="AS175" s="136">
        <v>10.16</v>
      </c>
      <c r="AT175" s="139">
        <v>6</v>
      </c>
      <c r="AU175" s="138">
        <v>9</v>
      </c>
      <c r="AW175" s="136">
        <v>32.33</v>
      </c>
      <c r="AX175" s="139">
        <v>19</v>
      </c>
      <c r="AY175" s="138" t="s">
        <v>884</v>
      </c>
      <c r="BA175" s="136">
        <v>11.06</v>
      </c>
      <c r="BB175" s="139">
        <v>5</v>
      </c>
      <c r="BC175" s="138">
        <v>5</v>
      </c>
    </row>
    <row r="176" spans="5:55" x14ac:dyDescent="0.3">
      <c r="E176" s="152">
        <v>11.08</v>
      </c>
      <c r="F176" s="153">
        <v>3</v>
      </c>
      <c r="G176" s="155" t="s">
        <v>876</v>
      </c>
      <c r="I176" s="136">
        <v>33.06</v>
      </c>
      <c r="J176" s="139">
        <v>7</v>
      </c>
      <c r="K176" s="138">
        <v>16</v>
      </c>
      <c r="M176" s="136">
        <v>10.15</v>
      </c>
      <c r="N176" s="139">
        <v>7</v>
      </c>
      <c r="O176" s="138">
        <v>16</v>
      </c>
      <c r="Q176" s="136">
        <v>33</v>
      </c>
      <c r="R176" s="139">
        <v>1</v>
      </c>
      <c r="S176" s="138" t="s">
        <v>883</v>
      </c>
      <c r="U176" s="136">
        <v>10.17</v>
      </c>
      <c r="V176" s="139">
        <v>13</v>
      </c>
      <c r="W176" s="138">
        <v>85</v>
      </c>
      <c r="Y176" s="136">
        <v>10.130000000000001</v>
      </c>
      <c r="Z176" s="139">
        <v>6</v>
      </c>
      <c r="AA176" s="138">
        <v>9</v>
      </c>
      <c r="AC176" s="136">
        <v>10.24</v>
      </c>
      <c r="AD176" s="139">
        <v>16</v>
      </c>
      <c r="AE176" s="138">
        <v>98</v>
      </c>
      <c r="AG176" s="136">
        <v>10.3</v>
      </c>
      <c r="AH176" s="137">
        <v>8</v>
      </c>
      <c r="AI176" s="138">
        <v>25</v>
      </c>
      <c r="AK176" s="136">
        <v>10.28</v>
      </c>
      <c r="AL176" s="139">
        <v>16</v>
      </c>
      <c r="AM176" s="138">
        <v>98</v>
      </c>
      <c r="AO176" s="136">
        <v>33</v>
      </c>
      <c r="AP176" s="139">
        <v>1</v>
      </c>
      <c r="AQ176" s="138" t="s">
        <v>883</v>
      </c>
      <c r="AS176" s="136">
        <v>10.17</v>
      </c>
      <c r="AT176" s="139">
        <v>7</v>
      </c>
      <c r="AU176" s="138">
        <v>16</v>
      </c>
      <c r="AW176" s="136">
        <v>33</v>
      </c>
      <c r="AX176" s="139">
        <v>1</v>
      </c>
      <c r="AY176" s="138" t="s">
        <v>883</v>
      </c>
      <c r="BA176" s="136">
        <v>11.07</v>
      </c>
      <c r="BB176" s="139">
        <v>6</v>
      </c>
      <c r="BC176" s="138">
        <v>9</v>
      </c>
    </row>
    <row r="177" spans="5:55" x14ac:dyDescent="0.3">
      <c r="E177" s="152">
        <v>11.1</v>
      </c>
      <c r="F177" s="153">
        <v>4</v>
      </c>
      <c r="G177" s="155" t="s">
        <v>863</v>
      </c>
      <c r="I177" s="136">
        <v>33.07</v>
      </c>
      <c r="J177" s="139">
        <v>8</v>
      </c>
      <c r="K177" s="138">
        <v>25</v>
      </c>
      <c r="M177" s="136">
        <v>10.17</v>
      </c>
      <c r="N177" s="139">
        <v>8</v>
      </c>
      <c r="O177" s="138">
        <v>25</v>
      </c>
      <c r="Q177" s="136">
        <v>33.03</v>
      </c>
      <c r="R177" s="139">
        <v>2</v>
      </c>
      <c r="S177" s="138" t="s">
        <v>883</v>
      </c>
      <c r="U177" s="136">
        <v>10.19</v>
      </c>
      <c r="V177" s="139">
        <v>14</v>
      </c>
      <c r="W177" s="138">
        <v>91</v>
      </c>
      <c r="Y177" s="136">
        <v>10.14</v>
      </c>
      <c r="Z177" s="139">
        <v>7</v>
      </c>
      <c r="AA177" s="138">
        <v>16</v>
      </c>
      <c r="AC177" s="136">
        <v>10.25</v>
      </c>
      <c r="AD177" s="139">
        <v>17</v>
      </c>
      <c r="AE177" s="138">
        <v>99</v>
      </c>
      <c r="AG177" s="136">
        <v>10.32</v>
      </c>
      <c r="AH177" s="137">
        <v>9</v>
      </c>
      <c r="AI177" s="138">
        <v>37</v>
      </c>
      <c r="AK177" s="136">
        <v>10.3</v>
      </c>
      <c r="AL177" s="139">
        <v>17</v>
      </c>
      <c r="AM177" s="138">
        <v>99</v>
      </c>
      <c r="AO177" s="136">
        <v>33.07</v>
      </c>
      <c r="AP177" s="139">
        <v>2</v>
      </c>
      <c r="AQ177" s="138" t="s">
        <v>883</v>
      </c>
      <c r="AS177" s="136">
        <v>10.19</v>
      </c>
      <c r="AT177" s="139">
        <v>8</v>
      </c>
      <c r="AU177" s="138">
        <v>25</v>
      </c>
      <c r="AW177" s="136">
        <v>33.04</v>
      </c>
      <c r="AX177" s="139">
        <v>2</v>
      </c>
      <c r="AY177" s="138" t="s">
        <v>883</v>
      </c>
      <c r="BA177" s="136">
        <v>11.08</v>
      </c>
      <c r="BB177" s="139">
        <v>7</v>
      </c>
      <c r="BC177" s="138">
        <v>16</v>
      </c>
    </row>
    <row r="178" spans="5:55" x14ac:dyDescent="0.3">
      <c r="E178" s="152">
        <v>11.13</v>
      </c>
      <c r="F178" s="153">
        <v>5</v>
      </c>
      <c r="G178" s="155" t="s">
        <v>877</v>
      </c>
      <c r="I178" s="136">
        <v>33.090000000000003</v>
      </c>
      <c r="J178" s="139">
        <v>9</v>
      </c>
      <c r="K178" s="138">
        <v>37</v>
      </c>
      <c r="M178" s="136">
        <v>10.19</v>
      </c>
      <c r="N178" s="139">
        <v>9</v>
      </c>
      <c r="O178" s="138">
        <v>37</v>
      </c>
      <c r="Q178" s="136">
        <v>33.08</v>
      </c>
      <c r="R178" s="139">
        <v>3</v>
      </c>
      <c r="S178" s="138">
        <v>1</v>
      </c>
      <c r="U178" s="136">
        <v>10.199999999999999</v>
      </c>
      <c r="V178" s="139">
        <v>15</v>
      </c>
      <c r="W178" s="138">
        <v>95</v>
      </c>
      <c r="Y178" s="136">
        <v>10.15</v>
      </c>
      <c r="Z178" s="139">
        <v>8</v>
      </c>
      <c r="AA178" s="138">
        <v>25</v>
      </c>
      <c r="AC178" s="136">
        <v>10.27</v>
      </c>
      <c r="AD178" s="139">
        <v>18</v>
      </c>
      <c r="AE178" s="138" t="s">
        <v>884</v>
      </c>
      <c r="AG178" s="136">
        <v>10.34</v>
      </c>
      <c r="AH178" s="137">
        <v>10</v>
      </c>
      <c r="AI178" s="138">
        <v>50</v>
      </c>
      <c r="AK178" s="136">
        <v>10.31</v>
      </c>
      <c r="AL178" s="139">
        <v>18</v>
      </c>
      <c r="AM178" s="138" t="s">
        <v>884</v>
      </c>
      <c r="AO178" s="136">
        <v>33.090000000000003</v>
      </c>
      <c r="AP178" s="139">
        <v>3</v>
      </c>
      <c r="AQ178" s="138">
        <v>1</v>
      </c>
      <c r="AS178" s="136">
        <v>10.210000000000001</v>
      </c>
      <c r="AT178" s="139">
        <v>9</v>
      </c>
      <c r="AU178" s="138">
        <v>37</v>
      </c>
      <c r="AW178" s="136">
        <v>33.06</v>
      </c>
      <c r="AX178" s="139">
        <v>3</v>
      </c>
      <c r="AY178" s="138">
        <v>1</v>
      </c>
      <c r="BA178" s="136">
        <v>11.09</v>
      </c>
      <c r="BB178" s="139">
        <v>8</v>
      </c>
      <c r="BC178" s="138">
        <v>25</v>
      </c>
    </row>
    <row r="179" spans="5:55" x14ac:dyDescent="0.3">
      <c r="E179" s="152">
        <v>11.15</v>
      </c>
      <c r="F179" s="153">
        <v>6</v>
      </c>
      <c r="G179" s="155" t="s">
        <v>864</v>
      </c>
      <c r="I179" s="136">
        <v>33.11</v>
      </c>
      <c r="J179" s="139">
        <v>10</v>
      </c>
      <c r="K179" s="138">
        <v>50</v>
      </c>
      <c r="M179" s="136">
        <v>10.220000000000001</v>
      </c>
      <c r="N179" s="139">
        <v>10</v>
      </c>
      <c r="O179" s="138">
        <v>50</v>
      </c>
      <c r="Q179" s="136">
        <v>33.1</v>
      </c>
      <c r="R179" s="139">
        <v>4</v>
      </c>
      <c r="S179" s="138">
        <v>2</v>
      </c>
      <c r="U179" s="136">
        <v>10.220000000000001</v>
      </c>
      <c r="V179" s="139">
        <v>16</v>
      </c>
      <c r="W179" s="138">
        <v>98</v>
      </c>
      <c r="Y179" s="136">
        <v>10.16</v>
      </c>
      <c r="Z179" s="139">
        <v>9</v>
      </c>
      <c r="AA179" s="138">
        <v>37</v>
      </c>
      <c r="AC179" s="136">
        <v>10.28</v>
      </c>
      <c r="AD179" s="139">
        <v>19</v>
      </c>
      <c r="AE179" s="138" t="s">
        <v>884</v>
      </c>
      <c r="AG179" s="136">
        <v>10.36</v>
      </c>
      <c r="AH179" s="137">
        <v>11</v>
      </c>
      <c r="AI179" s="138">
        <v>63</v>
      </c>
      <c r="AK179" s="136">
        <v>10.32</v>
      </c>
      <c r="AL179" s="139">
        <v>19</v>
      </c>
      <c r="AM179" s="138" t="s">
        <v>884</v>
      </c>
      <c r="AO179" s="136">
        <v>33.1</v>
      </c>
      <c r="AP179" s="139">
        <v>4</v>
      </c>
      <c r="AQ179" s="138">
        <v>2</v>
      </c>
      <c r="AS179" s="136">
        <v>10.220000000000001</v>
      </c>
      <c r="AT179" s="139">
        <v>10</v>
      </c>
      <c r="AU179" s="138">
        <v>50</v>
      </c>
      <c r="AW179" s="136">
        <v>33.07</v>
      </c>
      <c r="AX179" s="139">
        <v>4</v>
      </c>
      <c r="AY179" s="138">
        <v>2</v>
      </c>
      <c r="BA179" s="136">
        <v>11.1</v>
      </c>
      <c r="BB179" s="139">
        <v>9</v>
      </c>
      <c r="BC179" s="138">
        <v>37</v>
      </c>
    </row>
    <row r="180" spans="5:55" x14ac:dyDescent="0.3">
      <c r="E180" s="152">
        <v>11.17</v>
      </c>
      <c r="F180" s="153">
        <v>7</v>
      </c>
      <c r="G180" s="155" t="s">
        <v>878</v>
      </c>
      <c r="I180" s="136">
        <v>33.119999999999997</v>
      </c>
      <c r="J180" s="139">
        <v>11</v>
      </c>
      <c r="K180" s="138">
        <v>63</v>
      </c>
      <c r="M180" s="136">
        <v>10.24</v>
      </c>
      <c r="N180" s="139">
        <v>11</v>
      </c>
      <c r="O180" s="138">
        <v>63</v>
      </c>
      <c r="Q180" s="136">
        <v>33.119999999999997</v>
      </c>
      <c r="R180" s="139">
        <v>5</v>
      </c>
      <c r="S180" s="138">
        <v>5</v>
      </c>
      <c r="U180" s="136">
        <v>10.23</v>
      </c>
      <c r="V180" s="139">
        <v>17</v>
      </c>
      <c r="W180" s="138">
        <v>99</v>
      </c>
      <c r="Y180" s="136">
        <v>10.17</v>
      </c>
      <c r="Z180" s="139">
        <v>10</v>
      </c>
      <c r="AA180" s="138">
        <v>50</v>
      </c>
      <c r="AC180" s="136">
        <v>11</v>
      </c>
      <c r="AD180" s="139">
        <v>1</v>
      </c>
      <c r="AE180" s="138" t="s">
        <v>883</v>
      </c>
      <c r="AG180" s="136">
        <v>10.38</v>
      </c>
      <c r="AH180" s="137">
        <v>12</v>
      </c>
      <c r="AI180" s="138">
        <v>75</v>
      </c>
      <c r="AK180" s="136">
        <v>11</v>
      </c>
      <c r="AL180" s="139">
        <v>1</v>
      </c>
      <c r="AM180" s="138" t="s">
        <v>883</v>
      </c>
      <c r="AO180" s="136">
        <v>33.11</v>
      </c>
      <c r="AP180" s="139">
        <v>5</v>
      </c>
      <c r="AQ180" s="138">
        <v>5</v>
      </c>
      <c r="AS180" s="136">
        <v>10.24</v>
      </c>
      <c r="AT180" s="139">
        <v>11</v>
      </c>
      <c r="AU180" s="138">
        <v>63</v>
      </c>
      <c r="AW180" s="136">
        <v>33.090000000000003</v>
      </c>
      <c r="AX180" s="139">
        <v>5</v>
      </c>
      <c r="AY180" s="138">
        <v>5</v>
      </c>
      <c r="BA180" s="136">
        <v>11.11</v>
      </c>
      <c r="BB180" s="139">
        <v>10</v>
      </c>
      <c r="BC180" s="138">
        <v>50</v>
      </c>
    </row>
    <row r="181" spans="5:55" x14ac:dyDescent="0.3">
      <c r="E181" s="152">
        <v>11.18</v>
      </c>
      <c r="F181" s="153">
        <v>8</v>
      </c>
      <c r="G181" s="155" t="s">
        <v>865</v>
      </c>
      <c r="I181" s="136">
        <v>33.14</v>
      </c>
      <c r="J181" s="139">
        <v>12</v>
      </c>
      <c r="K181" s="138">
        <v>75</v>
      </c>
      <c r="M181" s="136">
        <v>10.26</v>
      </c>
      <c r="N181" s="139">
        <v>12</v>
      </c>
      <c r="O181" s="138">
        <v>75</v>
      </c>
      <c r="Q181" s="136">
        <v>33.14</v>
      </c>
      <c r="R181" s="139">
        <v>6</v>
      </c>
      <c r="S181" s="138">
        <v>9</v>
      </c>
      <c r="U181" s="136">
        <v>10.24</v>
      </c>
      <c r="V181" s="139">
        <v>18</v>
      </c>
      <c r="W181" s="138" t="s">
        <v>884</v>
      </c>
      <c r="Y181" s="136">
        <v>10.18</v>
      </c>
      <c r="Z181" s="139">
        <v>11</v>
      </c>
      <c r="AA181" s="138">
        <v>63</v>
      </c>
      <c r="AC181" s="136">
        <v>11.04</v>
      </c>
      <c r="AD181" s="139">
        <v>2</v>
      </c>
      <c r="AE181" s="138" t="s">
        <v>883</v>
      </c>
      <c r="AG181" s="136">
        <v>10.4</v>
      </c>
      <c r="AH181" s="137">
        <v>13</v>
      </c>
      <c r="AI181" s="138">
        <v>85</v>
      </c>
      <c r="AK181" s="136">
        <v>11.09</v>
      </c>
      <c r="AL181" s="139">
        <v>2</v>
      </c>
      <c r="AM181" s="138" t="s">
        <v>883</v>
      </c>
      <c r="AO181" s="136">
        <v>33.119999999999997</v>
      </c>
      <c r="AP181" s="139">
        <v>6</v>
      </c>
      <c r="AQ181" s="138">
        <v>9</v>
      </c>
      <c r="AS181" s="136">
        <v>10.25</v>
      </c>
      <c r="AT181" s="139">
        <v>12</v>
      </c>
      <c r="AU181" s="138">
        <v>75</v>
      </c>
      <c r="AW181" s="136">
        <v>33.11</v>
      </c>
      <c r="AX181" s="139">
        <v>6</v>
      </c>
      <c r="AY181" s="138">
        <v>9</v>
      </c>
      <c r="BA181" s="136">
        <v>11.12</v>
      </c>
      <c r="BB181" s="139">
        <v>11</v>
      </c>
      <c r="BC181" s="138">
        <v>63</v>
      </c>
    </row>
    <row r="182" spans="5:55" x14ac:dyDescent="0.3">
      <c r="E182" s="152">
        <v>11.19</v>
      </c>
      <c r="F182" s="153">
        <v>9</v>
      </c>
      <c r="G182" s="155" t="s">
        <v>879</v>
      </c>
      <c r="I182" s="136">
        <v>33.15</v>
      </c>
      <c r="J182" s="139">
        <v>13</v>
      </c>
      <c r="K182" s="138">
        <v>85</v>
      </c>
      <c r="M182" s="136">
        <v>10.28</v>
      </c>
      <c r="N182" s="139">
        <v>13</v>
      </c>
      <c r="O182" s="138">
        <v>85</v>
      </c>
      <c r="Q182" s="136">
        <v>33.159999999999997</v>
      </c>
      <c r="R182" s="139">
        <v>7</v>
      </c>
      <c r="S182" s="138">
        <v>16</v>
      </c>
      <c r="U182" s="136">
        <v>10.28</v>
      </c>
      <c r="V182" s="139">
        <v>19</v>
      </c>
      <c r="W182" s="138" t="s">
        <v>884</v>
      </c>
      <c r="Y182" s="136">
        <v>10.19</v>
      </c>
      <c r="Z182" s="139">
        <v>12</v>
      </c>
      <c r="AA182" s="138">
        <v>75</v>
      </c>
      <c r="AC182" s="136">
        <v>11.07</v>
      </c>
      <c r="AD182" s="139">
        <v>3</v>
      </c>
      <c r="AE182" s="138">
        <v>1</v>
      </c>
      <c r="AG182" s="136">
        <v>10.42</v>
      </c>
      <c r="AH182" s="137">
        <v>14</v>
      </c>
      <c r="AI182" s="138">
        <v>91</v>
      </c>
      <c r="AK182" s="136">
        <v>11.11</v>
      </c>
      <c r="AL182" s="139">
        <v>3</v>
      </c>
      <c r="AM182" s="138">
        <v>1</v>
      </c>
      <c r="AO182" s="136">
        <v>33.130000000000003</v>
      </c>
      <c r="AP182" s="139">
        <v>7</v>
      </c>
      <c r="AQ182" s="138">
        <v>16</v>
      </c>
      <c r="AS182" s="136">
        <v>10.27</v>
      </c>
      <c r="AT182" s="139">
        <v>13</v>
      </c>
      <c r="AU182" s="138">
        <v>85</v>
      </c>
      <c r="AW182" s="136">
        <v>33.119999999999997</v>
      </c>
      <c r="AX182" s="139">
        <v>7</v>
      </c>
      <c r="AY182" s="138">
        <v>16</v>
      </c>
      <c r="BA182" s="136">
        <v>11.13</v>
      </c>
      <c r="BB182" s="139">
        <v>12</v>
      </c>
      <c r="BC182" s="138">
        <v>75</v>
      </c>
    </row>
    <row r="183" spans="5:55" x14ac:dyDescent="0.3">
      <c r="E183" s="152">
        <v>11.2</v>
      </c>
      <c r="F183" s="153">
        <v>10</v>
      </c>
      <c r="G183" s="155" t="s">
        <v>866</v>
      </c>
      <c r="I183" s="136">
        <v>33.17</v>
      </c>
      <c r="J183" s="139">
        <v>14</v>
      </c>
      <c r="K183" s="138">
        <v>91</v>
      </c>
      <c r="M183" s="136">
        <v>10.3</v>
      </c>
      <c r="N183" s="139">
        <v>14</v>
      </c>
      <c r="O183" s="138">
        <v>91</v>
      </c>
      <c r="Q183" s="136">
        <v>33.18</v>
      </c>
      <c r="R183" s="139">
        <v>8</v>
      </c>
      <c r="S183" s="138">
        <v>25</v>
      </c>
      <c r="U183" s="136">
        <v>11</v>
      </c>
      <c r="V183" s="139">
        <v>1</v>
      </c>
      <c r="W183" s="138" t="s">
        <v>883</v>
      </c>
      <c r="Y183" s="136">
        <v>10.199999999999999</v>
      </c>
      <c r="Z183" s="139">
        <v>13</v>
      </c>
      <c r="AA183" s="138">
        <v>85</v>
      </c>
      <c r="AC183" s="136">
        <v>11.08</v>
      </c>
      <c r="AD183" s="139">
        <v>4</v>
      </c>
      <c r="AE183" s="138">
        <v>2</v>
      </c>
      <c r="AG183" s="136">
        <v>10.44</v>
      </c>
      <c r="AH183" s="137">
        <v>15</v>
      </c>
      <c r="AI183" s="138">
        <v>95</v>
      </c>
      <c r="AK183" s="136">
        <v>11.13</v>
      </c>
      <c r="AL183" s="139">
        <v>4</v>
      </c>
      <c r="AM183" s="138">
        <v>2</v>
      </c>
      <c r="AO183" s="136">
        <v>33.14</v>
      </c>
      <c r="AP183" s="139">
        <v>8</v>
      </c>
      <c r="AQ183" s="138">
        <v>25</v>
      </c>
      <c r="AS183" s="136">
        <v>10.29</v>
      </c>
      <c r="AT183" s="139">
        <v>14</v>
      </c>
      <c r="AU183" s="138">
        <v>91</v>
      </c>
      <c r="AW183" s="136">
        <v>33.14</v>
      </c>
      <c r="AX183" s="139">
        <v>8</v>
      </c>
      <c r="AY183" s="138">
        <v>25</v>
      </c>
      <c r="BA183" s="136">
        <v>11.14</v>
      </c>
      <c r="BB183" s="139">
        <v>13</v>
      </c>
      <c r="BC183" s="138">
        <v>85</v>
      </c>
    </row>
    <row r="184" spans="5:55" x14ac:dyDescent="0.3">
      <c r="E184" s="152">
        <v>11.22</v>
      </c>
      <c r="F184" s="153">
        <v>11</v>
      </c>
      <c r="G184" s="155" t="s">
        <v>867</v>
      </c>
      <c r="I184" s="136">
        <v>33.18</v>
      </c>
      <c r="J184" s="139">
        <v>15</v>
      </c>
      <c r="K184" s="138">
        <v>95</v>
      </c>
      <c r="M184" s="136">
        <v>10.32</v>
      </c>
      <c r="N184" s="139">
        <v>15</v>
      </c>
      <c r="O184" s="138">
        <v>95</v>
      </c>
      <c r="Q184" s="136">
        <v>33.21</v>
      </c>
      <c r="R184" s="139">
        <v>9</v>
      </c>
      <c r="S184" s="138">
        <v>37</v>
      </c>
      <c r="U184" s="136">
        <v>11.01</v>
      </c>
      <c r="V184" s="139">
        <v>2</v>
      </c>
      <c r="W184" s="138" t="s">
        <v>883</v>
      </c>
      <c r="Y184" s="136">
        <v>10.210000000000001</v>
      </c>
      <c r="Z184" s="139">
        <v>14</v>
      </c>
      <c r="AA184" s="138">
        <v>91</v>
      </c>
      <c r="AC184" s="136">
        <v>11.1</v>
      </c>
      <c r="AD184" s="139">
        <v>5</v>
      </c>
      <c r="AE184" s="138">
        <v>5</v>
      </c>
      <c r="AG184" s="136">
        <v>10.46</v>
      </c>
      <c r="AH184" s="137">
        <v>16</v>
      </c>
      <c r="AI184" s="138">
        <v>98</v>
      </c>
      <c r="AK184" s="136">
        <v>11.16</v>
      </c>
      <c r="AL184" s="139">
        <v>5</v>
      </c>
      <c r="AM184" s="138">
        <v>5</v>
      </c>
      <c r="AO184" s="136">
        <v>33.15</v>
      </c>
      <c r="AP184" s="139">
        <v>9</v>
      </c>
      <c r="AQ184" s="138">
        <v>37</v>
      </c>
      <c r="AS184" s="136">
        <v>10.3</v>
      </c>
      <c r="AT184" s="139">
        <v>15</v>
      </c>
      <c r="AU184" s="138">
        <v>95</v>
      </c>
      <c r="AW184" s="136">
        <v>33.159999999999997</v>
      </c>
      <c r="AX184" s="139">
        <v>9</v>
      </c>
      <c r="AY184" s="138">
        <v>37</v>
      </c>
      <c r="BA184" s="136">
        <v>11.15</v>
      </c>
      <c r="BB184" s="139">
        <v>14</v>
      </c>
      <c r="BC184" s="138">
        <v>91</v>
      </c>
    </row>
    <row r="185" spans="5:55" x14ac:dyDescent="0.3">
      <c r="E185" s="152">
        <v>11.23</v>
      </c>
      <c r="F185" s="153">
        <v>12</v>
      </c>
      <c r="G185" s="155" t="s">
        <v>868</v>
      </c>
      <c r="I185" s="136">
        <v>33.200000000000003</v>
      </c>
      <c r="J185" s="139">
        <v>16</v>
      </c>
      <c r="K185" s="138">
        <v>98</v>
      </c>
      <c r="M185" s="136">
        <v>10.34</v>
      </c>
      <c r="N185" s="139">
        <v>16</v>
      </c>
      <c r="O185" s="138">
        <v>98</v>
      </c>
      <c r="Q185" s="136">
        <v>33.229999999999997</v>
      </c>
      <c r="R185" s="139">
        <v>10</v>
      </c>
      <c r="S185" s="138">
        <v>50</v>
      </c>
      <c r="U185" s="136">
        <v>11.02</v>
      </c>
      <c r="V185" s="139">
        <v>3</v>
      </c>
      <c r="W185" s="138">
        <v>1</v>
      </c>
      <c r="Y185" s="136">
        <v>10.220000000000001</v>
      </c>
      <c r="Z185" s="139">
        <v>15</v>
      </c>
      <c r="AA185" s="138">
        <v>95</v>
      </c>
      <c r="AC185" s="136">
        <v>11.11</v>
      </c>
      <c r="AD185" s="139">
        <v>6</v>
      </c>
      <c r="AE185" s="138">
        <v>9</v>
      </c>
      <c r="AG185" s="136">
        <v>10.48</v>
      </c>
      <c r="AH185" s="137">
        <v>17</v>
      </c>
      <c r="AI185" s="138">
        <v>99</v>
      </c>
      <c r="AK185" s="136">
        <v>11.17</v>
      </c>
      <c r="AL185" s="139">
        <v>6</v>
      </c>
      <c r="AM185" s="138">
        <v>9</v>
      </c>
      <c r="AO185" s="136">
        <v>33.159999999999997</v>
      </c>
      <c r="AP185" s="139">
        <v>10</v>
      </c>
      <c r="AQ185" s="138">
        <v>50</v>
      </c>
      <c r="AS185" s="136">
        <v>10.32</v>
      </c>
      <c r="AT185" s="139">
        <v>16</v>
      </c>
      <c r="AU185" s="138">
        <v>98</v>
      </c>
      <c r="AW185" s="136">
        <v>33.18</v>
      </c>
      <c r="AX185" s="139">
        <v>10</v>
      </c>
      <c r="AY185" s="138">
        <v>50</v>
      </c>
      <c r="BA185" s="136">
        <v>11.16</v>
      </c>
      <c r="BB185" s="139">
        <v>15</v>
      </c>
      <c r="BC185" s="138">
        <v>95</v>
      </c>
    </row>
    <row r="186" spans="5:55" x14ac:dyDescent="0.3">
      <c r="E186" s="152">
        <v>11.24</v>
      </c>
      <c r="F186" s="153">
        <v>13</v>
      </c>
      <c r="G186" s="155" t="s">
        <v>869</v>
      </c>
      <c r="I186" s="136">
        <v>33.21</v>
      </c>
      <c r="J186" s="139">
        <v>17</v>
      </c>
      <c r="K186" s="138">
        <v>99</v>
      </c>
      <c r="M186" s="136">
        <v>10.36</v>
      </c>
      <c r="N186" s="139">
        <v>17</v>
      </c>
      <c r="O186" s="138">
        <v>99</v>
      </c>
      <c r="Q186" s="136">
        <v>33.25</v>
      </c>
      <c r="R186" s="139">
        <v>11</v>
      </c>
      <c r="S186" s="138">
        <v>63</v>
      </c>
      <c r="U186" s="136">
        <v>11.04</v>
      </c>
      <c r="V186" s="139">
        <v>4</v>
      </c>
      <c r="W186" s="138">
        <v>2</v>
      </c>
      <c r="Y186" s="136">
        <v>10.23</v>
      </c>
      <c r="Z186" s="139">
        <v>16</v>
      </c>
      <c r="AA186" s="138">
        <v>98</v>
      </c>
      <c r="AC186" s="136">
        <v>11.12</v>
      </c>
      <c r="AD186" s="139">
        <v>7</v>
      </c>
      <c r="AE186" s="138">
        <v>16</v>
      </c>
      <c r="AG186" s="136">
        <v>10.5</v>
      </c>
      <c r="AH186" s="137">
        <v>18</v>
      </c>
      <c r="AI186" s="138" t="s">
        <v>884</v>
      </c>
      <c r="AK186" s="136">
        <v>11.18</v>
      </c>
      <c r="AL186" s="139">
        <v>7</v>
      </c>
      <c r="AM186" s="138">
        <v>16</v>
      </c>
      <c r="AO186" s="136">
        <v>33.17</v>
      </c>
      <c r="AP186" s="139">
        <v>11</v>
      </c>
      <c r="AQ186" s="138">
        <v>63</v>
      </c>
      <c r="AS186" s="136">
        <v>10.33</v>
      </c>
      <c r="AT186" s="139">
        <v>17</v>
      </c>
      <c r="AU186" s="138">
        <v>99</v>
      </c>
      <c r="AW186" s="136">
        <v>33.19</v>
      </c>
      <c r="AX186" s="139">
        <v>11</v>
      </c>
      <c r="AY186" s="138">
        <v>63</v>
      </c>
      <c r="BA186" s="136">
        <v>11.17</v>
      </c>
      <c r="BB186" s="139">
        <v>16</v>
      </c>
      <c r="BC186" s="138">
        <v>98</v>
      </c>
    </row>
    <row r="187" spans="5:55" x14ac:dyDescent="0.3">
      <c r="E187" s="152">
        <v>11.26</v>
      </c>
      <c r="F187" s="153">
        <v>14</v>
      </c>
      <c r="G187" s="155" t="s">
        <v>870</v>
      </c>
      <c r="I187" s="136">
        <v>33.229999999999997</v>
      </c>
      <c r="J187" s="139">
        <v>18</v>
      </c>
      <c r="K187" s="138" t="s">
        <v>884</v>
      </c>
      <c r="M187" s="136">
        <v>10.39</v>
      </c>
      <c r="N187" s="139">
        <v>18</v>
      </c>
      <c r="O187" s="138" t="s">
        <v>884</v>
      </c>
      <c r="Q187" s="136">
        <v>33.270000000000003</v>
      </c>
      <c r="R187" s="139">
        <v>12</v>
      </c>
      <c r="S187" s="138">
        <v>75</v>
      </c>
      <c r="U187" s="136">
        <v>11.06</v>
      </c>
      <c r="V187" s="139">
        <v>5</v>
      </c>
      <c r="W187" s="138">
        <v>5</v>
      </c>
      <c r="Y187" s="136">
        <v>10.24</v>
      </c>
      <c r="Z187" s="139">
        <v>17</v>
      </c>
      <c r="AA187" s="138">
        <v>99</v>
      </c>
      <c r="AC187" s="136">
        <v>11.14</v>
      </c>
      <c r="AD187" s="139">
        <v>8</v>
      </c>
      <c r="AE187" s="138">
        <v>25</v>
      </c>
      <c r="AG187" s="136">
        <v>10.55</v>
      </c>
      <c r="AH187" s="137">
        <v>19</v>
      </c>
      <c r="AI187" s="138" t="s">
        <v>884</v>
      </c>
      <c r="AK187" s="136">
        <v>11.2</v>
      </c>
      <c r="AL187" s="139">
        <v>8</v>
      </c>
      <c r="AM187" s="138">
        <v>25</v>
      </c>
      <c r="AO187" s="136">
        <v>33.18</v>
      </c>
      <c r="AP187" s="139">
        <v>12</v>
      </c>
      <c r="AQ187" s="138">
        <v>75</v>
      </c>
      <c r="AS187" s="136">
        <v>10.35</v>
      </c>
      <c r="AT187" s="139">
        <v>18</v>
      </c>
      <c r="AU187" s="138" t="s">
        <v>884</v>
      </c>
      <c r="AW187" s="136">
        <v>33.21</v>
      </c>
      <c r="AX187" s="139">
        <v>12</v>
      </c>
      <c r="AY187" s="138">
        <v>75</v>
      </c>
      <c r="BA187" s="136">
        <v>11.18</v>
      </c>
      <c r="BB187" s="139">
        <v>17</v>
      </c>
      <c r="BC187" s="138">
        <v>99</v>
      </c>
    </row>
    <row r="188" spans="5:55" x14ac:dyDescent="0.3">
      <c r="E188" s="152">
        <v>11.28</v>
      </c>
      <c r="F188" s="153">
        <v>15</v>
      </c>
      <c r="G188" s="155" t="s">
        <v>871</v>
      </c>
      <c r="I188" s="136">
        <v>33.26</v>
      </c>
      <c r="J188" s="139">
        <v>19</v>
      </c>
      <c r="K188" s="138" t="s">
        <v>884</v>
      </c>
      <c r="M188" s="136">
        <v>10.41</v>
      </c>
      <c r="N188" s="139">
        <v>19</v>
      </c>
      <c r="O188" s="138" t="s">
        <v>884</v>
      </c>
      <c r="Q188" s="136">
        <v>33.29</v>
      </c>
      <c r="R188" s="139">
        <v>13</v>
      </c>
      <c r="S188" s="138">
        <v>85</v>
      </c>
      <c r="U188" s="136">
        <v>11.07</v>
      </c>
      <c r="V188" s="139">
        <v>6</v>
      </c>
      <c r="W188" s="138">
        <v>9</v>
      </c>
      <c r="Y188" s="136">
        <v>10.25</v>
      </c>
      <c r="Z188" s="139">
        <v>18</v>
      </c>
      <c r="AA188" s="138" t="s">
        <v>884</v>
      </c>
      <c r="AC188" s="136">
        <v>11.15</v>
      </c>
      <c r="AD188" s="139">
        <v>9</v>
      </c>
      <c r="AE188" s="138">
        <v>37</v>
      </c>
      <c r="AG188" s="136">
        <v>11</v>
      </c>
      <c r="AH188" s="137">
        <v>1</v>
      </c>
      <c r="AI188" s="138" t="s">
        <v>883</v>
      </c>
      <c r="AK188" s="136">
        <v>11.21</v>
      </c>
      <c r="AL188" s="139">
        <v>9</v>
      </c>
      <c r="AM188" s="138">
        <v>37</v>
      </c>
      <c r="AO188" s="136">
        <v>33.19</v>
      </c>
      <c r="AP188" s="139">
        <v>13</v>
      </c>
      <c r="AQ188" s="138">
        <v>85</v>
      </c>
      <c r="AS188" s="136">
        <v>10.36</v>
      </c>
      <c r="AT188" s="139">
        <v>19</v>
      </c>
      <c r="AU188" s="138" t="s">
        <v>884</v>
      </c>
      <c r="AW188" s="136">
        <v>33.229999999999997</v>
      </c>
      <c r="AX188" s="139">
        <v>13</v>
      </c>
      <c r="AY188" s="138">
        <v>85</v>
      </c>
      <c r="BA188" s="136">
        <v>11.19</v>
      </c>
      <c r="BB188" s="139">
        <v>18</v>
      </c>
      <c r="BC188" s="138" t="s">
        <v>884</v>
      </c>
    </row>
    <row r="189" spans="5:55" x14ac:dyDescent="0.3">
      <c r="E189" s="152">
        <v>11.29</v>
      </c>
      <c r="F189" s="153">
        <v>16</v>
      </c>
      <c r="G189" s="155" t="s">
        <v>872</v>
      </c>
      <c r="I189" s="136">
        <v>34</v>
      </c>
      <c r="J189" s="139">
        <v>1</v>
      </c>
      <c r="K189" s="138" t="s">
        <v>883</v>
      </c>
      <c r="M189" s="136">
        <v>11</v>
      </c>
      <c r="N189" s="139">
        <v>1</v>
      </c>
      <c r="O189" s="138" t="s">
        <v>883</v>
      </c>
      <c r="Q189" s="136">
        <v>33.31</v>
      </c>
      <c r="R189" s="139">
        <v>14</v>
      </c>
      <c r="S189" s="138">
        <v>91</v>
      </c>
      <c r="U189" s="136">
        <v>11.09</v>
      </c>
      <c r="V189" s="139">
        <v>7</v>
      </c>
      <c r="W189" s="138">
        <v>16</v>
      </c>
      <c r="Y189" s="136">
        <v>10.27</v>
      </c>
      <c r="Z189" s="139">
        <v>19</v>
      </c>
      <c r="AA189" s="138" t="s">
        <v>884</v>
      </c>
      <c r="AC189" s="136">
        <v>11.17</v>
      </c>
      <c r="AD189" s="139">
        <v>10</v>
      </c>
      <c r="AE189" s="138">
        <v>50</v>
      </c>
      <c r="AG189" s="136">
        <v>11.18</v>
      </c>
      <c r="AH189" s="137">
        <v>2</v>
      </c>
      <c r="AI189" s="138" t="s">
        <v>883</v>
      </c>
      <c r="AK189" s="136">
        <v>11.22</v>
      </c>
      <c r="AL189" s="139">
        <v>10</v>
      </c>
      <c r="AM189" s="138">
        <v>50</v>
      </c>
      <c r="AO189" s="136">
        <v>33.200000000000003</v>
      </c>
      <c r="AP189" s="139">
        <v>14</v>
      </c>
      <c r="AQ189" s="138">
        <v>91</v>
      </c>
      <c r="AS189" s="136">
        <v>11</v>
      </c>
      <c r="AT189" s="139">
        <v>1</v>
      </c>
      <c r="AU189" s="138" t="s">
        <v>883</v>
      </c>
      <c r="AW189" s="136">
        <v>33.25</v>
      </c>
      <c r="AX189" s="139">
        <v>14</v>
      </c>
      <c r="AY189" s="138">
        <v>91</v>
      </c>
      <c r="BA189" s="136">
        <v>11.2</v>
      </c>
      <c r="BB189" s="139">
        <v>19</v>
      </c>
      <c r="BC189" s="138" t="s">
        <v>884</v>
      </c>
    </row>
    <row r="190" spans="5:55" x14ac:dyDescent="0.3">
      <c r="E190" s="152">
        <v>11.299999999999999</v>
      </c>
      <c r="F190" s="153">
        <v>17</v>
      </c>
      <c r="G190" s="155" t="s">
        <v>873</v>
      </c>
      <c r="H190" s="135" t="s">
        <v>4</v>
      </c>
      <c r="I190" s="136">
        <v>34.01</v>
      </c>
      <c r="J190" s="139">
        <v>2</v>
      </c>
      <c r="K190" s="138" t="s">
        <v>883</v>
      </c>
      <c r="M190" s="136">
        <v>11.04</v>
      </c>
      <c r="N190" s="139">
        <v>2</v>
      </c>
      <c r="O190" s="138" t="s">
        <v>883</v>
      </c>
      <c r="Q190" s="136">
        <v>33.33</v>
      </c>
      <c r="R190" s="139">
        <v>15</v>
      </c>
      <c r="S190" s="138">
        <v>95</v>
      </c>
      <c r="U190" s="136">
        <v>11.11</v>
      </c>
      <c r="V190" s="139">
        <v>8</v>
      </c>
      <c r="W190" s="138">
        <v>25</v>
      </c>
      <c r="Y190" s="136">
        <v>11</v>
      </c>
      <c r="Z190" s="139">
        <v>1</v>
      </c>
      <c r="AA190" s="138" t="s">
        <v>883</v>
      </c>
      <c r="AC190" s="136">
        <v>11.18</v>
      </c>
      <c r="AD190" s="139">
        <v>11</v>
      </c>
      <c r="AE190" s="138">
        <v>63</v>
      </c>
      <c r="AG190" s="136">
        <v>11.22</v>
      </c>
      <c r="AH190" s="137">
        <v>3</v>
      </c>
      <c r="AI190" s="138">
        <v>1</v>
      </c>
      <c r="AK190" s="136">
        <v>11.23</v>
      </c>
      <c r="AL190" s="139">
        <v>11</v>
      </c>
      <c r="AM190" s="138">
        <v>63</v>
      </c>
      <c r="AO190" s="136">
        <v>33.21</v>
      </c>
      <c r="AP190" s="139">
        <v>15</v>
      </c>
      <c r="AQ190" s="138">
        <v>95</v>
      </c>
      <c r="AS190" s="136">
        <v>11.1</v>
      </c>
      <c r="AT190" s="139">
        <v>2</v>
      </c>
      <c r="AU190" s="138" t="s">
        <v>883</v>
      </c>
      <c r="AW190" s="136">
        <v>33.26</v>
      </c>
      <c r="AX190" s="139">
        <v>15</v>
      </c>
      <c r="AY190" s="138">
        <v>95</v>
      </c>
      <c r="BA190" s="136">
        <v>12</v>
      </c>
      <c r="BB190" s="139">
        <v>1</v>
      </c>
      <c r="BC190" s="138" t="s">
        <v>883</v>
      </c>
    </row>
    <row r="191" spans="5:55" x14ac:dyDescent="0.3">
      <c r="E191" s="152">
        <v>11.33</v>
      </c>
      <c r="F191" s="153">
        <v>18</v>
      </c>
      <c r="G191" s="155" t="s">
        <v>874</v>
      </c>
      <c r="I191" s="136">
        <v>34.020000000000003</v>
      </c>
      <c r="J191" s="139">
        <v>3</v>
      </c>
      <c r="K191" s="138">
        <v>1</v>
      </c>
      <c r="M191" s="136">
        <v>11.08</v>
      </c>
      <c r="N191" s="139">
        <v>3</v>
      </c>
      <c r="O191" s="138">
        <v>1</v>
      </c>
      <c r="Q191" s="136">
        <v>33.35</v>
      </c>
      <c r="R191" s="139">
        <v>16</v>
      </c>
      <c r="S191" s="138">
        <v>98</v>
      </c>
      <c r="U191" s="136">
        <v>11.13</v>
      </c>
      <c r="V191" s="139">
        <v>9</v>
      </c>
      <c r="W191" s="138">
        <v>37</v>
      </c>
      <c r="Y191" s="136">
        <v>11.09</v>
      </c>
      <c r="Z191" s="139">
        <v>2</v>
      </c>
      <c r="AA191" s="138" t="s">
        <v>883</v>
      </c>
      <c r="AC191" s="136">
        <v>11.2</v>
      </c>
      <c r="AD191" s="139">
        <v>12</v>
      </c>
      <c r="AE191" s="138">
        <v>75</v>
      </c>
      <c r="AG191" s="136">
        <v>11.24</v>
      </c>
      <c r="AH191" s="137">
        <v>4</v>
      </c>
      <c r="AI191" s="138">
        <v>2</v>
      </c>
      <c r="AK191" s="136">
        <v>11.24</v>
      </c>
      <c r="AL191" s="139">
        <v>12</v>
      </c>
      <c r="AM191" s="138">
        <v>75</v>
      </c>
      <c r="AO191" s="136">
        <v>33.22</v>
      </c>
      <c r="AP191" s="139">
        <v>16</v>
      </c>
      <c r="AQ191" s="138">
        <v>98</v>
      </c>
      <c r="AS191" s="136">
        <v>11.13</v>
      </c>
      <c r="AT191" s="139">
        <v>3</v>
      </c>
      <c r="AU191" s="138">
        <v>1</v>
      </c>
      <c r="AW191" s="136">
        <v>33.28</v>
      </c>
      <c r="AX191" s="139">
        <v>16</v>
      </c>
      <c r="AY191" s="138">
        <v>98</v>
      </c>
      <c r="BA191" s="136">
        <v>12.03</v>
      </c>
      <c r="BB191" s="139">
        <v>2</v>
      </c>
      <c r="BC191" s="138" t="s">
        <v>883</v>
      </c>
    </row>
    <row r="192" spans="5:55" ht="19.5" thickBot="1" x14ac:dyDescent="0.35">
      <c r="E192" s="157">
        <v>11.34</v>
      </c>
      <c r="F192" s="158">
        <v>19</v>
      </c>
      <c r="G192" s="159" t="s">
        <v>874</v>
      </c>
      <c r="I192" s="136">
        <v>34.03</v>
      </c>
      <c r="J192" s="139">
        <v>4</v>
      </c>
      <c r="K192" s="138">
        <v>2</v>
      </c>
      <c r="M192" s="136">
        <v>11.1</v>
      </c>
      <c r="N192" s="139">
        <v>4</v>
      </c>
      <c r="O192" s="138">
        <v>2</v>
      </c>
      <c r="Q192" s="136">
        <v>33.369999999999997</v>
      </c>
      <c r="R192" s="139">
        <v>17</v>
      </c>
      <c r="S192" s="138">
        <v>99</v>
      </c>
      <c r="U192" s="136">
        <v>11.14</v>
      </c>
      <c r="V192" s="139">
        <v>10</v>
      </c>
      <c r="W192" s="138">
        <v>50</v>
      </c>
      <c r="Y192" s="136">
        <v>11.11</v>
      </c>
      <c r="Z192" s="139">
        <v>3</v>
      </c>
      <c r="AA192" s="138">
        <v>1</v>
      </c>
      <c r="AC192" s="136">
        <v>11.21</v>
      </c>
      <c r="AD192" s="139">
        <v>13</v>
      </c>
      <c r="AE192" s="138">
        <v>85</v>
      </c>
      <c r="AG192" s="136">
        <v>11.27</v>
      </c>
      <c r="AH192" s="137">
        <v>5</v>
      </c>
      <c r="AI192" s="138">
        <v>5</v>
      </c>
      <c r="AK192" s="136">
        <v>11.25</v>
      </c>
      <c r="AL192" s="139">
        <v>13</v>
      </c>
      <c r="AM192" s="138">
        <v>85</v>
      </c>
      <c r="AO192" s="136">
        <v>33.24</v>
      </c>
      <c r="AP192" s="139">
        <v>17</v>
      </c>
      <c r="AQ192" s="138">
        <v>99</v>
      </c>
      <c r="AS192" s="136">
        <v>11.14</v>
      </c>
      <c r="AT192" s="139">
        <v>4</v>
      </c>
      <c r="AU192" s="138">
        <v>2</v>
      </c>
      <c r="AW192" s="136">
        <v>33.299999999999997</v>
      </c>
      <c r="AX192" s="139">
        <v>17</v>
      </c>
      <c r="AY192" s="138">
        <v>99</v>
      </c>
      <c r="BA192" s="136">
        <v>12.04</v>
      </c>
      <c r="BB192" s="139">
        <v>3</v>
      </c>
      <c r="BC192" s="138">
        <v>1</v>
      </c>
    </row>
    <row r="193" spans="5:55" x14ac:dyDescent="0.3">
      <c r="E193" s="149">
        <v>12</v>
      </c>
      <c r="F193" s="150">
        <v>1</v>
      </c>
      <c r="G193" s="163" t="s">
        <v>862</v>
      </c>
      <c r="I193" s="136">
        <v>34.04</v>
      </c>
      <c r="J193" s="139">
        <v>5</v>
      </c>
      <c r="K193" s="138">
        <v>5</v>
      </c>
      <c r="M193" s="136">
        <v>11.13</v>
      </c>
      <c r="N193" s="139">
        <v>5</v>
      </c>
      <c r="O193" s="138">
        <v>5</v>
      </c>
      <c r="Q193" s="136">
        <v>33.39</v>
      </c>
      <c r="R193" s="139">
        <v>18</v>
      </c>
      <c r="S193" s="138" t="s">
        <v>884</v>
      </c>
      <c r="U193" s="136">
        <v>11.16</v>
      </c>
      <c r="V193" s="139">
        <v>11</v>
      </c>
      <c r="W193" s="138">
        <v>63</v>
      </c>
      <c r="Y193" s="136">
        <v>11.12</v>
      </c>
      <c r="Z193" s="139">
        <v>4</v>
      </c>
      <c r="AA193" s="138">
        <v>2</v>
      </c>
      <c r="AC193" s="136">
        <v>11.22</v>
      </c>
      <c r="AD193" s="139">
        <v>14</v>
      </c>
      <c r="AE193" s="138">
        <v>91</v>
      </c>
      <c r="AG193" s="136">
        <v>11.29</v>
      </c>
      <c r="AH193" s="137">
        <v>6</v>
      </c>
      <c r="AI193" s="138">
        <v>9</v>
      </c>
      <c r="AK193" s="136">
        <v>11.27</v>
      </c>
      <c r="AL193" s="139">
        <v>14</v>
      </c>
      <c r="AM193" s="138">
        <v>91</v>
      </c>
      <c r="AO193" s="136">
        <v>33.25</v>
      </c>
      <c r="AP193" s="139">
        <v>18</v>
      </c>
      <c r="AQ193" s="138" t="s">
        <v>884</v>
      </c>
      <c r="AS193" s="136">
        <v>11.16</v>
      </c>
      <c r="AT193" s="139">
        <v>5</v>
      </c>
      <c r="AU193" s="138">
        <v>5</v>
      </c>
      <c r="AW193" s="136">
        <v>33.32</v>
      </c>
      <c r="AX193" s="139">
        <v>18</v>
      </c>
      <c r="AY193" s="138" t="s">
        <v>884</v>
      </c>
      <c r="BA193" s="136">
        <v>12.05</v>
      </c>
      <c r="BB193" s="139">
        <v>4</v>
      </c>
      <c r="BC193" s="138">
        <v>2</v>
      </c>
    </row>
    <row r="194" spans="5:55" x14ac:dyDescent="0.3">
      <c r="E194" s="152">
        <v>12.08</v>
      </c>
      <c r="F194" s="153">
        <v>2</v>
      </c>
      <c r="G194" s="155" t="s">
        <v>862</v>
      </c>
      <c r="I194" s="136">
        <v>34.049999999999997</v>
      </c>
      <c r="J194" s="139">
        <v>6</v>
      </c>
      <c r="K194" s="138">
        <v>9</v>
      </c>
      <c r="M194" s="136">
        <v>11.15</v>
      </c>
      <c r="N194" s="139">
        <v>6</v>
      </c>
      <c r="O194" s="138">
        <v>9</v>
      </c>
      <c r="Q194" s="136">
        <v>33.42</v>
      </c>
      <c r="R194" s="139">
        <v>19</v>
      </c>
      <c r="S194" s="138" t="s">
        <v>884</v>
      </c>
      <c r="U194" s="136">
        <v>11.17</v>
      </c>
      <c r="V194" s="139">
        <v>12</v>
      </c>
      <c r="W194" s="138">
        <v>75</v>
      </c>
      <c r="Y194" s="136">
        <v>11.13</v>
      </c>
      <c r="Z194" s="139">
        <v>5</v>
      </c>
      <c r="AA194" s="138">
        <v>5</v>
      </c>
      <c r="AC194" s="136">
        <v>11.23</v>
      </c>
      <c r="AD194" s="139">
        <v>15</v>
      </c>
      <c r="AE194" s="138">
        <v>95</v>
      </c>
      <c r="AG194" s="136">
        <v>11.31</v>
      </c>
      <c r="AH194" s="137">
        <v>7</v>
      </c>
      <c r="AI194" s="138">
        <v>16</v>
      </c>
      <c r="AK194" s="136">
        <v>11.28</v>
      </c>
      <c r="AL194" s="139">
        <v>15</v>
      </c>
      <c r="AM194" s="138">
        <v>95</v>
      </c>
      <c r="AO194" s="136">
        <v>33.270000000000003</v>
      </c>
      <c r="AP194" s="139">
        <v>19</v>
      </c>
      <c r="AQ194" s="138" t="s">
        <v>884</v>
      </c>
      <c r="AS194" s="136">
        <v>11.17</v>
      </c>
      <c r="AT194" s="139">
        <v>6</v>
      </c>
      <c r="AU194" s="138">
        <v>9</v>
      </c>
      <c r="AW194" s="136">
        <v>33.36</v>
      </c>
      <c r="AX194" s="139">
        <v>19</v>
      </c>
      <c r="AY194" s="138" t="s">
        <v>884</v>
      </c>
      <c r="BA194" s="136">
        <v>12.06</v>
      </c>
      <c r="BB194" s="139">
        <v>5</v>
      </c>
      <c r="BC194" s="138">
        <v>5</v>
      </c>
    </row>
    <row r="195" spans="5:55" x14ac:dyDescent="0.3">
      <c r="E195" s="152">
        <v>12.12</v>
      </c>
      <c r="F195" s="153">
        <v>3</v>
      </c>
      <c r="G195" s="155" t="s">
        <v>876</v>
      </c>
      <c r="I195" s="136">
        <v>34.06</v>
      </c>
      <c r="J195" s="139">
        <v>7</v>
      </c>
      <c r="K195" s="138">
        <v>16</v>
      </c>
      <c r="M195" s="136">
        <v>11.17</v>
      </c>
      <c r="N195" s="139">
        <v>7</v>
      </c>
      <c r="O195" s="138">
        <v>16</v>
      </c>
      <c r="Q195" s="136">
        <v>34</v>
      </c>
      <c r="R195" s="139">
        <v>1</v>
      </c>
      <c r="S195" s="138" t="s">
        <v>883</v>
      </c>
      <c r="U195" s="136">
        <v>11.19</v>
      </c>
      <c r="V195" s="139">
        <v>13</v>
      </c>
      <c r="W195" s="138">
        <v>85</v>
      </c>
      <c r="Y195" s="136">
        <v>11.14</v>
      </c>
      <c r="Z195" s="139">
        <v>6</v>
      </c>
      <c r="AA195" s="138">
        <v>9</v>
      </c>
      <c r="AC195" s="136">
        <v>11.25</v>
      </c>
      <c r="AD195" s="139">
        <v>16</v>
      </c>
      <c r="AE195" s="138">
        <v>98</v>
      </c>
      <c r="AG195" s="136">
        <v>11.33</v>
      </c>
      <c r="AH195" s="137">
        <v>8</v>
      </c>
      <c r="AI195" s="138">
        <v>25</v>
      </c>
      <c r="AK195" s="136">
        <v>11.3</v>
      </c>
      <c r="AL195" s="139">
        <v>16</v>
      </c>
      <c r="AM195" s="138">
        <v>98</v>
      </c>
      <c r="AO195" s="136">
        <v>34</v>
      </c>
      <c r="AP195" s="139">
        <v>1</v>
      </c>
      <c r="AQ195" s="138" t="s">
        <v>883</v>
      </c>
      <c r="AS195" s="136">
        <v>11.19</v>
      </c>
      <c r="AT195" s="139">
        <v>7</v>
      </c>
      <c r="AU195" s="138">
        <v>16</v>
      </c>
      <c r="AW195" s="136">
        <v>34</v>
      </c>
      <c r="AX195" s="139">
        <v>1</v>
      </c>
      <c r="AY195" s="138" t="s">
        <v>883</v>
      </c>
      <c r="BA195" s="136">
        <v>12.07</v>
      </c>
      <c r="BB195" s="139">
        <v>6</v>
      </c>
      <c r="BC195" s="138">
        <v>9</v>
      </c>
    </row>
    <row r="196" spans="5:55" x14ac:dyDescent="0.3">
      <c r="E196" s="152">
        <v>12.14</v>
      </c>
      <c r="F196" s="153">
        <v>4</v>
      </c>
      <c r="G196" s="155" t="s">
        <v>863</v>
      </c>
      <c r="I196" s="136">
        <v>34.07</v>
      </c>
      <c r="J196" s="139">
        <v>8</v>
      </c>
      <c r="K196" s="138">
        <v>25</v>
      </c>
      <c r="M196" s="136">
        <v>11.19</v>
      </c>
      <c r="N196" s="139">
        <v>8</v>
      </c>
      <c r="O196" s="138">
        <v>25</v>
      </c>
      <c r="Q196" s="136">
        <v>34.03</v>
      </c>
      <c r="R196" s="139">
        <v>2</v>
      </c>
      <c r="S196" s="138" t="s">
        <v>883</v>
      </c>
      <c r="U196" s="136">
        <v>11.2</v>
      </c>
      <c r="V196" s="139">
        <v>14</v>
      </c>
      <c r="W196" s="138">
        <v>91</v>
      </c>
      <c r="Y196" s="136">
        <v>11.15</v>
      </c>
      <c r="Z196" s="139">
        <v>7</v>
      </c>
      <c r="AA196" s="138">
        <v>16</v>
      </c>
      <c r="AC196" s="136">
        <v>11.26</v>
      </c>
      <c r="AD196" s="139">
        <v>17</v>
      </c>
      <c r="AE196" s="138">
        <v>99</v>
      </c>
      <c r="AG196" s="136">
        <v>11.35</v>
      </c>
      <c r="AH196" s="137">
        <v>9</v>
      </c>
      <c r="AI196" s="138">
        <v>37</v>
      </c>
      <c r="AK196" s="136">
        <v>11.31</v>
      </c>
      <c r="AL196" s="139">
        <v>17</v>
      </c>
      <c r="AM196" s="138">
        <v>99</v>
      </c>
      <c r="AO196" s="136">
        <v>34.07</v>
      </c>
      <c r="AP196" s="139">
        <v>2</v>
      </c>
      <c r="AQ196" s="138" t="s">
        <v>883</v>
      </c>
      <c r="AS196" s="136">
        <v>11.21</v>
      </c>
      <c r="AT196" s="139">
        <v>8</v>
      </c>
      <c r="AU196" s="138">
        <v>25</v>
      </c>
      <c r="AW196" s="136">
        <v>34.04</v>
      </c>
      <c r="AX196" s="139">
        <v>2</v>
      </c>
      <c r="AY196" s="138" t="s">
        <v>883</v>
      </c>
      <c r="BA196" s="136">
        <v>12.08</v>
      </c>
      <c r="BB196" s="139">
        <v>7</v>
      </c>
      <c r="BC196" s="138">
        <v>16</v>
      </c>
    </row>
    <row r="197" spans="5:55" x14ac:dyDescent="0.3">
      <c r="E197" s="152">
        <v>12.16</v>
      </c>
      <c r="F197" s="153">
        <v>5</v>
      </c>
      <c r="G197" s="155" t="s">
        <v>877</v>
      </c>
      <c r="I197" s="136">
        <v>34.090000000000003</v>
      </c>
      <c r="J197" s="139">
        <v>9</v>
      </c>
      <c r="K197" s="138">
        <v>37</v>
      </c>
      <c r="M197" s="136">
        <v>11.21</v>
      </c>
      <c r="N197" s="139">
        <v>9</v>
      </c>
      <c r="O197" s="138">
        <v>37</v>
      </c>
      <c r="Q197" s="136">
        <v>34.08</v>
      </c>
      <c r="R197" s="139">
        <v>3</v>
      </c>
      <c r="S197" s="138">
        <v>1</v>
      </c>
      <c r="U197" s="136">
        <v>11.22</v>
      </c>
      <c r="V197" s="139">
        <v>15</v>
      </c>
      <c r="W197" s="138">
        <v>95</v>
      </c>
      <c r="Y197" s="136">
        <v>11.16</v>
      </c>
      <c r="Z197" s="139">
        <v>8</v>
      </c>
      <c r="AA197" s="138">
        <v>25</v>
      </c>
      <c r="AC197" s="136">
        <v>11.27</v>
      </c>
      <c r="AD197" s="139">
        <v>18</v>
      </c>
      <c r="AE197" s="138" t="s">
        <v>884</v>
      </c>
      <c r="AG197" s="136">
        <v>11.38</v>
      </c>
      <c r="AH197" s="137">
        <v>10</v>
      </c>
      <c r="AI197" s="138">
        <v>50</v>
      </c>
      <c r="AK197" s="136">
        <v>11.32</v>
      </c>
      <c r="AL197" s="139">
        <v>18</v>
      </c>
      <c r="AM197" s="138" t="s">
        <v>884</v>
      </c>
      <c r="AO197" s="136">
        <v>34.090000000000003</v>
      </c>
      <c r="AP197" s="139">
        <v>3</v>
      </c>
      <c r="AQ197" s="138">
        <v>1</v>
      </c>
      <c r="AS197" s="136">
        <v>11.22</v>
      </c>
      <c r="AT197" s="139">
        <v>9</v>
      </c>
      <c r="AU197" s="138">
        <v>37</v>
      </c>
      <c r="AW197" s="136">
        <v>34.06</v>
      </c>
      <c r="AX197" s="139">
        <v>3</v>
      </c>
      <c r="AY197" s="138">
        <v>1</v>
      </c>
      <c r="BA197" s="136">
        <v>12.09</v>
      </c>
      <c r="BB197" s="139">
        <v>8</v>
      </c>
      <c r="BC197" s="138">
        <v>25</v>
      </c>
    </row>
    <row r="198" spans="5:55" x14ac:dyDescent="0.3">
      <c r="E198" s="152">
        <v>12.17</v>
      </c>
      <c r="F198" s="153">
        <v>6</v>
      </c>
      <c r="G198" s="155" t="s">
        <v>864</v>
      </c>
      <c r="I198" s="136">
        <v>34.11</v>
      </c>
      <c r="J198" s="139">
        <v>10</v>
      </c>
      <c r="K198" s="138">
        <v>50</v>
      </c>
      <c r="M198" s="136">
        <v>11.23</v>
      </c>
      <c r="N198" s="139">
        <v>10</v>
      </c>
      <c r="O198" s="138">
        <v>50</v>
      </c>
      <c r="Q198" s="136">
        <v>34.1</v>
      </c>
      <c r="R198" s="139">
        <v>4</v>
      </c>
      <c r="S198" s="138">
        <v>2</v>
      </c>
      <c r="U198" s="136">
        <v>11.23</v>
      </c>
      <c r="V198" s="139">
        <v>16</v>
      </c>
      <c r="W198" s="138">
        <v>98</v>
      </c>
      <c r="Y198" s="136">
        <v>11.17</v>
      </c>
      <c r="Z198" s="139">
        <v>9</v>
      </c>
      <c r="AA198" s="138">
        <v>37</v>
      </c>
      <c r="AC198" s="136">
        <v>11.28</v>
      </c>
      <c r="AD198" s="139">
        <v>19</v>
      </c>
      <c r="AE198" s="138" t="s">
        <v>884</v>
      </c>
      <c r="AG198" s="136">
        <v>11.4</v>
      </c>
      <c r="AH198" s="137">
        <v>11</v>
      </c>
      <c r="AI198" s="138">
        <v>63</v>
      </c>
      <c r="AK198" s="136">
        <v>11.34</v>
      </c>
      <c r="AL198" s="139">
        <v>19</v>
      </c>
      <c r="AM198" s="138" t="s">
        <v>884</v>
      </c>
      <c r="AO198" s="136">
        <v>34.1</v>
      </c>
      <c r="AP198" s="139">
        <v>4</v>
      </c>
      <c r="AQ198" s="138">
        <v>2</v>
      </c>
      <c r="AS198" s="136">
        <v>11.24</v>
      </c>
      <c r="AT198" s="139">
        <v>10</v>
      </c>
      <c r="AU198" s="138">
        <v>50</v>
      </c>
      <c r="AW198" s="136">
        <v>34.07</v>
      </c>
      <c r="AX198" s="139">
        <v>4</v>
      </c>
      <c r="AY198" s="138">
        <v>2</v>
      </c>
      <c r="BA198" s="136">
        <v>12.1</v>
      </c>
      <c r="BB198" s="139">
        <v>9</v>
      </c>
      <c r="BC198" s="138">
        <v>37</v>
      </c>
    </row>
    <row r="199" spans="5:55" x14ac:dyDescent="0.3">
      <c r="E199" s="152">
        <v>12.18</v>
      </c>
      <c r="F199" s="153">
        <v>7</v>
      </c>
      <c r="G199" s="155" t="s">
        <v>878</v>
      </c>
      <c r="I199" s="136">
        <v>34.119999999999997</v>
      </c>
      <c r="J199" s="139">
        <v>11</v>
      </c>
      <c r="K199" s="138">
        <v>63</v>
      </c>
      <c r="M199" s="136">
        <v>11.26</v>
      </c>
      <c r="N199" s="139">
        <v>11</v>
      </c>
      <c r="O199" s="138">
        <v>63</v>
      </c>
      <c r="Q199" s="136">
        <v>34.119999999999997</v>
      </c>
      <c r="R199" s="139">
        <v>5</v>
      </c>
      <c r="S199" s="138">
        <v>5</v>
      </c>
      <c r="U199" s="136">
        <v>11.24</v>
      </c>
      <c r="V199" s="139">
        <v>17</v>
      </c>
      <c r="W199" s="138">
        <v>99</v>
      </c>
      <c r="Y199" s="136">
        <v>11.18</v>
      </c>
      <c r="Z199" s="139">
        <v>10</v>
      </c>
      <c r="AA199" s="138">
        <v>50</v>
      </c>
      <c r="AC199" s="136">
        <v>12</v>
      </c>
      <c r="AD199" s="139">
        <v>1</v>
      </c>
      <c r="AE199" s="138" t="s">
        <v>883</v>
      </c>
      <c r="AG199" s="136">
        <v>11.42</v>
      </c>
      <c r="AH199" s="137">
        <v>12</v>
      </c>
      <c r="AI199" s="138">
        <v>75</v>
      </c>
      <c r="AK199" s="136">
        <v>12</v>
      </c>
      <c r="AL199" s="139">
        <v>1</v>
      </c>
      <c r="AM199" s="138" t="s">
        <v>883</v>
      </c>
      <c r="AO199" s="136">
        <v>34.11</v>
      </c>
      <c r="AP199" s="139">
        <v>5</v>
      </c>
      <c r="AQ199" s="138">
        <v>5</v>
      </c>
      <c r="AS199" s="136">
        <v>11.25</v>
      </c>
      <c r="AT199" s="139">
        <v>11</v>
      </c>
      <c r="AU199" s="138">
        <v>63</v>
      </c>
      <c r="AW199" s="136">
        <v>34.090000000000003</v>
      </c>
      <c r="AX199" s="139">
        <v>5</v>
      </c>
      <c r="AY199" s="138">
        <v>5</v>
      </c>
      <c r="BA199" s="136">
        <v>12.11</v>
      </c>
      <c r="BB199" s="139">
        <v>10</v>
      </c>
      <c r="BC199" s="138">
        <v>50</v>
      </c>
    </row>
    <row r="200" spans="5:55" x14ac:dyDescent="0.3">
      <c r="E200" s="152">
        <v>12.2</v>
      </c>
      <c r="F200" s="153">
        <v>8</v>
      </c>
      <c r="G200" s="155" t="s">
        <v>865</v>
      </c>
      <c r="I200" s="136">
        <v>34.14</v>
      </c>
      <c r="J200" s="139">
        <v>12</v>
      </c>
      <c r="K200" s="138">
        <v>75</v>
      </c>
      <c r="M200" s="136">
        <v>11.28</v>
      </c>
      <c r="N200" s="139">
        <v>12</v>
      </c>
      <c r="O200" s="138">
        <v>75</v>
      </c>
      <c r="Q200" s="136">
        <v>34.14</v>
      </c>
      <c r="R200" s="139">
        <v>6</v>
      </c>
      <c r="S200" s="138">
        <v>9</v>
      </c>
      <c r="U200" s="136">
        <v>11.26</v>
      </c>
      <c r="V200" s="139">
        <v>18</v>
      </c>
      <c r="W200" s="138" t="s">
        <v>884</v>
      </c>
      <c r="Y200" s="136">
        <v>11.19</v>
      </c>
      <c r="Z200" s="139">
        <v>11</v>
      </c>
      <c r="AA200" s="138">
        <v>63</v>
      </c>
      <c r="AC200" s="136">
        <v>12.06</v>
      </c>
      <c r="AD200" s="139">
        <v>2</v>
      </c>
      <c r="AE200" s="138" t="s">
        <v>883</v>
      </c>
      <c r="AG200" s="136">
        <v>11.44</v>
      </c>
      <c r="AH200" s="137">
        <v>13</v>
      </c>
      <c r="AI200" s="138">
        <v>85</v>
      </c>
      <c r="AK200" s="136">
        <v>12.12</v>
      </c>
      <c r="AL200" s="139">
        <v>2</v>
      </c>
      <c r="AM200" s="138" t="s">
        <v>883</v>
      </c>
      <c r="AO200" s="136">
        <v>34.119999999999997</v>
      </c>
      <c r="AP200" s="139">
        <v>6</v>
      </c>
      <c r="AQ200" s="138">
        <v>9</v>
      </c>
      <c r="AS200" s="136">
        <v>11.27</v>
      </c>
      <c r="AT200" s="139">
        <v>12</v>
      </c>
      <c r="AU200" s="138">
        <v>75</v>
      </c>
      <c r="AW200" s="136">
        <v>34.11</v>
      </c>
      <c r="AX200" s="139">
        <v>6</v>
      </c>
      <c r="AY200" s="138">
        <v>9</v>
      </c>
      <c r="BA200" s="136">
        <v>12.12</v>
      </c>
      <c r="BB200" s="139">
        <v>11</v>
      </c>
      <c r="BC200" s="138">
        <v>63</v>
      </c>
    </row>
    <row r="201" spans="5:55" x14ac:dyDescent="0.3">
      <c r="E201" s="152">
        <v>12.209999999999999</v>
      </c>
      <c r="F201" s="153">
        <v>9</v>
      </c>
      <c r="G201" s="155" t="s">
        <v>879</v>
      </c>
      <c r="I201" s="136">
        <v>34.15</v>
      </c>
      <c r="J201" s="139">
        <v>13</v>
      </c>
      <c r="K201" s="138">
        <v>85</v>
      </c>
      <c r="M201" s="136">
        <v>11.3</v>
      </c>
      <c r="N201" s="139">
        <v>13</v>
      </c>
      <c r="O201" s="138">
        <v>85</v>
      </c>
      <c r="Q201" s="136">
        <v>34.159999999999997</v>
      </c>
      <c r="R201" s="139">
        <v>7</v>
      </c>
      <c r="S201" s="138">
        <v>16</v>
      </c>
      <c r="U201" s="136">
        <v>11.3</v>
      </c>
      <c r="V201" s="139">
        <v>19</v>
      </c>
      <c r="W201" s="138" t="s">
        <v>884</v>
      </c>
      <c r="Y201" s="136">
        <v>11.2</v>
      </c>
      <c r="Z201" s="139">
        <v>12</v>
      </c>
      <c r="AA201" s="138">
        <v>75</v>
      </c>
      <c r="AC201" s="136">
        <v>12.09</v>
      </c>
      <c r="AD201" s="139">
        <v>3</v>
      </c>
      <c r="AE201" s="138">
        <v>1</v>
      </c>
      <c r="AG201" s="136">
        <v>11.46</v>
      </c>
      <c r="AH201" s="137">
        <v>14</v>
      </c>
      <c r="AI201" s="138">
        <v>91</v>
      </c>
      <c r="AK201" s="136">
        <v>12.14</v>
      </c>
      <c r="AL201" s="139">
        <v>3</v>
      </c>
      <c r="AM201" s="138">
        <v>1</v>
      </c>
      <c r="AO201" s="136">
        <v>34.130000000000003</v>
      </c>
      <c r="AP201" s="139">
        <v>7</v>
      </c>
      <c r="AQ201" s="138">
        <v>16</v>
      </c>
      <c r="AS201" s="136">
        <v>11.28</v>
      </c>
      <c r="AT201" s="139">
        <v>13</v>
      </c>
      <c r="AU201" s="138">
        <v>85</v>
      </c>
      <c r="AW201" s="136">
        <v>34.119999999999997</v>
      </c>
      <c r="AX201" s="139">
        <v>7</v>
      </c>
      <c r="AY201" s="138">
        <v>16</v>
      </c>
      <c r="BA201" s="136">
        <v>12.13</v>
      </c>
      <c r="BB201" s="139">
        <v>12</v>
      </c>
      <c r="BC201" s="138">
        <v>75</v>
      </c>
    </row>
    <row r="202" spans="5:55" x14ac:dyDescent="0.3">
      <c r="E202" s="152">
        <v>12.219999999999999</v>
      </c>
      <c r="F202" s="153">
        <v>10</v>
      </c>
      <c r="G202" s="155" t="s">
        <v>866</v>
      </c>
      <c r="I202" s="136">
        <v>34.17</v>
      </c>
      <c r="J202" s="139">
        <v>14</v>
      </c>
      <c r="K202" s="138">
        <v>91</v>
      </c>
      <c r="M202" s="136">
        <v>11.32</v>
      </c>
      <c r="N202" s="139">
        <v>14</v>
      </c>
      <c r="O202" s="138">
        <v>91</v>
      </c>
      <c r="Q202" s="136">
        <v>34.18</v>
      </c>
      <c r="R202" s="139">
        <v>8</v>
      </c>
      <c r="S202" s="138">
        <v>25</v>
      </c>
      <c r="U202" s="136">
        <v>12</v>
      </c>
      <c r="V202" s="139">
        <v>1</v>
      </c>
      <c r="W202" s="138" t="s">
        <v>883</v>
      </c>
      <c r="Y202" s="136">
        <v>11.21</v>
      </c>
      <c r="Z202" s="139">
        <v>13</v>
      </c>
      <c r="AA202" s="138">
        <v>85</v>
      </c>
      <c r="AC202" s="136">
        <v>12.1</v>
      </c>
      <c r="AD202" s="139">
        <v>4</v>
      </c>
      <c r="AE202" s="138">
        <v>2</v>
      </c>
      <c r="AG202" s="136">
        <v>11.48</v>
      </c>
      <c r="AH202" s="137">
        <v>15</v>
      </c>
      <c r="AI202" s="138">
        <v>95</v>
      </c>
      <c r="AK202" s="136">
        <v>12.16</v>
      </c>
      <c r="AL202" s="139">
        <v>4</v>
      </c>
      <c r="AM202" s="138">
        <v>2</v>
      </c>
      <c r="AO202" s="136">
        <v>34.14</v>
      </c>
      <c r="AP202" s="139">
        <v>8</v>
      </c>
      <c r="AQ202" s="138">
        <v>25</v>
      </c>
      <c r="AS202" s="136">
        <v>11.3</v>
      </c>
      <c r="AT202" s="139">
        <v>14</v>
      </c>
      <c r="AU202" s="138">
        <v>91</v>
      </c>
      <c r="AW202" s="136">
        <v>34.14</v>
      </c>
      <c r="AX202" s="139">
        <v>8</v>
      </c>
      <c r="AY202" s="138">
        <v>25</v>
      </c>
      <c r="BA202" s="136">
        <v>12.14</v>
      </c>
      <c r="BB202" s="139">
        <v>13</v>
      </c>
      <c r="BC202" s="138">
        <v>85</v>
      </c>
    </row>
    <row r="203" spans="5:55" x14ac:dyDescent="0.3">
      <c r="E203" s="152">
        <v>12.24</v>
      </c>
      <c r="F203" s="153">
        <v>11</v>
      </c>
      <c r="G203" s="155" t="s">
        <v>881</v>
      </c>
      <c r="I203" s="136">
        <v>34.18</v>
      </c>
      <c r="J203" s="139">
        <v>15</v>
      </c>
      <c r="K203" s="138">
        <v>95</v>
      </c>
      <c r="M203" s="136">
        <v>11.34</v>
      </c>
      <c r="N203" s="139">
        <v>15</v>
      </c>
      <c r="O203" s="138">
        <v>95</v>
      </c>
      <c r="Q203" s="136">
        <v>34.21</v>
      </c>
      <c r="R203" s="139">
        <v>9</v>
      </c>
      <c r="S203" s="138">
        <v>37</v>
      </c>
      <c r="U203" s="136">
        <v>12.02</v>
      </c>
      <c r="V203" s="139">
        <v>2</v>
      </c>
      <c r="W203" s="138" t="s">
        <v>883</v>
      </c>
      <c r="Y203" s="136">
        <v>11.23</v>
      </c>
      <c r="Z203" s="139">
        <v>14</v>
      </c>
      <c r="AA203" s="138">
        <v>91</v>
      </c>
      <c r="AC203" s="136">
        <v>12.11</v>
      </c>
      <c r="AD203" s="139">
        <v>5</v>
      </c>
      <c r="AE203" s="138">
        <v>5</v>
      </c>
      <c r="AG203" s="136">
        <v>11.5</v>
      </c>
      <c r="AH203" s="137">
        <v>16</v>
      </c>
      <c r="AI203" s="138">
        <v>98</v>
      </c>
      <c r="AK203" s="136">
        <v>12.18</v>
      </c>
      <c r="AL203" s="139">
        <v>5</v>
      </c>
      <c r="AM203" s="138">
        <v>5</v>
      </c>
      <c r="AO203" s="136">
        <v>34.15</v>
      </c>
      <c r="AP203" s="139">
        <v>9</v>
      </c>
      <c r="AQ203" s="138">
        <v>37</v>
      </c>
      <c r="AS203" s="136">
        <v>11.31</v>
      </c>
      <c r="AT203" s="139">
        <v>15</v>
      </c>
      <c r="AU203" s="138">
        <v>95</v>
      </c>
      <c r="AW203" s="136">
        <v>34.159999999999997</v>
      </c>
      <c r="AX203" s="139">
        <v>9</v>
      </c>
      <c r="AY203" s="138">
        <v>37</v>
      </c>
      <c r="BA203" s="136">
        <v>12.15</v>
      </c>
      <c r="BB203" s="139">
        <v>14</v>
      </c>
      <c r="BC203" s="138">
        <v>91</v>
      </c>
    </row>
    <row r="204" spans="5:55" x14ac:dyDescent="0.3">
      <c r="E204" s="152">
        <v>12.26</v>
      </c>
      <c r="F204" s="153">
        <v>12</v>
      </c>
      <c r="G204" s="155" t="s">
        <v>868</v>
      </c>
      <c r="I204" s="136">
        <v>34.200000000000003</v>
      </c>
      <c r="J204" s="139">
        <v>16</v>
      </c>
      <c r="K204" s="138">
        <v>98</v>
      </c>
      <c r="M204" s="136">
        <v>11.36</v>
      </c>
      <c r="N204" s="139">
        <v>16</v>
      </c>
      <c r="O204" s="138">
        <v>98</v>
      </c>
      <c r="Q204" s="136">
        <v>34.229999999999997</v>
      </c>
      <c r="R204" s="139">
        <v>10</v>
      </c>
      <c r="S204" s="138">
        <v>50</v>
      </c>
      <c r="U204" s="136">
        <v>12.04</v>
      </c>
      <c r="V204" s="139">
        <v>3</v>
      </c>
      <c r="W204" s="138">
        <v>1</v>
      </c>
      <c r="Y204" s="136">
        <v>11.24</v>
      </c>
      <c r="Z204" s="139">
        <v>15</v>
      </c>
      <c r="AA204" s="138">
        <v>95</v>
      </c>
      <c r="AC204" s="136">
        <v>12.13</v>
      </c>
      <c r="AD204" s="139">
        <v>6</v>
      </c>
      <c r="AE204" s="138">
        <v>9</v>
      </c>
      <c r="AG204" s="136">
        <v>11.52</v>
      </c>
      <c r="AH204" s="137">
        <v>17</v>
      </c>
      <c r="AI204" s="138">
        <v>99</v>
      </c>
      <c r="AK204" s="136">
        <v>12.19</v>
      </c>
      <c r="AL204" s="139">
        <v>6</v>
      </c>
      <c r="AM204" s="138">
        <v>9</v>
      </c>
      <c r="AO204" s="136">
        <v>34.159999999999997</v>
      </c>
      <c r="AP204" s="139">
        <v>10</v>
      </c>
      <c r="AQ204" s="138">
        <v>50</v>
      </c>
      <c r="AS204" s="136">
        <v>11.33</v>
      </c>
      <c r="AT204" s="139">
        <v>16</v>
      </c>
      <c r="AU204" s="138">
        <v>98</v>
      </c>
      <c r="AW204" s="136">
        <v>34.18</v>
      </c>
      <c r="AX204" s="139">
        <v>10</v>
      </c>
      <c r="AY204" s="138">
        <v>50</v>
      </c>
      <c r="BA204" s="136">
        <v>12.16</v>
      </c>
      <c r="BB204" s="139">
        <v>15</v>
      </c>
      <c r="BC204" s="138">
        <v>95</v>
      </c>
    </row>
    <row r="205" spans="5:55" x14ac:dyDescent="0.3">
      <c r="E205" s="152">
        <v>12.27</v>
      </c>
      <c r="F205" s="153">
        <v>13</v>
      </c>
      <c r="G205" s="155" t="s">
        <v>869</v>
      </c>
      <c r="I205" s="136">
        <v>34.21</v>
      </c>
      <c r="J205" s="139">
        <v>17</v>
      </c>
      <c r="K205" s="138">
        <v>99</v>
      </c>
      <c r="M205" s="136">
        <v>11.39</v>
      </c>
      <c r="N205" s="139">
        <v>17</v>
      </c>
      <c r="O205" s="138">
        <v>99</v>
      </c>
      <c r="Q205" s="136">
        <v>34.25</v>
      </c>
      <c r="R205" s="139">
        <v>11</v>
      </c>
      <c r="S205" s="138">
        <v>63</v>
      </c>
      <c r="U205" s="136">
        <v>12.05</v>
      </c>
      <c r="V205" s="139">
        <v>4</v>
      </c>
      <c r="W205" s="138">
        <v>2</v>
      </c>
      <c r="Y205" s="136">
        <v>11.25</v>
      </c>
      <c r="Z205" s="139">
        <v>16</v>
      </c>
      <c r="AA205" s="138">
        <v>98</v>
      </c>
      <c r="AC205" s="136">
        <v>12.14</v>
      </c>
      <c r="AD205" s="139">
        <v>7</v>
      </c>
      <c r="AE205" s="138">
        <v>16</v>
      </c>
      <c r="AG205" s="136">
        <v>11.54</v>
      </c>
      <c r="AH205" s="137">
        <v>18</v>
      </c>
      <c r="AI205" s="138" t="s">
        <v>884</v>
      </c>
      <c r="AK205" s="136">
        <v>12.2</v>
      </c>
      <c r="AL205" s="139">
        <v>7</v>
      </c>
      <c r="AM205" s="138">
        <v>16</v>
      </c>
      <c r="AO205" s="136">
        <v>34.17</v>
      </c>
      <c r="AP205" s="139">
        <v>11</v>
      </c>
      <c r="AQ205" s="138">
        <v>63</v>
      </c>
      <c r="AS205" s="136">
        <v>11.34</v>
      </c>
      <c r="AT205" s="139">
        <v>17</v>
      </c>
      <c r="AU205" s="138">
        <v>99</v>
      </c>
      <c r="AW205" s="136">
        <v>34.19</v>
      </c>
      <c r="AX205" s="139">
        <v>11</v>
      </c>
      <c r="AY205" s="138">
        <v>63</v>
      </c>
      <c r="BA205" s="136">
        <v>12.17</v>
      </c>
      <c r="BB205" s="139">
        <v>16</v>
      </c>
      <c r="BC205" s="138">
        <v>98</v>
      </c>
    </row>
    <row r="206" spans="5:55" x14ac:dyDescent="0.3">
      <c r="E206" s="152">
        <v>12.28</v>
      </c>
      <c r="F206" s="153">
        <v>14</v>
      </c>
      <c r="G206" s="155" t="s">
        <v>870</v>
      </c>
      <c r="I206" s="136">
        <v>34.229999999999997</v>
      </c>
      <c r="J206" s="139">
        <v>18</v>
      </c>
      <c r="K206" s="138" t="s">
        <v>884</v>
      </c>
      <c r="M206" s="136">
        <v>11.41</v>
      </c>
      <c r="N206" s="139">
        <v>18</v>
      </c>
      <c r="O206" s="138" t="s">
        <v>884</v>
      </c>
      <c r="Q206" s="136">
        <v>34.270000000000003</v>
      </c>
      <c r="R206" s="139">
        <v>12</v>
      </c>
      <c r="S206" s="138">
        <v>75</v>
      </c>
      <c r="U206" s="136">
        <v>12.07</v>
      </c>
      <c r="V206" s="139">
        <v>5</v>
      </c>
      <c r="W206" s="138">
        <v>5</v>
      </c>
      <c r="Y206" s="136">
        <v>11.26</v>
      </c>
      <c r="Z206" s="139">
        <v>17</v>
      </c>
      <c r="AA206" s="138">
        <v>99</v>
      </c>
      <c r="AC206" s="136">
        <v>12.15</v>
      </c>
      <c r="AD206" s="139">
        <v>8</v>
      </c>
      <c r="AE206" s="138">
        <v>25</v>
      </c>
      <c r="AG206" s="136">
        <v>11.58</v>
      </c>
      <c r="AH206" s="137">
        <v>19</v>
      </c>
      <c r="AI206" s="138" t="s">
        <v>884</v>
      </c>
      <c r="AK206" s="136">
        <v>12.21</v>
      </c>
      <c r="AL206" s="139">
        <v>8</v>
      </c>
      <c r="AM206" s="138">
        <v>25</v>
      </c>
      <c r="AO206" s="136">
        <v>34.18</v>
      </c>
      <c r="AP206" s="139">
        <v>12</v>
      </c>
      <c r="AQ206" s="138">
        <v>75</v>
      </c>
      <c r="AS206" s="136">
        <v>11.36</v>
      </c>
      <c r="AT206" s="139">
        <v>18</v>
      </c>
      <c r="AU206" s="138" t="s">
        <v>884</v>
      </c>
      <c r="AW206" s="136">
        <v>34.21</v>
      </c>
      <c r="AX206" s="139">
        <v>12</v>
      </c>
      <c r="AY206" s="138">
        <v>75</v>
      </c>
      <c r="BA206" s="136">
        <v>12.18</v>
      </c>
      <c r="BB206" s="139">
        <v>17</v>
      </c>
      <c r="BC206" s="138">
        <v>99</v>
      </c>
    </row>
    <row r="207" spans="5:55" x14ac:dyDescent="0.3">
      <c r="E207" s="152">
        <v>12.29</v>
      </c>
      <c r="F207" s="153">
        <v>15</v>
      </c>
      <c r="G207" s="155" t="s">
        <v>871</v>
      </c>
      <c r="I207" s="136">
        <v>34.26</v>
      </c>
      <c r="J207" s="139">
        <v>19</v>
      </c>
      <c r="K207" s="138" t="s">
        <v>884</v>
      </c>
      <c r="M207" s="136">
        <v>11.43</v>
      </c>
      <c r="N207" s="139">
        <v>19</v>
      </c>
      <c r="O207" s="138" t="s">
        <v>884</v>
      </c>
      <c r="Q207" s="136">
        <v>34.29</v>
      </c>
      <c r="R207" s="139">
        <v>13</v>
      </c>
      <c r="S207" s="138">
        <v>85</v>
      </c>
      <c r="U207" s="136">
        <v>12.08</v>
      </c>
      <c r="V207" s="139">
        <v>6</v>
      </c>
      <c r="W207" s="138">
        <v>9</v>
      </c>
      <c r="Y207" s="136">
        <v>11.27</v>
      </c>
      <c r="Z207" s="139">
        <v>18</v>
      </c>
      <c r="AA207" s="138" t="s">
        <v>884</v>
      </c>
      <c r="AC207" s="136">
        <v>12.16</v>
      </c>
      <c r="AD207" s="139">
        <v>9</v>
      </c>
      <c r="AE207" s="138">
        <v>37</v>
      </c>
      <c r="AG207" s="136">
        <v>12</v>
      </c>
      <c r="AH207" s="137">
        <v>1</v>
      </c>
      <c r="AI207" s="138" t="s">
        <v>883</v>
      </c>
      <c r="AK207" s="136">
        <v>12.23</v>
      </c>
      <c r="AL207" s="139">
        <v>9</v>
      </c>
      <c r="AM207" s="138">
        <v>37</v>
      </c>
      <c r="AO207" s="136">
        <v>34.19</v>
      </c>
      <c r="AP207" s="139">
        <v>13</v>
      </c>
      <c r="AQ207" s="138">
        <v>85</v>
      </c>
      <c r="AS207" s="136">
        <v>11.37</v>
      </c>
      <c r="AT207" s="139">
        <v>19</v>
      </c>
      <c r="AU207" s="138" t="s">
        <v>884</v>
      </c>
      <c r="AW207" s="136">
        <v>34.229999999999997</v>
      </c>
      <c r="AX207" s="139">
        <v>13</v>
      </c>
      <c r="AY207" s="138">
        <v>85</v>
      </c>
      <c r="BA207" s="136">
        <v>12.19</v>
      </c>
      <c r="BB207" s="139">
        <v>18</v>
      </c>
      <c r="BC207" s="138" t="s">
        <v>884</v>
      </c>
    </row>
    <row r="208" spans="5:55" x14ac:dyDescent="0.3">
      <c r="E208" s="152">
        <v>12.31</v>
      </c>
      <c r="F208" s="153">
        <v>16</v>
      </c>
      <c r="G208" s="155" t="s">
        <v>872</v>
      </c>
      <c r="I208" s="136">
        <v>35</v>
      </c>
      <c r="J208" s="139">
        <v>1</v>
      </c>
      <c r="K208" s="138" t="s">
        <v>883</v>
      </c>
      <c r="M208" s="136">
        <v>12</v>
      </c>
      <c r="N208" s="139">
        <v>1</v>
      </c>
      <c r="O208" s="138" t="s">
        <v>883</v>
      </c>
      <c r="Q208" s="136">
        <v>34.31</v>
      </c>
      <c r="R208" s="139">
        <v>14</v>
      </c>
      <c r="S208" s="138">
        <v>91</v>
      </c>
      <c r="U208" s="136">
        <v>12.1</v>
      </c>
      <c r="V208" s="139">
        <v>7</v>
      </c>
      <c r="W208" s="138">
        <v>16</v>
      </c>
      <c r="Y208" s="136">
        <v>11.29</v>
      </c>
      <c r="Z208" s="139">
        <v>19</v>
      </c>
      <c r="AA208" s="138" t="s">
        <v>884</v>
      </c>
      <c r="AC208" s="136">
        <v>12.17</v>
      </c>
      <c r="AD208" s="139">
        <v>10</v>
      </c>
      <c r="AE208" s="138">
        <v>50</v>
      </c>
      <c r="AG208" s="136">
        <v>12.2</v>
      </c>
      <c r="AH208" s="137">
        <v>2</v>
      </c>
      <c r="AI208" s="138" t="s">
        <v>883</v>
      </c>
      <c r="AK208" s="136">
        <v>12.24</v>
      </c>
      <c r="AL208" s="139">
        <v>10</v>
      </c>
      <c r="AM208" s="138">
        <v>50</v>
      </c>
      <c r="AO208" s="136">
        <v>34.200000000000003</v>
      </c>
      <c r="AP208" s="139">
        <v>14</v>
      </c>
      <c r="AQ208" s="138">
        <v>91</v>
      </c>
      <c r="AS208" s="136">
        <v>12</v>
      </c>
      <c r="AT208" s="139">
        <v>1</v>
      </c>
      <c r="AU208" s="138" t="s">
        <v>883</v>
      </c>
      <c r="AW208" s="136">
        <v>34.25</v>
      </c>
      <c r="AX208" s="139">
        <v>14</v>
      </c>
      <c r="AY208" s="138">
        <v>91</v>
      </c>
      <c r="BA208" s="136">
        <v>12.21</v>
      </c>
      <c r="BB208" s="139">
        <v>19</v>
      </c>
      <c r="BC208" s="138" t="s">
        <v>884</v>
      </c>
    </row>
    <row r="209" spans="5:55" x14ac:dyDescent="0.3">
      <c r="E209" s="152">
        <v>12.32</v>
      </c>
      <c r="F209" s="153">
        <v>17</v>
      </c>
      <c r="G209" s="155" t="s">
        <v>873</v>
      </c>
      <c r="I209" s="136">
        <v>35.01</v>
      </c>
      <c r="J209" s="139">
        <v>2</v>
      </c>
      <c r="K209" s="138" t="s">
        <v>883</v>
      </c>
      <c r="M209" s="136">
        <v>12.07</v>
      </c>
      <c r="N209" s="139">
        <v>2</v>
      </c>
      <c r="O209" s="138" t="s">
        <v>883</v>
      </c>
      <c r="Q209" s="136">
        <v>34.33</v>
      </c>
      <c r="R209" s="139">
        <v>15</v>
      </c>
      <c r="S209" s="138">
        <v>95</v>
      </c>
      <c r="U209" s="136">
        <v>12.11</v>
      </c>
      <c r="V209" s="139">
        <v>8</v>
      </c>
      <c r="W209" s="138">
        <v>25</v>
      </c>
      <c r="Y209" s="136">
        <v>12</v>
      </c>
      <c r="Z209" s="139">
        <v>1</v>
      </c>
      <c r="AA209" s="138" t="s">
        <v>883</v>
      </c>
      <c r="AC209" s="136">
        <v>12.19</v>
      </c>
      <c r="AD209" s="139">
        <v>11</v>
      </c>
      <c r="AE209" s="138">
        <v>63</v>
      </c>
      <c r="AG209" s="136">
        <v>12.26</v>
      </c>
      <c r="AH209" s="137">
        <v>3</v>
      </c>
      <c r="AI209" s="138">
        <v>1</v>
      </c>
      <c r="AK209" s="136">
        <v>12.25</v>
      </c>
      <c r="AL209" s="139">
        <v>11</v>
      </c>
      <c r="AM209" s="138">
        <v>63</v>
      </c>
      <c r="AO209" s="136">
        <v>34.21</v>
      </c>
      <c r="AP209" s="139">
        <v>15</v>
      </c>
      <c r="AQ209" s="138">
        <v>95</v>
      </c>
      <c r="AS209" s="136">
        <v>12.11</v>
      </c>
      <c r="AT209" s="139">
        <v>2</v>
      </c>
      <c r="AU209" s="138" t="s">
        <v>883</v>
      </c>
      <c r="AW209" s="136">
        <v>34.26</v>
      </c>
      <c r="AX209" s="139">
        <v>15</v>
      </c>
      <c r="AY209" s="138">
        <v>95</v>
      </c>
      <c r="BA209" s="136">
        <v>13</v>
      </c>
      <c r="BB209" s="139">
        <v>1</v>
      </c>
      <c r="BC209" s="138" t="s">
        <v>883</v>
      </c>
    </row>
    <row r="210" spans="5:55" x14ac:dyDescent="0.3">
      <c r="E210" s="152">
        <v>12.33</v>
      </c>
      <c r="F210" s="153">
        <v>18</v>
      </c>
      <c r="G210" s="155" t="s">
        <v>874</v>
      </c>
      <c r="I210" s="136">
        <v>35.020000000000003</v>
      </c>
      <c r="J210" s="139">
        <v>3</v>
      </c>
      <c r="K210" s="138">
        <v>1</v>
      </c>
      <c r="M210" s="136">
        <v>12.09</v>
      </c>
      <c r="N210" s="139">
        <v>3</v>
      </c>
      <c r="O210" s="138">
        <v>1</v>
      </c>
      <c r="Q210" s="136">
        <v>34.35</v>
      </c>
      <c r="R210" s="139">
        <v>16</v>
      </c>
      <c r="S210" s="138">
        <v>98</v>
      </c>
      <c r="U210" s="136">
        <v>12.13</v>
      </c>
      <c r="V210" s="139">
        <v>9</v>
      </c>
      <c r="W210" s="138">
        <v>37</v>
      </c>
      <c r="Y210" s="136">
        <v>12.1</v>
      </c>
      <c r="Z210" s="139">
        <v>2</v>
      </c>
      <c r="AA210" s="138" t="s">
        <v>883</v>
      </c>
      <c r="AC210" s="136">
        <v>12.2</v>
      </c>
      <c r="AD210" s="139">
        <v>12</v>
      </c>
      <c r="AE210" s="138">
        <v>75</v>
      </c>
      <c r="AG210" s="136">
        <v>12.28</v>
      </c>
      <c r="AH210" s="137">
        <v>4</v>
      </c>
      <c r="AI210" s="138">
        <v>2</v>
      </c>
      <c r="AK210" s="136">
        <v>12.26</v>
      </c>
      <c r="AL210" s="139">
        <v>12</v>
      </c>
      <c r="AM210" s="138">
        <v>75</v>
      </c>
      <c r="AO210" s="136">
        <v>34.22</v>
      </c>
      <c r="AP210" s="139">
        <v>16</v>
      </c>
      <c r="AQ210" s="138">
        <v>98</v>
      </c>
      <c r="AS210" s="136">
        <v>12.13</v>
      </c>
      <c r="AT210" s="139">
        <v>3</v>
      </c>
      <c r="AU210" s="138">
        <v>1</v>
      </c>
      <c r="AW210" s="136">
        <v>34.28</v>
      </c>
      <c r="AX210" s="139">
        <v>16</v>
      </c>
      <c r="AY210" s="138">
        <v>98</v>
      </c>
      <c r="BA210" s="136">
        <v>13.04</v>
      </c>
      <c r="BB210" s="139">
        <v>2</v>
      </c>
      <c r="BC210" s="138" t="s">
        <v>883</v>
      </c>
    </row>
    <row r="211" spans="5:55" ht="19.5" thickBot="1" x14ac:dyDescent="0.35">
      <c r="E211" s="157">
        <v>12.36</v>
      </c>
      <c r="F211" s="158">
        <v>19</v>
      </c>
      <c r="G211" s="159" t="s">
        <v>874</v>
      </c>
      <c r="I211" s="136">
        <v>35.03</v>
      </c>
      <c r="J211" s="139">
        <v>4</v>
      </c>
      <c r="K211" s="138">
        <v>2</v>
      </c>
      <c r="M211" s="136">
        <v>12.11</v>
      </c>
      <c r="N211" s="139">
        <v>4</v>
      </c>
      <c r="O211" s="138">
        <v>2</v>
      </c>
      <c r="Q211" s="136">
        <v>34.369999999999997</v>
      </c>
      <c r="R211" s="139">
        <v>17</v>
      </c>
      <c r="S211" s="138">
        <v>99</v>
      </c>
      <c r="U211" s="136">
        <v>12.14</v>
      </c>
      <c r="V211" s="139">
        <v>10</v>
      </c>
      <c r="W211" s="138">
        <v>50</v>
      </c>
      <c r="Y211" s="136">
        <v>12.13</v>
      </c>
      <c r="Z211" s="139">
        <v>3</v>
      </c>
      <c r="AA211" s="138">
        <v>1</v>
      </c>
      <c r="AC211" s="136">
        <v>12.21</v>
      </c>
      <c r="AD211" s="139">
        <v>13</v>
      </c>
      <c r="AE211" s="138">
        <v>85</v>
      </c>
      <c r="AG211" s="136">
        <v>12.3</v>
      </c>
      <c r="AH211" s="137">
        <v>5</v>
      </c>
      <c r="AI211" s="138">
        <v>5</v>
      </c>
      <c r="AK211" s="136">
        <v>12.27</v>
      </c>
      <c r="AL211" s="139">
        <v>13</v>
      </c>
      <c r="AM211" s="138">
        <v>85</v>
      </c>
      <c r="AO211" s="136">
        <v>34.24</v>
      </c>
      <c r="AP211" s="139">
        <v>17</v>
      </c>
      <c r="AQ211" s="138">
        <v>99</v>
      </c>
      <c r="AS211" s="136">
        <v>12.15</v>
      </c>
      <c r="AT211" s="139">
        <v>4</v>
      </c>
      <c r="AU211" s="138">
        <v>2</v>
      </c>
      <c r="AW211" s="136">
        <v>34.299999999999997</v>
      </c>
      <c r="AX211" s="139">
        <v>17</v>
      </c>
      <c r="AY211" s="138">
        <v>99</v>
      </c>
      <c r="BA211" s="136">
        <v>13.05</v>
      </c>
      <c r="BB211" s="139">
        <v>3</v>
      </c>
      <c r="BC211" s="138">
        <v>1</v>
      </c>
    </row>
    <row r="212" spans="5:55" x14ac:dyDescent="0.3">
      <c r="E212" s="149">
        <v>13</v>
      </c>
      <c r="F212" s="150">
        <v>1</v>
      </c>
      <c r="G212" s="163" t="s">
        <v>862</v>
      </c>
      <c r="I212" s="136">
        <v>35.04</v>
      </c>
      <c r="J212" s="139">
        <v>5</v>
      </c>
      <c r="K212" s="138">
        <v>5</v>
      </c>
      <c r="M212" s="136">
        <v>12.13</v>
      </c>
      <c r="N212" s="139">
        <v>5</v>
      </c>
      <c r="O212" s="138">
        <v>5</v>
      </c>
      <c r="Q212" s="136">
        <v>34.39</v>
      </c>
      <c r="R212" s="139">
        <v>18</v>
      </c>
      <c r="S212" s="138" t="s">
        <v>884</v>
      </c>
      <c r="U212" s="136">
        <v>12.16</v>
      </c>
      <c r="V212" s="139">
        <v>11</v>
      </c>
      <c r="W212" s="138">
        <v>63</v>
      </c>
      <c r="Y212" s="136">
        <v>12.14</v>
      </c>
      <c r="Z212" s="139">
        <v>4</v>
      </c>
      <c r="AA212" s="138">
        <v>2</v>
      </c>
      <c r="AC212" s="136">
        <v>12.22</v>
      </c>
      <c r="AD212" s="139">
        <v>14</v>
      </c>
      <c r="AE212" s="138">
        <v>91</v>
      </c>
      <c r="AG212" s="136">
        <v>12.32</v>
      </c>
      <c r="AH212" s="137">
        <v>6</v>
      </c>
      <c r="AI212" s="138">
        <v>9</v>
      </c>
      <c r="AK212" s="136">
        <v>12.28</v>
      </c>
      <c r="AL212" s="139">
        <v>14</v>
      </c>
      <c r="AM212" s="138">
        <v>91</v>
      </c>
      <c r="AO212" s="136">
        <v>34.25</v>
      </c>
      <c r="AP212" s="139">
        <v>18</v>
      </c>
      <c r="AQ212" s="138" t="s">
        <v>884</v>
      </c>
      <c r="AS212" s="136">
        <v>12.16</v>
      </c>
      <c r="AT212" s="139">
        <v>5</v>
      </c>
      <c r="AU212" s="138">
        <v>5</v>
      </c>
      <c r="AW212" s="136">
        <v>34.32</v>
      </c>
      <c r="AX212" s="139">
        <v>18</v>
      </c>
      <c r="AY212" s="138" t="s">
        <v>884</v>
      </c>
      <c r="BA212" s="136">
        <v>13.06</v>
      </c>
      <c r="BB212" s="139">
        <v>4</v>
      </c>
      <c r="BC212" s="138">
        <v>2</v>
      </c>
    </row>
    <row r="213" spans="5:55" x14ac:dyDescent="0.3">
      <c r="E213" s="152">
        <v>13.11</v>
      </c>
      <c r="F213" s="153">
        <v>2</v>
      </c>
      <c r="G213" s="155" t="s">
        <v>862</v>
      </c>
      <c r="I213" s="136">
        <v>35.049999999999997</v>
      </c>
      <c r="J213" s="139">
        <v>6</v>
      </c>
      <c r="K213" s="138">
        <v>9</v>
      </c>
      <c r="M213" s="136">
        <v>12.15</v>
      </c>
      <c r="N213" s="139">
        <v>6</v>
      </c>
      <c r="O213" s="138">
        <v>9</v>
      </c>
      <c r="Q213" s="136">
        <v>34.42</v>
      </c>
      <c r="R213" s="139">
        <v>19</v>
      </c>
      <c r="S213" s="138" t="s">
        <v>884</v>
      </c>
      <c r="U213" s="136">
        <v>12.18</v>
      </c>
      <c r="V213" s="139">
        <v>12</v>
      </c>
      <c r="W213" s="138">
        <v>75</v>
      </c>
      <c r="Y213" s="136">
        <v>12.15</v>
      </c>
      <c r="Z213" s="139">
        <v>5</v>
      </c>
      <c r="AA213" s="138">
        <v>5</v>
      </c>
      <c r="AC213" s="136">
        <v>12.24</v>
      </c>
      <c r="AD213" s="139">
        <v>15</v>
      </c>
      <c r="AE213" s="138">
        <v>95</v>
      </c>
      <c r="AG213" s="136">
        <v>12.34</v>
      </c>
      <c r="AH213" s="137">
        <v>7</v>
      </c>
      <c r="AI213" s="138">
        <v>16</v>
      </c>
      <c r="AK213" s="136">
        <v>12.29</v>
      </c>
      <c r="AL213" s="139">
        <v>15</v>
      </c>
      <c r="AM213" s="138">
        <v>95</v>
      </c>
      <c r="AO213" s="136">
        <v>34.270000000000003</v>
      </c>
      <c r="AP213" s="139">
        <v>19</v>
      </c>
      <c r="AQ213" s="138" t="s">
        <v>884</v>
      </c>
      <c r="AS213" s="136">
        <v>12.18</v>
      </c>
      <c r="AT213" s="139">
        <v>6</v>
      </c>
      <c r="AU213" s="138">
        <v>9</v>
      </c>
      <c r="AW213" s="136">
        <v>34.36</v>
      </c>
      <c r="AX213" s="139">
        <v>19</v>
      </c>
      <c r="AY213" s="138" t="s">
        <v>884</v>
      </c>
      <c r="BA213" s="136">
        <v>13.07</v>
      </c>
      <c r="BB213" s="139">
        <v>5</v>
      </c>
      <c r="BC213" s="138">
        <v>5</v>
      </c>
    </row>
    <row r="214" spans="5:55" x14ac:dyDescent="0.3">
      <c r="E214" s="152">
        <v>13.16</v>
      </c>
      <c r="F214" s="153">
        <v>3</v>
      </c>
      <c r="G214" s="155" t="s">
        <v>876</v>
      </c>
      <c r="I214" s="136">
        <v>35.06</v>
      </c>
      <c r="J214" s="139">
        <v>7</v>
      </c>
      <c r="K214" s="138">
        <v>16</v>
      </c>
      <c r="M214" s="136">
        <v>12.17</v>
      </c>
      <c r="N214" s="139">
        <v>7</v>
      </c>
      <c r="O214" s="138">
        <v>16</v>
      </c>
      <c r="Q214" s="136">
        <v>35</v>
      </c>
      <c r="R214" s="139">
        <v>1</v>
      </c>
      <c r="S214" s="138" t="s">
        <v>883</v>
      </c>
      <c r="U214" s="136">
        <v>12.2</v>
      </c>
      <c r="V214" s="139">
        <v>13</v>
      </c>
      <c r="W214" s="138">
        <v>85</v>
      </c>
      <c r="Y214" s="136">
        <v>12.16</v>
      </c>
      <c r="Z214" s="139">
        <v>6</v>
      </c>
      <c r="AA214" s="138">
        <v>9</v>
      </c>
      <c r="AC214" s="136">
        <v>12.25</v>
      </c>
      <c r="AD214" s="139">
        <v>16</v>
      </c>
      <c r="AE214" s="138">
        <v>98</v>
      </c>
      <c r="AG214" s="136">
        <v>12.36</v>
      </c>
      <c r="AH214" s="137">
        <v>8</v>
      </c>
      <c r="AI214" s="138">
        <v>25</v>
      </c>
      <c r="AK214" s="136">
        <v>12.3</v>
      </c>
      <c r="AL214" s="139">
        <v>16</v>
      </c>
      <c r="AM214" s="138">
        <v>98</v>
      </c>
      <c r="AO214" s="136">
        <v>35</v>
      </c>
      <c r="AP214" s="139">
        <v>1</v>
      </c>
      <c r="AQ214" s="138" t="s">
        <v>883</v>
      </c>
      <c r="AS214" s="136">
        <v>12.19</v>
      </c>
      <c r="AT214" s="139">
        <v>7</v>
      </c>
      <c r="AU214" s="138">
        <v>16</v>
      </c>
      <c r="AW214" s="136">
        <v>35</v>
      </c>
      <c r="AX214" s="139">
        <v>1</v>
      </c>
      <c r="AY214" s="138" t="s">
        <v>883</v>
      </c>
      <c r="BA214" s="136">
        <v>13.08</v>
      </c>
      <c r="BB214" s="139">
        <v>6</v>
      </c>
      <c r="BC214" s="138">
        <v>9</v>
      </c>
    </row>
    <row r="215" spans="5:55" x14ac:dyDescent="0.3">
      <c r="E215" s="152">
        <v>13.17</v>
      </c>
      <c r="F215" s="153">
        <v>4</v>
      </c>
      <c r="G215" s="155" t="s">
        <v>863</v>
      </c>
      <c r="I215" s="136">
        <v>35.07</v>
      </c>
      <c r="J215" s="139">
        <v>8</v>
      </c>
      <c r="K215" s="138">
        <v>25</v>
      </c>
      <c r="M215" s="136">
        <v>12.19</v>
      </c>
      <c r="N215" s="139">
        <v>8</v>
      </c>
      <c r="O215" s="138">
        <v>25</v>
      </c>
      <c r="Q215" s="136">
        <v>35.03</v>
      </c>
      <c r="R215" s="139">
        <v>2</v>
      </c>
      <c r="S215" s="138" t="s">
        <v>883</v>
      </c>
      <c r="U215" s="136">
        <v>12.21</v>
      </c>
      <c r="V215" s="139">
        <v>14</v>
      </c>
      <c r="W215" s="138">
        <v>91</v>
      </c>
      <c r="Y215" s="136">
        <v>12.17</v>
      </c>
      <c r="Z215" s="139">
        <v>7</v>
      </c>
      <c r="AA215" s="138">
        <v>16</v>
      </c>
      <c r="AC215" s="136">
        <v>12.27</v>
      </c>
      <c r="AD215" s="139">
        <v>17</v>
      </c>
      <c r="AE215" s="138">
        <v>99</v>
      </c>
      <c r="AG215" s="136">
        <v>12.38</v>
      </c>
      <c r="AH215" s="137">
        <v>9</v>
      </c>
      <c r="AI215" s="138">
        <v>37</v>
      </c>
      <c r="AK215" s="136">
        <v>12.32</v>
      </c>
      <c r="AL215" s="139">
        <v>17</v>
      </c>
      <c r="AM215" s="138">
        <v>99</v>
      </c>
      <c r="AO215" s="136">
        <v>35.07</v>
      </c>
      <c r="AP215" s="139">
        <v>2</v>
      </c>
      <c r="AQ215" s="138" t="s">
        <v>883</v>
      </c>
      <c r="AS215" s="136">
        <v>12.21</v>
      </c>
      <c r="AT215" s="139">
        <v>8</v>
      </c>
      <c r="AU215" s="138">
        <v>25</v>
      </c>
      <c r="AW215" s="136">
        <v>35.04</v>
      </c>
      <c r="AX215" s="139">
        <v>2</v>
      </c>
      <c r="AY215" s="138" t="s">
        <v>883</v>
      </c>
      <c r="BA215" s="136">
        <v>13.09</v>
      </c>
      <c r="BB215" s="139">
        <v>7</v>
      </c>
      <c r="BC215" s="138">
        <v>16</v>
      </c>
    </row>
    <row r="216" spans="5:55" x14ac:dyDescent="0.3">
      <c r="E216" s="152">
        <v>13.18</v>
      </c>
      <c r="F216" s="153">
        <v>5</v>
      </c>
      <c r="G216" s="155" t="s">
        <v>877</v>
      </c>
      <c r="I216" s="136">
        <v>35.090000000000003</v>
      </c>
      <c r="J216" s="139">
        <v>9</v>
      </c>
      <c r="K216" s="138">
        <v>37</v>
      </c>
      <c r="M216" s="136">
        <v>12.22</v>
      </c>
      <c r="N216" s="139">
        <v>9</v>
      </c>
      <c r="O216" s="138">
        <v>37</v>
      </c>
      <c r="Q216" s="136">
        <v>35.08</v>
      </c>
      <c r="R216" s="139">
        <v>3</v>
      </c>
      <c r="S216" s="138">
        <v>1</v>
      </c>
      <c r="U216" s="136">
        <v>12.23</v>
      </c>
      <c r="V216" s="139">
        <v>15</v>
      </c>
      <c r="W216" s="138">
        <v>95</v>
      </c>
      <c r="Y216" s="136">
        <v>12.18</v>
      </c>
      <c r="Z216" s="139">
        <v>8</v>
      </c>
      <c r="AA216" s="138">
        <v>25</v>
      </c>
      <c r="AC216" s="136">
        <v>12.28</v>
      </c>
      <c r="AD216" s="139">
        <v>18</v>
      </c>
      <c r="AE216" s="138" t="s">
        <v>884</v>
      </c>
      <c r="AG216" s="136">
        <v>12.4</v>
      </c>
      <c r="AH216" s="137">
        <v>10</v>
      </c>
      <c r="AI216" s="138">
        <v>50</v>
      </c>
      <c r="AK216" s="136">
        <v>12.33</v>
      </c>
      <c r="AL216" s="139">
        <v>18</v>
      </c>
      <c r="AM216" s="138" t="s">
        <v>884</v>
      </c>
      <c r="AO216" s="136">
        <v>35.090000000000003</v>
      </c>
      <c r="AP216" s="139">
        <v>3</v>
      </c>
      <c r="AQ216" s="138">
        <v>1</v>
      </c>
      <c r="AS216" s="136">
        <v>12.22</v>
      </c>
      <c r="AT216" s="139">
        <v>9</v>
      </c>
      <c r="AU216" s="138">
        <v>37</v>
      </c>
      <c r="AW216" s="136">
        <v>35.06</v>
      </c>
      <c r="AX216" s="139">
        <v>3</v>
      </c>
      <c r="AY216" s="138">
        <v>1</v>
      </c>
      <c r="BA216" s="136">
        <v>13.1</v>
      </c>
      <c r="BB216" s="139">
        <v>8</v>
      </c>
      <c r="BC216" s="138">
        <v>25</v>
      </c>
    </row>
    <row r="217" spans="5:55" x14ac:dyDescent="0.3">
      <c r="E217" s="152">
        <v>13.2</v>
      </c>
      <c r="F217" s="153">
        <v>6</v>
      </c>
      <c r="G217" s="155" t="s">
        <v>864</v>
      </c>
      <c r="I217" s="136">
        <v>35.11</v>
      </c>
      <c r="J217" s="139">
        <v>10</v>
      </c>
      <c r="K217" s="138">
        <v>50</v>
      </c>
      <c r="M217" s="136">
        <v>12.24</v>
      </c>
      <c r="N217" s="139">
        <v>10</v>
      </c>
      <c r="O217" s="138">
        <v>50</v>
      </c>
      <c r="Q217" s="136">
        <v>35.1</v>
      </c>
      <c r="R217" s="139">
        <v>4</v>
      </c>
      <c r="S217" s="138">
        <v>2</v>
      </c>
      <c r="U217" s="136">
        <v>12.25</v>
      </c>
      <c r="V217" s="139">
        <v>16</v>
      </c>
      <c r="W217" s="138">
        <v>98</v>
      </c>
      <c r="Y217" s="136">
        <v>12.19</v>
      </c>
      <c r="Z217" s="139">
        <v>9</v>
      </c>
      <c r="AA217" s="138">
        <v>37</v>
      </c>
      <c r="AC217" s="136">
        <v>12.29</v>
      </c>
      <c r="AD217" s="139">
        <v>19</v>
      </c>
      <c r="AE217" s="138" t="s">
        <v>884</v>
      </c>
      <c r="AG217" s="136">
        <v>12.42</v>
      </c>
      <c r="AH217" s="137">
        <v>11</v>
      </c>
      <c r="AI217" s="138">
        <v>63</v>
      </c>
      <c r="AK217" s="136">
        <v>12.35</v>
      </c>
      <c r="AL217" s="139">
        <v>19</v>
      </c>
      <c r="AM217" s="138" t="s">
        <v>884</v>
      </c>
      <c r="AO217" s="136">
        <v>35.1</v>
      </c>
      <c r="AP217" s="139">
        <v>4</v>
      </c>
      <c r="AQ217" s="138">
        <v>2</v>
      </c>
      <c r="AS217" s="136">
        <v>12.24</v>
      </c>
      <c r="AT217" s="139">
        <v>10</v>
      </c>
      <c r="AU217" s="138">
        <v>50</v>
      </c>
      <c r="AW217" s="136">
        <v>35.07</v>
      </c>
      <c r="AX217" s="139">
        <v>4</v>
      </c>
      <c r="AY217" s="138">
        <v>2</v>
      </c>
      <c r="BA217" s="136">
        <v>13.11</v>
      </c>
      <c r="BB217" s="139">
        <v>9</v>
      </c>
      <c r="BC217" s="138">
        <v>37</v>
      </c>
    </row>
    <row r="218" spans="5:55" x14ac:dyDescent="0.3">
      <c r="E218" s="152">
        <v>13.209999999999999</v>
      </c>
      <c r="F218" s="153">
        <v>7</v>
      </c>
      <c r="G218" s="155" t="s">
        <v>878</v>
      </c>
      <c r="I218" s="136">
        <v>35.119999999999997</v>
      </c>
      <c r="J218" s="139">
        <v>11</v>
      </c>
      <c r="K218" s="138">
        <v>63</v>
      </c>
      <c r="M218" s="136">
        <v>12.26</v>
      </c>
      <c r="N218" s="139">
        <v>11</v>
      </c>
      <c r="O218" s="138">
        <v>63</v>
      </c>
      <c r="Q218" s="136">
        <v>35.119999999999997</v>
      </c>
      <c r="R218" s="139">
        <v>5</v>
      </c>
      <c r="S218" s="138">
        <v>5</v>
      </c>
      <c r="U218" s="136">
        <v>12.27</v>
      </c>
      <c r="V218" s="139">
        <v>17</v>
      </c>
      <c r="W218" s="138">
        <v>99</v>
      </c>
      <c r="Y218" s="136">
        <v>12.2</v>
      </c>
      <c r="Z218" s="139">
        <v>10</v>
      </c>
      <c r="AA218" s="138">
        <v>50</v>
      </c>
      <c r="AC218" s="136">
        <v>13</v>
      </c>
      <c r="AD218" s="139">
        <v>1</v>
      </c>
      <c r="AE218" s="138" t="s">
        <v>883</v>
      </c>
      <c r="AG218" s="136">
        <v>12.44</v>
      </c>
      <c r="AH218" s="137">
        <v>12</v>
      </c>
      <c r="AI218" s="138">
        <v>75</v>
      </c>
      <c r="AK218" s="136">
        <v>13</v>
      </c>
      <c r="AL218" s="139">
        <v>1</v>
      </c>
      <c r="AM218" s="138" t="s">
        <v>883</v>
      </c>
      <c r="AO218" s="136">
        <v>35.11</v>
      </c>
      <c r="AP218" s="139">
        <v>5</v>
      </c>
      <c r="AQ218" s="138">
        <v>5</v>
      </c>
      <c r="AS218" s="136">
        <v>12.25</v>
      </c>
      <c r="AT218" s="139">
        <v>11</v>
      </c>
      <c r="AU218" s="138">
        <v>63</v>
      </c>
      <c r="AW218" s="136">
        <v>35.090000000000003</v>
      </c>
      <c r="AX218" s="139">
        <v>5</v>
      </c>
      <c r="AY218" s="138">
        <v>5</v>
      </c>
      <c r="BA218" s="136">
        <v>13.12</v>
      </c>
      <c r="BB218" s="139">
        <v>10</v>
      </c>
      <c r="BC218" s="138">
        <v>50</v>
      </c>
    </row>
    <row r="219" spans="5:55" x14ac:dyDescent="0.3">
      <c r="E219" s="152">
        <v>13.22</v>
      </c>
      <c r="F219" s="153">
        <v>8</v>
      </c>
      <c r="G219" s="155" t="s">
        <v>865</v>
      </c>
      <c r="I219" s="136">
        <v>35.14</v>
      </c>
      <c r="J219" s="139">
        <v>12</v>
      </c>
      <c r="K219" s="138">
        <v>75</v>
      </c>
      <c r="M219" s="136">
        <v>12.28</v>
      </c>
      <c r="N219" s="139">
        <v>12</v>
      </c>
      <c r="O219" s="138">
        <v>75</v>
      </c>
      <c r="Q219" s="136">
        <v>35.14</v>
      </c>
      <c r="R219" s="139">
        <v>6</v>
      </c>
      <c r="S219" s="138">
        <v>9</v>
      </c>
      <c r="U219" s="136">
        <v>12.28</v>
      </c>
      <c r="V219" s="139">
        <v>18</v>
      </c>
      <c r="W219" s="138" t="s">
        <v>884</v>
      </c>
      <c r="Y219" s="136">
        <v>12.21</v>
      </c>
      <c r="Z219" s="139">
        <v>11</v>
      </c>
      <c r="AA219" s="138">
        <v>63</v>
      </c>
      <c r="AC219" s="136">
        <v>13.08</v>
      </c>
      <c r="AD219" s="139">
        <v>2</v>
      </c>
      <c r="AE219" s="138" t="s">
        <v>883</v>
      </c>
      <c r="AG219" s="136">
        <v>12.46</v>
      </c>
      <c r="AH219" s="137">
        <v>13</v>
      </c>
      <c r="AI219" s="138">
        <v>85</v>
      </c>
      <c r="AK219" s="136">
        <v>13.16</v>
      </c>
      <c r="AL219" s="139">
        <v>2</v>
      </c>
      <c r="AM219" s="138" t="s">
        <v>883</v>
      </c>
      <c r="AO219" s="136">
        <v>35.119999999999997</v>
      </c>
      <c r="AP219" s="139">
        <v>6</v>
      </c>
      <c r="AQ219" s="138">
        <v>9</v>
      </c>
      <c r="AS219" s="136">
        <v>12.27</v>
      </c>
      <c r="AT219" s="139">
        <v>12</v>
      </c>
      <c r="AU219" s="138">
        <v>75</v>
      </c>
      <c r="AW219" s="136">
        <v>35.11</v>
      </c>
      <c r="AX219" s="139">
        <v>6</v>
      </c>
      <c r="AY219" s="138">
        <v>9</v>
      </c>
      <c r="BA219" s="136">
        <v>13.13</v>
      </c>
      <c r="BB219" s="139">
        <v>11</v>
      </c>
      <c r="BC219" s="138">
        <v>63</v>
      </c>
    </row>
    <row r="220" spans="5:55" x14ac:dyDescent="0.3">
      <c r="E220" s="152">
        <v>13.23</v>
      </c>
      <c r="F220" s="153">
        <v>9</v>
      </c>
      <c r="G220" s="155" t="s">
        <v>879</v>
      </c>
      <c r="I220" s="136">
        <v>35.15</v>
      </c>
      <c r="J220" s="139">
        <v>13</v>
      </c>
      <c r="K220" s="138">
        <v>85</v>
      </c>
      <c r="M220" s="136">
        <v>12.3</v>
      </c>
      <c r="N220" s="139">
        <v>13</v>
      </c>
      <c r="O220" s="138">
        <v>85</v>
      </c>
      <c r="Q220" s="136">
        <v>35.159999999999997</v>
      </c>
      <c r="R220" s="139">
        <v>7</v>
      </c>
      <c r="S220" s="138">
        <v>16</v>
      </c>
      <c r="U220" s="136">
        <v>12.32</v>
      </c>
      <c r="V220" s="139">
        <v>19</v>
      </c>
      <c r="W220" s="138" t="s">
        <v>884</v>
      </c>
      <c r="Y220" s="136">
        <v>12.22</v>
      </c>
      <c r="Z220" s="139">
        <v>12</v>
      </c>
      <c r="AA220" s="138">
        <v>75</v>
      </c>
      <c r="AC220" s="136">
        <v>13.1</v>
      </c>
      <c r="AD220" s="139">
        <v>3</v>
      </c>
      <c r="AE220" s="138">
        <v>1</v>
      </c>
      <c r="AG220" s="136">
        <v>12.48</v>
      </c>
      <c r="AH220" s="137">
        <v>14</v>
      </c>
      <c r="AI220" s="138">
        <v>91</v>
      </c>
      <c r="AK220" s="136">
        <v>13.18</v>
      </c>
      <c r="AL220" s="139">
        <v>3</v>
      </c>
      <c r="AM220" s="138">
        <v>1</v>
      </c>
      <c r="AO220" s="136">
        <v>35.130000000000003</v>
      </c>
      <c r="AP220" s="139">
        <v>7</v>
      </c>
      <c r="AQ220" s="138">
        <v>16</v>
      </c>
      <c r="AS220" s="136">
        <v>12.29</v>
      </c>
      <c r="AT220" s="139">
        <v>13</v>
      </c>
      <c r="AU220" s="138">
        <v>85</v>
      </c>
      <c r="AW220" s="136">
        <v>35.119999999999997</v>
      </c>
      <c r="AX220" s="139">
        <v>7</v>
      </c>
      <c r="AY220" s="138">
        <v>16</v>
      </c>
      <c r="BA220" s="136">
        <v>13.14</v>
      </c>
      <c r="BB220" s="139">
        <v>12</v>
      </c>
      <c r="BC220" s="138">
        <v>75</v>
      </c>
    </row>
    <row r="221" spans="5:55" x14ac:dyDescent="0.3">
      <c r="E221" s="152">
        <v>13.24</v>
      </c>
      <c r="F221" s="153">
        <v>10</v>
      </c>
      <c r="G221" s="155" t="s">
        <v>866</v>
      </c>
      <c r="I221" s="136">
        <v>35.17</v>
      </c>
      <c r="J221" s="139">
        <v>14</v>
      </c>
      <c r="K221" s="138">
        <v>91</v>
      </c>
      <c r="M221" s="136">
        <v>12.32</v>
      </c>
      <c r="N221" s="139">
        <v>14</v>
      </c>
      <c r="O221" s="138">
        <v>91</v>
      </c>
      <c r="Q221" s="136">
        <v>35.18</v>
      </c>
      <c r="R221" s="139">
        <v>8</v>
      </c>
      <c r="S221" s="138">
        <v>25</v>
      </c>
      <c r="U221" s="136">
        <v>13</v>
      </c>
      <c r="V221" s="139">
        <v>1</v>
      </c>
      <c r="W221" s="138" t="s">
        <v>883</v>
      </c>
      <c r="Y221" s="136">
        <v>12.23</v>
      </c>
      <c r="Z221" s="139">
        <v>13</v>
      </c>
      <c r="AA221" s="138">
        <v>85</v>
      </c>
      <c r="AC221" s="136">
        <v>13.11</v>
      </c>
      <c r="AD221" s="139">
        <v>4</v>
      </c>
      <c r="AE221" s="138">
        <v>2</v>
      </c>
      <c r="AG221" s="136">
        <v>12.5</v>
      </c>
      <c r="AH221" s="137">
        <v>15</v>
      </c>
      <c r="AI221" s="138">
        <v>95</v>
      </c>
      <c r="AK221" s="136">
        <v>13.19</v>
      </c>
      <c r="AL221" s="139">
        <v>4</v>
      </c>
      <c r="AM221" s="138">
        <v>2</v>
      </c>
      <c r="AO221" s="136">
        <v>35.14</v>
      </c>
      <c r="AP221" s="139">
        <v>8</v>
      </c>
      <c r="AQ221" s="138">
        <v>25</v>
      </c>
      <c r="AS221" s="136">
        <v>12.3</v>
      </c>
      <c r="AT221" s="139">
        <v>14</v>
      </c>
      <c r="AU221" s="138">
        <v>91</v>
      </c>
      <c r="AW221" s="136">
        <v>35.14</v>
      </c>
      <c r="AX221" s="139">
        <v>8</v>
      </c>
      <c r="AY221" s="138">
        <v>25</v>
      </c>
      <c r="BA221" s="136">
        <v>13.15</v>
      </c>
      <c r="BB221" s="139">
        <v>13</v>
      </c>
      <c r="BC221" s="138">
        <v>85</v>
      </c>
    </row>
    <row r="222" spans="5:55" x14ac:dyDescent="0.3">
      <c r="E222" s="152">
        <v>13.26</v>
      </c>
      <c r="F222" s="153">
        <v>11</v>
      </c>
      <c r="G222" s="155" t="s">
        <v>867</v>
      </c>
      <c r="I222" s="136">
        <v>35.18</v>
      </c>
      <c r="J222" s="139">
        <v>15</v>
      </c>
      <c r="K222" s="138">
        <v>95</v>
      </c>
      <c r="M222" s="136">
        <v>12.34</v>
      </c>
      <c r="N222" s="139">
        <v>15</v>
      </c>
      <c r="O222" s="138">
        <v>95</v>
      </c>
      <c r="Q222" s="136">
        <v>35.21</v>
      </c>
      <c r="R222" s="139">
        <v>9</v>
      </c>
      <c r="S222" s="138">
        <v>37</v>
      </c>
      <c r="U222" s="136">
        <v>13.02</v>
      </c>
      <c r="V222" s="139">
        <v>2</v>
      </c>
      <c r="W222" s="138" t="s">
        <v>883</v>
      </c>
      <c r="Y222" s="136">
        <v>12.24</v>
      </c>
      <c r="Z222" s="139">
        <v>14</v>
      </c>
      <c r="AA222" s="138">
        <v>91</v>
      </c>
      <c r="AC222" s="136">
        <v>13.13</v>
      </c>
      <c r="AD222" s="139">
        <v>5</v>
      </c>
      <c r="AE222" s="138">
        <v>5</v>
      </c>
      <c r="AG222" s="136">
        <v>12.52</v>
      </c>
      <c r="AH222" s="137">
        <v>16</v>
      </c>
      <c r="AI222" s="138">
        <v>98</v>
      </c>
      <c r="AK222" s="136">
        <v>13.2</v>
      </c>
      <c r="AL222" s="139">
        <v>5</v>
      </c>
      <c r="AM222" s="138">
        <v>5</v>
      </c>
      <c r="AO222" s="136">
        <v>35.15</v>
      </c>
      <c r="AP222" s="139">
        <v>9</v>
      </c>
      <c r="AQ222" s="138">
        <v>37</v>
      </c>
      <c r="AS222" s="136">
        <v>12.32</v>
      </c>
      <c r="AT222" s="139">
        <v>15</v>
      </c>
      <c r="AU222" s="138">
        <v>95</v>
      </c>
      <c r="AW222" s="136">
        <v>35.159999999999997</v>
      </c>
      <c r="AX222" s="139">
        <v>9</v>
      </c>
      <c r="AY222" s="138">
        <v>37</v>
      </c>
      <c r="BA222" s="136">
        <v>13.16</v>
      </c>
      <c r="BB222" s="139">
        <v>14</v>
      </c>
      <c r="BC222" s="138">
        <v>91</v>
      </c>
    </row>
    <row r="223" spans="5:55" x14ac:dyDescent="0.3">
      <c r="E223" s="152">
        <v>13.27</v>
      </c>
      <c r="F223" s="153">
        <v>12</v>
      </c>
      <c r="G223" s="155" t="s">
        <v>868</v>
      </c>
      <c r="I223" s="136">
        <v>35.200000000000003</v>
      </c>
      <c r="J223" s="139">
        <v>16</v>
      </c>
      <c r="K223" s="138">
        <v>98</v>
      </c>
      <c r="M223" s="136">
        <v>12.37</v>
      </c>
      <c r="N223" s="139">
        <v>16</v>
      </c>
      <c r="O223" s="138">
        <v>98</v>
      </c>
      <c r="Q223" s="136">
        <v>35.229999999999997</v>
      </c>
      <c r="R223" s="139">
        <v>10</v>
      </c>
      <c r="S223" s="138">
        <v>50</v>
      </c>
      <c r="U223" s="136">
        <v>13.04</v>
      </c>
      <c r="V223" s="139">
        <v>3</v>
      </c>
      <c r="W223" s="138">
        <v>1</v>
      </c>
      <c r="Y223" s="136">
        <v>12.25</v>
      </c>
      <c r="Z223" s="139">
        <v>15</v>
      </c>
      <c r="AA223" s="138">
        <v>95</v>
      </c>
      <c r="AC223" s="136">
        <v>13.14</v>
      </c>
      <c r="AD223" s="139">
        <v>6</v>
      </c>
      <c r="AE223" s="138">
        <v>9</v>
      </c>
      <c r="AG223" s="136">
        <v>12.56</v>
      </c>
      <c r="AH223" s="137">
        <v>17</v>
      </c>
      <c r="AI223" s="138">
        <v>99</v>
      </c>
      <c r="AK223" s="136">
        <v>13.21</v>
      </c>
      <c r="AL223" s="139">
        <v>6</v>
      </c>
      <c r="AM223" s="138">
        <v>9</v>
      </c>
      <c r="AO223" s="136">
        <v>35.159999999999997</v>
      </c>
      <c r="AP223" s="139">
        <v>10</v>
      </c>
      <c r="AQ223" s="138">
        <v>50</v>
      </c>
      <c r="AS223" s="136">
        <v>12.33</v>
      </c>
      <c r="AT223" s="139">
        <v>16</v>
      </c>
      <c r="AU223" s="138">
        <v>98</v>
      </c>
      <c r="AW223" s="136">
        <v>35.18</v>
      </c>
      <c r="AX223" s="139">
        <v>10</v>
      </c>
      <c r="AY223" s="138">
        <v>50</v>
      </c>
      <c r="BA223" s="136">
        <v>13.17</v>
      </c>
      <c r="BB223" s="139">
        <v>15</v>
      </c>
      <c r="BC223" s="138">
        <v>95</v>
      </c>
    </row>
    <row r="224" spans="5:55" x14ac:dyDescent="0.3">
      <c r="E224" s="152">
        <v>13.28</v>
      </c>
      <c r="F224" s="153">
        <v>13</v>
      </c>
      <c r="G224" s="155" t="s">
        <v>869</v>
      </c>
      <c r="I224" s="136">
        <v>35.21</v>
      </c>
      <c r="J224" s="139">
        <v>17</v>
      </c>
      <c r="K224" s="138">
        <v>99</v>
      </c>
      <c r="M224" s="136">
        <v>12.39</v>
      </c>
      <c r="N224" s="139">
        <v>17</v>
      </c>
      <c r="O224" s="138">
        <v>99</v>
      </c>
      <c r="Q224" s="136">
        <v>35.25</v>
      </c>
      <c r="R224" s="139">
        <v>11</v>
      </c>
      <c r="S224" s="138">
        <v>63</v>
      </c>
      <c r="U224" s="136">
        <v>13.06</v>
      </c>
      <c r="V224" s="139">
        <v>4</v>
      </c>
      <c r="W224" s="138">
        <v>2</v>
      </c>
      <c r="Y224" s="136">
        <v>12.26</v>
      </c>
      <c r="Z224" s="139">
        <v>16</v>
      </c>
      <c r="AA224" s="138">
        <v>98</v>
      </c>
      <c r="AC224" s="136">
        <v>13.15</v>
      </c>
      <c r="AD224" s="139">
        <v>7</v>
      </c>
      <c r="AE224" s="138">
        <v>16</v>
      </c>
      <c r="AG224" s="136">
        <v>12.58</v>
      </c>
      <c r="AH224" s="137">
        <v>18</v>
      </c>
      <c r="AI224" s="138" t="s">
        <v>884</v>
      </c>
      <c r="AK224" s="136">
        <v>13.22</v>
      </c>
      <c r="AL224" s="139">
        <v>7</v>
      </c>
      <c r="AM224" s="138">
        <v>16</v>
      </c>
      <c r="AO224" s="136">
        <v>35.17</v>
      </c>
      <c r="AP224" s="139">
        <v>11</v>
      </c>
      <c r="AQ224" s="138">
        <v>63</v>
      </c>
      <c r="AS224" s="136">
        <v>12.35</v>
      </c>
      <c r="AT224" s="139">
        <v>17</v>
      </c>
      <c r="AU224" s="138">
        <v>99</v>
      </c>
      <c r="AW224" s="136">
        <v>35.19</v>
      </c>
      <c r="AX224" s="139">
        <v>11</v>
      </c>
      <c r="AY224" s="138">
        <v>63</v>
      </c>
      <c r="BA224" s="136">
        <v>13.18</v>
      </c>
      <c r="BB224" s="139">
        <v>16</v>
      </c>
      <c r="BC224" s="138">
        <v>98</v>
      </c>
    </row>
    <row r="225" spans="5:55" x14ac:dyDescent="0.3">
      <c r="E225" s="152">
        <v>13.29</v>
      </c>
      <c r="F225" s="153">
        <v>14</v>
      </c>
      <c r="G225" s="155" t="s">
        <v>870</v>
      </c>
      <c r="I225" s="136">
        <v>35.229999999999997</v>
      </c>
      <c r="J225" s="139">
        <v>18</v>
      </c>
      <c r="K225" s="138" t="s">
        <v>884</v>
      </c>
      <c r="M225" s="136">
        <v>12.41</v>
      </c>
      <c r="N225" s="139">
        <v>18</v>
      </c>
      <c r="O225" s="138" t="s">
        <v>884</v>
      </c>
      <c r="Q225" s="136">
        <v>35.270000000000003</v>
      </c>
      <c r="R225" s="139">
        <v>12</v>
      </c>
      <c r="S225" s="138">
        <v>75</v>
      </c>
      <c r="U225" s="136">
        <v>13.07</v>
      </c>
      <c r="V225" s="139">
        <v>5</v>
      </c>
      <c r="W225" s="138">
        <v>5</v>
      </c>
      <c r="Y225" s="136">
        <v>12.28</v>
      </c>
      <c r="Z225" s="139">
        <v>17</v>
      </c>
      <c r="AA225" s="138">
        <v>99</v>
      </c>
      <c r="AC225" s="136">
        <v>13.16</v>
      </c>
      <c r="AD225" s="139">
        <v>8</v>
      </c>
      <c r="AE225" s="138">
        <v>25</v>
      </c>
      <c r="AG225" s="136">
        <v>12.62</v>
      </c>
      <c r="AH225" s="137">
        <v>19</v>
      </c>
      <c r="AI225" s="138" t="s">
        <v>884</v>
      </c>
      <c r="AK225" s="136">
        <v>13.23</v>
      </c>
      <c r="AL225" s="139">
        <v>8</v>
      </c>
      <c r="AM225" s="138">
        <v>25</v>
      </c>
      <c r="AO225" s="136">
        <v>35.18</v>
      </c>
      <c r="AP225" s="139">
        <v>12</v>
      </c>
      <c r="AQ225" s="138">
        <v>75</v>
      </c>
      <c r="AS225" s="136">
        <v>12.36</v>
      </c>
      <c r="AT225" s="139">
        <v>18</v>
      </c>
      <c r="AU225" s="138" t="s">
        <v>884</v>
      </c>
      <c r="AW225" s="136">
        <v>35.21</v>
      </c>
      <c r="AX225" s="139">
        <v>12</v>
      </c>
      <c r="AY225" s="138">
        <v>75</v>
      </c>
      <c r="BA225" s="136">
        <v>13.19</v>
      </c>
      <c r="BB225" s="139">
        <v>17</v>
      </c>
      <c r="BC225" s="138">
        <v>99</v>
      </c>
    </row>
    <row r="226" spans="5:55" x14ac:dyDescent="0.3">
      <c r="E226" s="152">
        <v>13.31</v>
      </c>
      <c r="F226" s="153">
        <v>15</v>
      </c>
      <c r="G226" s="155" t="s">
        <v>871</v>
      </c>
      <c r="I226" s="136">
        <v>35.26</v>
      </c>
      <c r="J226" s="139">
        <v>19</v>
      </c>
      <c r="K226" s="138" t="s">
        <v>884</v>
      </c>
      <c r="M226" s="136">
        <v>12.44</v>
      </c>
      <c r="N226" s="139">
        <v>19</v>
      </c>
      <c r="O226" s="138" t="s">
        <v>884</v>
      </c>
      <c r="Q226" s="136">
        <v>35.29</v>
      </c>
      <c r="R226" s="139">
        <v>13</v>
      </c>
      <c r="S226" s="138">
        <v>85</v>
      </c>
      <c r="U226" s="136">
        <v>13.09</v>
      </c>
      <c r="V226" s="139">
        <v>6</v>
      </c>
      <c r="W226" s="138">
        <v>9</v>
      </c>
      <c r="Y226" s="136">
        <v>12.29</v>
      </c>
      <c r="Z226" s="139">
        <v>18</v>
      </c>
      <c r="AA226" s="138" t="s">
        <v>884</v>
      </c>
      <c r="AC226" s="136">
        <v>13.17</v>
      </c>
      <c r="AD226" s="139">
        <v>9</v>
      </c>
      <c r="AE226" s="138">
        <v>37</v>
      </c>
      <c r="AG226" s="136">
        <v>13</v>
      </c>
      <c r="AH226" s="137">
        <v>1</v>
      </c>
      <c r="AI226" s="138" t="s">
        <v>883</v>
      </c>
      <c r="AK226" s="136">
        <v>13.24</v>
      </c>
      <c r="AL226" s="139">
        <v>9</v>
      </c>
      <c r="AM226" s="138">
        <v>37</v>
      </c>
      <c r="AO226" s="136">
        <v>35.19</v>
      </c>
      <c r="AP226" s="139">
        <v>13</v>
      </c>
      <c r="AQ226" s="138">
        <v>85</v>
      </c>
      <c r="AS226" s="136">
        <v>12.39</v>
      </c>
      <c r="AT226" s="139">
        <v>19</v>
      </c>
      <c r="AU226" s="138" t="s">
        <v>884</v>
      </c>
      <c r="AW226" s="136">
        <v>35.229999999999997</v>
      </c>
      <c r="AX226" s="139">
        <v>13</v>
      </c>
      <c r="AY226" s="138">
        <v>85</v>
      </c>
      <c r="BA226" s="136">
        <v>13.2</v>
      </c>
      <c r="BB226" s="139">
        <v>18</v>
      </c>
      <c r="BC226" s="138" t="s">
        <v>884</v>
      </c>
    </row>
    <row r="227" spans="5:55" x14ac:dyDescent="0.3">
      <c r="E227" s="152">
        <v>13.32</v>
      </c>
      <c r="F227" s="153">
        <v>16</v>
      </c>
      <c r="G227" s="155" t="s">
        <v>872</v>
      </c>
      <c r="I227" s="136">
        <v>36</v>
      </c>
      <c r="J227" s="139">
        <v>1</v>
      </c>
      <c r="K227" s="138" t="s">
        <v>883</v>
      </c>
      <c r="M227" s="136">
        <v>13</v>
      </c>
      <c r="N227" s="139">
        <v>1</v>
      </c>
      <c r="O227" s="138" t="s">
        <v>883</v>
      </c>
      <c r="Q227" s="136">
        <v>35.31</v>
      </c>
      <c r="R227" s="139">
        <v>14</v>
      </c>
      <c r="S227" s="138">
        <v>91</v>
      </c>
      <c r="U227" s="136">
        <v>13.11</v>
      </c>
      <c r="V227" s="139">
        <v>7</v>
      </c>
      <c r="W227" s="138">
        <v>16</v>
      </c>
      <c r="Y227" s="136">
        <v>12.3</v>
      </c>
      <c r="Z227" s="139">
        <v>19</v>
      </c>
      <c r="AA227" s="138" t="s">
        <v>884</v>
      </c>
      <c r="AC227" s="136">
        <v>13.19</v>
      </c>
      <c r="AD227" s="139">
        <v>10</v>
      </c>
      <c r="AE227" s="138">
        <v>50</v>
      </c>
      <c r="AG227" s="136">
        <v>13.24</v>
      </c>
      <c r="AH227" s="137">
        <v>2</v>
      </c>
      <c r="AI227" s="138" t="s">
        <v>883</v>
      </c>
      <c r="AK227" s="136">
        <v>13.25</v>
      </c>
      <c r="AL227" s="139">
        <v>10</v>
      </c>
      <c r="AM227" s="138">
        <v>50</v>
      </c>
      <c r="AO227" s="136">
        <v>35.200000000000003</v>
      </c>
      <c r="AP227" s="139">
        <v>14</v>
      </c>
      <c r="AQ227" s="138">
        <v>91</v>
      </c>
      <c r="AS227" s="136">
        <v>13</v>
      </c>
      <c r="AT227" s="139">
        <v>1</v>
      </c>
      <c r="AU227" s="138" t="s">
        <v>883</v>
      </c>
      <c r="AW227" s="136">
        <v>35.25</v>
      </c>
      <c r="AX227" s="139">
        <v>14</v>
      </c>
      <c r="AY227" s="138">
        <v>91</v>
      </c>
      <c r="BA227" s="136">
        <v>13.21</v>
      </c>
      <c r="BB227" s="139">
        <v>19</v>
      </c>
      <c r="BC227" s="138" t="s">
        <v>884</v>
      </c>
    </row>
    <row r="228" spans="5:55" x14ac:dyDescent="0.3">
      <c r="E228" s="152">
        <v>13.33</v>
      </c>
      <c r="F228" s="153">
        <v>17</v>
      </c>
      <c r="G228" s="155" t="s">
        <v>873</v>
      </c>
      <c r="I228" s="136">
        <v>36.01</v>
      </c>
      <c r="J228" s="139">
        <v>2</v>
      </c>
      <c r="K228" s="138" t="s">
        <v>883</v>
      </c>
      <c r="M228" s="136">
        <v>13.08</v>
      </c>
      <c r="N228" s="139">
        <v>2</v>
      </c>
      <c r="O228" s="138" t="s">
        <v>883</v>
      </c>
      <c r="Q228" s="136">
        <v>35.33</v>
      </c>
      <c r="R228" s="139">
        <v>15</v>
      </c>
      <c r="S228" s="138">
        <v>95</v>
      </c>
      <c r="U228" s="136">
        <v>13.13</v>
      </c>
      <c r="V228" s="139">
        <v>8</v>
      </c>
      <c r="W228" s="138">
        <v>25</v>
      </c>
      <c r="Y228" s="136">
        <v>13</v>
      </c>
      <c r="Z228" s="139">
        <v>1</v>
      </c>
      <c r="AA228" s="138" t="s">
        <v>883</v>
      </c>
      <c r="AC228" s="136">
        <v>13.2</v>
      </c>
      <c r="AD228" s="139">
        <v>11</v>
      </c>
      <c r="AE228" s="138">
        <v>63</v>
      </c>
      <c r="AG228" s="136">
        <v>13.29</v>
      </c>
      <c r="AH228" s="137">
        <v>3</v>
      </c>
      <c r="AI228" s="138">
        <v>1</v>
      </c>
      <c r="AK228" s="136">
        <v>13.26</v>
      </c>
      <c r="AL228" s="139">
        <v>11</v>
      </c>
      <c r="AM228" s="138">
        <v>63</v>
      </c>
      <c r="AO228" s="136">
        <v>35.21</v>
      </c>
      <c r="AP228" s="139">
        <v>15</v>
      </c>
      <c r="AQ228" s="138">
        <v>95</v>
      </c>
      <c r="AS228" s="136">
        <v>13.13</v>
      </c>
      <c r="AT228" s="139">
        <v>2</v>
      </c>
      <c r="AU228" s="138" t="s">
        <v>883</v>
      </c>
      <c r="AW228" s="136">
        <v>35.26</v>
      </c>
      <c r="AX228" s="139">
        <v>15</v>
      </c>
      <c r="AY228" s="138">
        <v>95</v>
      </c>
      <c r="BA228" s="136">
        <v>14</v>
      </c>
      <c r="BB228" s="139">
        <v>1</v>
      </c>
      <c r="BC228" s="138" t="s">
        <v>883</v>
      </c>
    </row>
    <row r="229" spans="5:55" x14ac:dyDescent="0.3">
      <c r="E229" s="152">
        <v>13.34</v>
      </c>
      <c r="F229" s="153">
        <v>18</v>
      </c>
      <c r="G229" s="155" t="s">
        <v>874</v>
      </c>
      <c r="I229" s="136">
        <v>36.03</v>
      </c>
      <c r="J229" s="139">
        <v>3</v>
      </c>
      <c r="K229" s="138">
        <v>1</v>
      </c>
      <c r="M229" s="136">
        <v>13.1</v>
      </c>
      <c r="N229" s="139">
        <v>3</v>
      </c>
      <c r="O229" s="138">
        <v>1</v>
      </c>
      <c r="Q229" s="136">
        <v>35.35</v>
      </c>
      <c r="R229" s="139">
        <v>16</v>
      </c>
      <c r="S229" s="138">
        <v>98</v>
      </c>
      <c r="U229" s="136">
        <v>13.14</v>
      </c>
      <c r="V229" s="139">
        <v>9</v>
      </c>
      <c r="W229" s="138">
        <v>37</v>
      </c>
      <c r="Y229" s="136">
        <v>13.12</v>
      </c>
      <c r="Z229" s="139">
        <v>2</v>
      </c>
      <c r="AA229" s="138" t="s">
        <v>883</v>
      </c>
      <c r="AC229" s="136">
        <v>13.21</v>
      </c>
      <c r="AD229" s="139">
        <v>12</v>
      </c>
      <c r="AE229" s="138">
        <v>75</v>
      </c>
      <c r="AG229" s="136">
        <v>13.31</v>
      </c>
      <c r="AH229" s="137">
        <v>4</v>
      </c>
      <c r="AI229" s="138">
        <v>2</v>
      </c>
      <c r="AK229" s="136">
        <v>13.27</v>
      </c>
      <c r="AL229" s="139">
        <v>12</v>
      </c>
      <c r="AM229" s="138">
        <v>75</v>
      </c>
      <c r="AO229" s="136">
        <v>35.22</v>
      </c>
      <c r="AP229" s="139">
        <v>16</v>
      </c>
      <c r="AQ229" s="138">
        <v>98</v>
      </c>
      <c r="AS229" s="136">
        <v>13.15</v>
      </c>
      <c r="AT229" s="139">
        <v>3</v>
      </c>
      <c r="AU229" s="138">
        <v>1</v>
      </c>
      <c r="AW229" s="136">
        <v>35.28</v>
      </c>
      <c r="AX229" s="139">
        <v>16</v>
      </c>
      <c r="AY229" s="138">
        <v>98</v>
      </c>
      <c r="BA229" s="136">
        <v>14.04</v>
      </c>
      <c r="BB229" s="139">
        <v>2</v>
      </c>
      <c r="BC229" s="138" t="s">
        <v>883</v>
      </c>
    </row>
    <row r="230" spans="5:55" ht="19.5" thickBot="1" x14ac:dyDescent="0.35">
      <c r="E230" s="157">
        <v>13.37</v>
      </c>
      <c r="F230" s="158">
        <v>19</v>
      </c>
      <c r="G230" s="159" t="s">
        <v>874</v>
      </c>
      <c r="I230" s="136">
        <v>36.04</v>
      </c>
      <c r="J230" s="139">
        <v>4</v>
      </c>
      <c r="K230" s="138">
        <v>2</v>
      </c>
      <c r="M230" s="136">
        <v>13.13</v>
      </c>
      <c r="N230" s="139">
        <v>4</v>
      </c>
      <c r="O230" s="138">
        <v>2</v>
      </c>
      <c r="Q230" s="136">
        <v>35.369999999999997</v>
      </c>
      <c r="R230" s="139">
        <v>17</v>
      </c>
      <c r="S230" s="138">
        <v>99</v>
      </c>
      <c r="U230" s="136">
        <v>13.16</v>
      </c>
      <c r="V230" s="139">
        <v>10</v>
      </c>
      <c r="W230" s="138">
        <v>50</v>
      </c>
      <c r="Y230" s="136">
        <v>13.14</v>
      </c>
      <c r="Z230" s="139">
        <v>3</v>
      </c>
      <c r="AA230" s="138">
        <v>1</v>
      </c>
      <c r="AC230" s="136">
        <v>13.22</v>
      </c>
      <c r="AD230" s="139">
        <v>13</v>
      </c>
      <c r="AE230" s="138">
        <v>85</v>
      </c>
      <c r="AG230" s="136">
        <v>13.33</v>
      </c>
      <c r="AH230" s="137">
        <v>5</v>
      </c>
      <c r="AI230" s="138">
        <v>5</v>
      </c>
      <c r="AK230" s="136">
        <v>13.28</v>
      </c>
      <c r="AL230" s="139">
        <v>13</v>
      </c>
      <c r="AM230" s="138">
        <v>85</v>
      </c>
      <c r="AO230" s="136">
        <v>35.24</v>
      </c>
      <c r="AP230" s="139">
        <v>17</v>
      </c>
      <c r="AQ230" s="138">
        <v>99</v>
      </c>
      <c r="AS230" s="136">
        <v>13.16</v>
      </c>
      <c r="AT230" s="139">
        <v>4</v>
      </c>
      <c r="AU230" s="138">
        <v>2</v>
      </c>
      <c r="AW230" s="136">
        <v>35.299999999999997</v>
      </c>
      <c r="AX230" s="139">
        <v>17</v>
      </c>
      <c r="AY230" s="138">
        <v>99</v>
      </c>
      <c r="BA230" s="136">
        <v>14.05</v>
      </c>
      <c r="BB230" s="139">
        <v>3</v>
      </c>
      <c r="BC230" s="138">
        <v>1</v>
      </c>
    </row>
    <row r="231" spans="5:55" x14ac:dyDescent="0.3">
      <c r="E231" s="149">
        <v>14</v>
      </c>
      <c r="F231" s="150">
        <v>1</v>
      </c>
      <c r="G231" s="163" t="s">
        <v>862</v>
      </c>
      <c r="I231" s="136">
        <v>36.049999999999997</v>
      </c>
      <c r="J231" s="139">
        <v>5</v>
      </c>
      <c r="K231" s="138">
        <v>5</v>
      </c>
      <c r="M231" s="136">
        <v>13.15</v>
      </c>
      <c r="N231" s="139">
        <v>5</v>
      </c>
      <c r="O231" s="138">
        <v>5</v>
      </c>
      <c r="Q231" s="136">
        <v>35.39</v>
      </c>
      <c r="R231" s="139">
        <v>18</v>
      </c>
      <c r="S231" s="138" t="s">
        <v>884</v>
      </c>
      <c r="U231" s="136">
        <v>13.18</v>
      </c>
      <c r="V231" s="139">
        <v>11</v>
      </c>
      <c r="W231" s="138">
        <v>63</v>
      </c>
      <c r="Y231" s="136">
        <v>13.15</v>
      </c>
      <c r="Z231" s="139">
        <v>4</v>
      </c>
      <c r="AA231" s="138">
        <v>2</v>
      </c>
      <c r="AC231" s="136">
        <v>13.23</v>
      </c>
      <c r="AD231" s="139">
        <v>14</v>
      </c>
      <c r="AE231" s="138">
        <v>91</v>
      </c>
      <c r="AG231" s="136">
        <v>13.35</v>
      </c>
      <c r="AH231" s="137">
        <v>6</v>
      </c>
      <c r="AI231" s="138">
        <v>9</v>
      </c>
      <c r="AK231" s="136">
        <v>13.29</v>
      </c>
      <c r="AL231" s="139">
        <v>14</v>
      </c>
      <c r="AM231" s="138">
        <v>91</v>
      </c>
      <c r="AO231" s="136">
        <v>35.25</v>
      </c>
      <c r="AP231" s="139">
        <v>18</v>
      </c>
      <c r="AQ231" s="138" t="s">
        <v>884</v>
      </c>
      <c r="AS231" s="136">
        <v>13.18</v>
      </c>
      <c r="AT231" s="139">
        <v>5</v>
      </c>
      <c r="AU231" s="138">
        <v>5</v>
      </c>
      <c r="AW231" s="136">
        <v>35.32</v>
      </c>
      <c r="AX231" s="139">
        <v>18</v>
      </c>
      <c r="AY231" s="138" t="s">
        <v>884</v>
      </c>
      <c r="BA231" s="136">
        <v>14.06</v>
      </c>
      <c r="BB231" s="139">
        <v>4</v>
      </c>
      <c r="BC231" s="138">
        <v>2</v>
      </c>
    </row>
    <row r="232" spans="5:55" x14ac:dyDescent="0.3">
      <c r="E232" s="152">
        <v>14.13</v>
      </c>
      <c r="F232" s="153">
        <v>2</v>
      </c>
      <c r="G232" s="155" t="s">
        <v>862</v>
      </c>
      <c r="I232" s="136">
        <v>36.06</v>
      </c>
      <c r="J232" s="139">
        <v>6</v>
      </c>
      <c r="K232" s="138">
        <v>9</v>
      </c>
      <c r="M232" s="136">
        <v>13.17</v>
      </c>
      <c r="N232" s="139">
        <v>6</v>
      </c>
      <c r="O232" s="138">
        <v>9</v>
      </c>
      <c r="Q232" s="136">
        <v>35.42</v>
      </c>
      <c r="R232" s="139">
        <v>19</v>
      </c>
      <c r="S232" s="138" t="s">
        <v>884</v>
      </c>
      <c r="U232" s="136">
        <v>13.2</v>
      </c>
      <c r="V232" s="139">
        <v>12</v>
      </c>
      <c r="W232" s="138">
        <v>75</v>
      </c>
      <c r="Y232" s="136">
        <v>13.16</v>
      </c>
      <c r="Z232" s="139">
        <v>5</v>
      </c>
      <c r="AA232" s="138">
        <v>5</v>
      </c>
      <c r="AC232" s="136">
        <v>13.25</v>
      </c>
      <c r="AD232" s="139">
        <v>15</v>
      </c>
      <c r="AE232" s="138">
        <v>95</v>
      </c>
      <c r="AG232" s="136">
        <v>13.38</v>
      </c>
      <c r="AH232" s="137">
        <v>7</v>
      </c>
      <c r="AI232" s="138">
        <v>16</v>
      </c>
      <c r="AK232" s="136">
        <v>13.3</v>
      </c>
      <c r="AL232" s="139">
        <v>15</v>
      </c>
      <c r="AM232" s="138">
        <v>95</v>
      </c>
      <c r="AO232" s="136">
        <v>35.270000000000003</v>
      </c>
      <c r="AP232" s="139">
        <v>19</v>
      </c>
      <c r="AQ232" s="138" t="s">
        <v>884</v>
      </c>
      <c r="AS232" s="136">
        <v>13.19</v>
      </c>
      <c r="AT232" s="139">
        <v>6</v>
      </c>
      <c r="AU232" s="138">
        <v>9</v>
      </c>
      <c r="AW232" s="136">
        <v>35.36</v>
      </c>
      <c r="AX232" s="139">
        <v>19</v>
      </c>
      <c r="AY232" s="138" t="s">
        <v>884</v>
      </c>
      <c r="BA232" s="136">
        <v>14.07</v>
      </c>
      <c r="BB232" s="139">
        <v>5</v>
      </c>
      <c r="BC232" s="138">
        <v>5</v>
      </c>
    </row>
    <row r="233" spans="5:55" x14ac:dyDescent="0.3">
      <c r="E233" s="152">
        <v>14.16</v>
      </c>
      <c r="F233" s="153">
        <v>3</v>
      </c>
      <c r="G233" s="155" t="s">
        <v>876</v>
      </c>
      <c r="I233" s="136">
        <v>36.08</v>
      </c>
      <c r="J233" s="139">
        <v>7</v>
      </c>
      <c r="K233" s="138">
        <v>16</v>
      </c>
      <c r="M233" s="136">
        <v>13.19</v>
      </c>
      <c r="N233" s="139">
        <v>7</v>
      </c>
      <c r="O233" s="138">
        <v>16</v>
      </c>
      <c r="Q233" s="136">
        <v>36</v>
      </c>
      <c r="R233" s="139">
        <v>1</v>
      </c>
      <c r="S233" s="138" t="s">
        <v>883</v>
      </c>
      <c r="U233" s="136">
        <v>13.21</v>
      </c>
      <c r="V233" s="139">
        <v>13</v>
      </c>
      <c r="W233" s="138">
        <v>85</v>
      </c>
      <c r="Y233" s="136">
        <v>13.17</v>
      </c>
      <c r="Z233" s="139">
        <v>6</v>
      </c>
      <c r="AA233" s="138">
        <v>9</v>
      </c>
      <c r="AC233" s="136">
        <v>13.26</v>
      </c>
      <c r="AD233" s="139">
        <v>16</v>
      </c>
      <c r="AE233" s="138">
        <v>98</v>
      </c>
      <c r="AG233" s="136">
        <v>13.4</v>
      </c>
      <c r="AH233" s="137">
        <v>8</v>
      </c>
      <c r="AI233" s="138">
        <v>25</v>
      </c>
      <c r="AK233" s="136">
        <v>13.32</v>
      </c>
      <c r="AL233" s="139">
        <v>16</v>
      </c>
      <c r="AM233" s="138">
        <v>98</v>
      </c>
      <c r="AO233" s="136">
        <v>36</v>
      </c>
      <c r="AP233" s="139">
        <v>1</v>
      </c>
      <c r="AQ233" s="138" t="s">
        <v>883</v>
      </c>
      <c r="AS233" s="136">
        <v>13.21</v>
      </c>
      <c r="AT233" s="139">
        <v>7</v>
      </c>
      <c r="AU233" s="138">
        <v>16</v>
      </c>
      <c r="AW233" s="136">
        <v>36</v>
      </c>
      <c r="AX233" s="139">
        <v>1</v>
      </c>
      <c r="AY233" s="138" t="s">
        <v>883</v>
      </c>
      <c r="BA233" s="136">
        <v>14.08</v>
      </c>
      <c r="BB233" s="139">
        <v>6</v>
      </c>
      <c r="BC233" s="138">
        <v>9</v>
      </c>
    </row>
    <row r="234" spans="5:55" x14ac:dyDescent="0.3">
      <c r="E234" s="152">
        <v>14.18</v>
      </c>
      <c r="F234" s="153">
        <v>4</v>
      </c>
      <c r="G234" s="155" t="s">
        <v>863</v>
      </c>
      <c r="I234" s="136">
        <v>36.1</v>
      </c>
      <c r="J234" s="139">
        <v>8</v>
      </c>
      <c r="K234" s="138">
        <v>25</v>
      </c>
      <c r="M234" s="136">
        <v>13.21</v>
      </c>
      <c r="N234" s="139">
        <v>8</v>
      </c>
      <c r="O234" s="138">
        <v>25</v>
      </c>
      <c r="Q234" s="136">
        <v>36.04</v>
      </c>
      <c r="R234" s="139">
        <v>2</v>
      </c>
      <c r="S234" s="138" t="s">
        <v>883</v>
      </c>
      <c r="U234" s="136">
        <v>13.23</v>
      </c>
      <c r="V234" s="139">
        <v>14</v>
      </c>
      <c r="W234" s="138">
        <v>91</v>
      </c>
      <c r="Y234" s="136">
        <v>13.18</v>
      </c>
      <c r="Z234" s="139">
        <v>7</v>
      </c>
      <c r="AA234" s="138">
        <v>16</v>
      </c>
      <c r="AC234" s="136">
        <v>13.27</v>
      </c>
      <c r="AD234" s="139">
        <v>17</v>
      </c>
      <c r="AE234" s="138">
        <v>99</v>
      </c>
      <c r="AG234" s="136">
        <v>13.42</v>
      </c>
      <c r="AH234" s="137">
        <v>9</v>
      </c>
      <c r="AI234" s="138">
        <v>37</v>
      </c>
      <c r="AK234" s="136">
        <v>13.33</v>
      </c>
      <c r="AL234" s="139">
        <v>17</v>
      </c>
      <c r="AM234" s="138">
        <v>99</v>
      </c>
      <c r="AO234" s="136">
        <v>36.090000000000003</v>
      </c>
      <c r="AP234" s="139">
        <v>2</v>
      </c>
      <c r="AQ234" s="138" t="s">
        <v>883</v>
      </c>
      <c r="AS234" s="136">
        <v>13.22</v>
      </c>
      <c r="AT234" s="139">
        <v>8</v>
      </c>
      <c r="AU234" s="138">
        <v>25</v>
      </c>
      <c r="AW234" s="136">
        <v>36.049999999999997</v>
      </c>
      <c r="AX234" s="139">
        <v>2</v>
      </c>
      <c r="AY234" s="138" t="s">
        <v>883</v>
      </c>
      <c r="BA234" s="136">
        <v>14.09</v>
      </c>
      <c r="BB234" s="139">
        <v>7</v>
      </c>
      <c r="BC234" s="138">
        <v>16</v>
      </c>
    </row>
    <row r="235" spans="5:55" x14ac:dyDescent="0.3">
      <c r="E235" s="152">
        <v>14.19</v>
      </c>
      <c r="F235" s="153">
        <v>5</v>
      </c>
      <c r="G235" s="155" t="s">
        <v>877</v>
      </c>
      <c r="I235" s="136">
        <v>36.11</v>
      </c>
      <c r="J235" s="139">
        <v>9</v>
      </c>
      <c r="K235" s="138">
        <v>37</v>
      </c>
      <c r="M235" s="136">
        <v>13.23</v>
      </c>
      <c r="N235" s="139">
        <v>9</v>
      </c>
      <c r="O235" s="138">
        <v>37</v>
      </c>
      <c r="Q235" s="136">
        <v>36.1</v>
      </c>
      <c r="R235" s="139">
        <v>3</v>
      </c>
      <c r="S235" s="138">
        <v>1</v>
      </c>
      <c r="U235" s="136">
        <v>13.25</v>
      </c>
      <c r="V235" s="139">
        <v>15</v>
      </c>
      <c r="W235" s="138">
        <v>95</v>
      </c>
      <c r="Y235" s="136">
        <v>13.19</v>
      </c>
      <c r="Z235" s="139">
        <v>8</v>
      </c>
      <c r="AA235" s="138">
        <v>25</v>
      </c>
      <c r="AC235" s="136">
        <v>13.28</v>
      </c>
      <c r="AD235" s="139">
        <v>18</v>
      </c>
      <c r="AE235" s="138" t="s">
        <v>884</v>
      </c>
      <c r="AG235" s="136">
        <v>13.44</v>
      </c>
      <c r="AH235" s="137">
        <v>10</v>
      </c>
      <c r="AI235" s="138">
        <v>50</v>
      </c>
      <c r="AK235" s="136">
        <v>13.34</v>
      </c>
      <c r="AL235" s="139">
        <v>18</v>
      </c>
      <c r="AM235" s="138" t="s">
        <v>884</v>
      </c>
      <c r="AO235" s="136">
        <v>36.1</v>
      </c>
      <c r="AP235" s="139">
        <v>3</v>
      </c>
      <c r="AQ235" s="138">
        <v>1</v>
      </c>
      <c r="AS235" s="136">
        <v>13.24</v>
      </c>
      <c r="AT235" s="139">
        <v>9</v>
      </c>
      <c r="AU235" s="138">
        <v>37</v>
      </c>
      <c r="AW235" s="136">
        <v>36.07</v>
      </c>
      <c r="AX235" s="139">
        <v>3</v>
      </c>
      <c r="AY235" s="138">
        <v>1</v>
      </c>
      <c r="BA235" s="136">
        <v>14.1</v>
      </c>
      <c r="BB235" s="139">
        <v>8</v>
      </c>
      <c r="BC235" s="138">
        <v>25</v>
      </c>
    </row>
    <row r="236" spans="5:55" x14ac:dyDescent="0.3">
      <c r="E236" s="152">
        <v>14.21</v>
      </c>
      <c r="F236" s="153">
        <v>6</v>
      </c>
      <c r="G236" s="155" t="s">
        <v>864</v>
      </c>
      <c r="I236" s="136">
        <v>36.130000000000003</v>
      </c>
      <c r="J236" s="139">
        <v>10</v>
      </c>
      <c r="K236" s="138">
        <v>50</v>
      </c>
      <c r="M236" s="136">
        <v>13.26</v>
      </c>
      <c r="N236" s="139">
        <v>10</v>
      </c>
      <c r="O236" s="138">
        <v>50</v>
      </c>
      <c r="Q236" s="136">
        <v>36.119999999999997</v>
      </c>
      <c r="R236" s="139">
        <v>4</v>
      </c>
      <c r="S236" s="138">
        <v>2</v>
      </c>
      <c r="U236" s="136">
        <v>13.27</v>
      </c>
      <c r="V236" s="139">
        <v>16</v>
      </c>
      <c r="W236" s="138">
        <v>98</v>
      </c>
      <c r="Y236" s="136">
        <v>13.2</v>
      </c>
      <c r="Z236" s="139">
        <v>9</v>
      </c>
      <c r="AA236" s="138">
        <v>37</v>
      </c>
      <c r="AC236" s="136">
        <v>13.31</v>
      </c>
      <c r="AD236" s="139">
        <v>19</v>
      </c>
      <c r="AE236" s="138" t="s">
        <v>884</v>
      </c>
      <c r="AG236" s="136">
        <v>13.46</v>
      </c>
      <c r="AH236" s="137">
        <v>11</v>
      </c>
      <c r="AI236" s="138">
        <v>63</v>
      </c>
      <c r="AK236" s="136">
        <v>13.35</v>
      </c>
      <c r="AL236" s="139">
        <v>19</v>
      </c>
      <c r="AM236" s="138" t="s">
        <v>884</v>
      </c>
      <c r="AO236" s="136">
        <v>36.11</v>
      </c>
      <c r="AP236" s="139">
        <v>4</v>
      </c>
      <c r="AQ236" s="138">
        <v>2</v>
      </c>
      <c r="AS236" s="136">
        <v>13.25</v>
      </c>
      <c r="AT236" s="139">
        <v>10</v>
      </c>
      <c r="AU236" s="138">
        <v>50</v>
      </c>
      <c r="AW236" s="136">
        <v>36.090000000000003</v>
      </c>
      <c r="AX236" s="139">
        <v>4</v>
      </c>
      <c r="AY236" s="138">
        <v>2</v>
      </c>
      <c r="BA236" s="136">
        <v>14.11</v>
      </c>
      <c r="BB236" s="139">
        <v>9</v>
      </c>
      <c r="BC236" s="138">
        <v>37</v>
      </c>
    </row>
    <row r="237" spans="5:55" x14ac:dyDescent="0.3">
      <c r="E237" s="152">
        <v>14.22</v>
      </c>
      <c r="F237" s="153">
        <v>7</v>
      </c>
      <c r="G237" s="155" t="s">
        <v>878</v>
      </c>
      <c r="I237" s="136">
        <v>36.15</v>
      </c>
      <c r="J237" s="139">
        <v>11</v>
      </c>
      <c r="K237" s="138">
        <v>63</v>
      </c>
      <c r="M237" s="136">
        <v>13.28</v>
      </c>
      <c r="N237" s="139">
        <v>11</v>
      </c>
      <c r="O237" s="138">
        <v>63</v>
      </c>
      <c r="Q237" s="136">
        <v>36.15</v>
      </c>
      <c r="R237" s="139">
        <v>5</v>
      </c>
      <c r="S237" s="138">
        <v>5</v>
      </c>
      <c r="U237" s="136">
        <v>13.28</v>
      </c>
      <c r="V237" s="139">
        <v>17</v>
      </c>
      <c r="W237" s="138">
        <v>99</v>
      </c>
      <c r="Y237" s="136">
        <v>13.21</v>
      </c>
      <c r="Z237" s="139">
        <v>10</v>
      </c>
      <c r="AA237" s="138">
        <v>50</v>
      </c>
      <c r="AC237" s="136">
        <v>14</v>
      </c>
      <c r="AD237" s="139">
        <v>1</v>
      </c>
      <c r="AE237" s="138" t="s">
        <v>883</v>
      </c>
      <c r="AG237" s="136">
        <v>13.48</v>
      </c>
      <c r="AH237" s="137">
        <v>12</v>
      </c>
      <c r="AI237" s="138">
        <v>75</v>
      </c>
      <c r="AK237" s="136">
        <v>14</v>
      </c>
      <c r="AL237" s="139">
        <v>1</v>
      </c>
      <c r="AM237" s="138" t="s">
        <v>883</v>
      </c>
      <c r="AO237" s="136">
        <v>36.119999999999997</v>
      </c>
      <c r="AP237" s="139">
        <v>5</v>
      </c>
      <c r="AQ237" s="138">
        <v>5</v>
      </c>
      <c r="AS237" s="136">
        <v>13.27</v>
      </c>
      <c r="AT237" s="139">
        <v>11</v>
      </c>
      <c r="AU237" s="138">
        <v>63</v>
      </c>
      <c r="AW237" s="136">
        <v>36.11</v>
      </c>
      <c r="AX237" s="139">
        <v>5</v>
      </c>
      <c r="AY237" s="138">
        <v>5</v>
      </c>
      <c r="BA237" s="136">
        <v>14.12</v>
      </c>
      <c r="BB237" s="139">
        <v>10</v>
      </c>
      <c r="BC237" s="138">
        <v>50</v>
      </c>
    </row>
    <row r="238" spans="5:55" x14ac:dyDescent="0.3">
      <c r="E238" s="152">
        <v>14.23</v>
      </c>
      <c r="F238" s="153">
        <v>8</v>
      </c>
      <c r="G238" s="155" t="s">
        <v>865</v>
      </c>
      <c r="I238" s="136">
        <v>36.159999999999997</v>
      </c>
      <c r="J238" s="139">
        <v>12</v>
      </c>
      <c r="K238" s="138">
        <v>75</v>
      </c>
      <c r="M238" s="136">
        <v>13.3</v>
      </c>
      <c r="N238" s="139">
        <v>12</v>
      </c>
      <c r="O238" s="138">
        <v>75</v>
      </c>
      <c r="Q238" s="136">
        <v>36.17</v>
      </c>
      <c r="R238" s="139">
        <v>6</v>
      </c>
      <c r="S238" s="138">
        <v>9</v>
      </c>
      <c r="U238" s="136">
        <v>13.3</v>
      </c>
      <c r="V238" s="139">
        <v>18</v>
      </c>
      <c r="W238" s="138" t="s">
        <v>884</v>
      </c>
      <c r="Y238" s="136">
        <v>13.23</v>
      </c>
      <c r="Z238" s="139">
        <v>11</v>
      </c>
      <c r="AA238" s="138">
        <v>63</v>
      </c>
      <c r="AC238" s="136">
        <v>14.09</v>
      </c>
      <c r="AD238" s="139">
        <v>2</v>
      </c>
      <c r="AE238" s="138" t="s">
        <v>883</v>
      </c>
      <c r="AG238" s="136">
        <v>13.5</v>
      </c>
      <c r="AH238" s="137">
        <v>13</v>
      </c>
      <c r="AI238" s="138">
        <v>85</v>
      </c>
      <c r="AK238" s="136">
        <v>14.16</v>
      </c>
      <c r="AL238" s="139">
        <v>2</v>
      </c>
      <c r="AM238" s="138" t="s">
        <v>883</v>
      </c>
      <c r="AO238" s="136">
        <v>36.14</v>
      </c>
      <c r="AP238" s="139">
        <v>6</v>
      </c>
      <c r="AQ238" s="138">
        <v>9</v>
      </c>
      <c r="AS238" s="136">
        <v>13.28</v>
      </c>
      <c r="AT238" s="139">
        <v>12</v>
      </c>
      <c r="AU238" s="138">
        <v>75</v>
      </c>
      <c r="AW238" s="136">
        <v>36.119999999999997</v>
      </c>
      <c r="AX238" s="139">
        <v>6</v>
      </c>
      <c r="AY238" s="138">
        <v>9</v>
      </c>
      <c r="BA238" s="136">
        <v>14.13</v>
      </c>
      <c r="BB238" s="139">
        <v>11</v>
      </c>
      <c r="BC238" s="138">
        <v>63</v>
      </c>
    </row>
    <row r="239" spans="5:55" x14ac:dyDescent="0.3">
      <c r="E239" s="152">
        <v>14.24</v>
      </c>
      <c r="F239" s="153">
        <v>9</v>
      </c>
      <c r="G239" s="155" t="s">
        <v>879</v>
      </c>
      <c r="I239" s="136">
        <v>36.18</v>
      </c>
      <c r="J239" s="139">
        <v>13</v>
      </c>
      <c r="K239" s="138">
        <v>85</v>
      </c>
      <c r="M239" s="136">
        <v>13.32</v>
      </c>
      <c r="N239" s="139">
        <v>13</v>
      </c>
      <c r="O239" s="138">
        <v>85</v>
      </c>
      <c r="Q239" s="136">
        <v>36.19</v>
      </c>
      <c r="R239" s="139">
        <v>7</v>
      </c>
      <c r="S239" s="138">
        <v>16</v>
      </c>
      <c r="U239" s="136">
        <v>13.32</v>
      </c>
      <c r="V239" s="139">
        <v>19</v>
      </c>
      <c r="W239" s="138" t="s">
        <v>884</v>
      </c>
      <c r="Y239" s="136">
        <v>13.24</v>
      </c>
      <c r="Z239" s="139">
        <v>12</v>
      </c>
      <c r="AA239" s="138">
        <v>75</v>
      </c>
      <c r="AC239" s="136">
        <v>14.11</v>
      </c>
      <c r="AD239" s="139">
        <v>3</v>
      </c>
      <c r="AE239" s="138">
        <v>1</v>
      </c>
      <c r="AG239" s="136">
        <v>13.52</v>
      </c>
      <c r="AH239" s="137">
        <v>14</v>
      </c>
      <c r="AI239" s="138">
        <v>91</v>
      </c>
      <c r="AK239" s="136">
        <v>14.18</v>
      </c>
      <c r="AL239" s="139">
        <v>3</v>
      </c>
      <c r="AM239" s="138">
        <v>1</v>
      </c>
      <c r="AO239" s="136">
        <v>36.15</v>
      </c>
      <c r="AP239" s="139">
        <v>7</v>
      </c>
      <c r="AQ239" s="138">
        <v>16</v>
      </c>
      <c r="AS239" s="136">
        <v>13.3</v>
      </c>
      <c r="AT239" s="139">
        <v>13</v>
      </c>
      <c r="AU239" s="138">
        <v>85</v>
      </c>
      <c r="AW239" s="136">
        <v>36.14</v>
      </c>
      <c r="AX239" s="139">
        <v>7</v>
      </c>
      <c r="AY239" s="138">
        <v>16</v>
      </c>
      <c r="BA239" s="136">
        <v>14.14</v>
      </c>
      <c r="BB239" s="139">
        <v>12</v>
      </c>
      <c r="BC239" s="138">
        <v>75</v>
      </c>
    </row>
    <row r="240" spans="5:55" x14ac:dyDescent="0.3">
      <c r="E240" s="152">
        <v>14.26</v>
      </c>
      <c r="F240" s="153">
        <v>10</v>
      </c>
      <c r="G240" s="155" t="s">
        <v>866</v>
      </c>
      <c r="I240" s="136">
        <v>36.200000000000003</v>
      </c>
      <c r="J240" s="139">
        <v>14</v>
      </c>
      <c r="K240" s="138">
        <v>91</v>
      </c>
      <c r="M240" s="136">
        <v>13.34</v>
      </c>
      <c r="N240" s="139">
        <v>14</v>
      </c>
      <c r="O240" s="138">
        <v>91</v>
      </c>
      <c r="Q240" s="136">
        <v>36.21</v>
      </c>
      <c r="R240" s="139">
        <v>8</v>
      </c>
      <c r="S240" s="138">
        <v>25</v>
      </c>
      <c r="U240" s="136">
        <v>14</v>
      </c>
      <c r="V240" s="139">
        <v>1</v>
      </c>
      <c r="W240" s="138" t="s">
        <v>883</v>
      </c>
      <c r="Y240" s="136">
        <v>13.25</v>
      </c>
      <c r="Z240" s="139">
        <v>13</v>
      </c>
      <c r="AA240" s="138">
        <v>85</v>
      </c>
      <c r="AC240" s="136">
        <v>14.13</v>
      </c>
      <c r="AD240" s="139">
        <v>4</v>
      </c>
      <c r="AE240" s="138">
        <v>2</v>
      </c>
      <c r="AG240" s="136">
        <v>13.54</v>
      </c>
      <c r="AH240" s="137">
        <v>15</v>
      </c>
      <c r="AI240" s="138">
        <v>95</v>
      </c>
      <c r="AK240" s="136">
        <v>14.2</v>
      </c>
      <c r="AL240" s="139">
        <v>4</v>
      </c>
      <c r="AM240" s="138">
        <v>2</v>
      </c>
      <c r="AO240" s="136">
        <v>36.159999999999997</v>
      </c>
      <c r="AP240" s="139">
        <v>8</v>
      </c>
      <c r="AQ240" s="138">
        <v>25</v>
      </c>
      <c r="AS240" s="136">
        <v>13.31</v>
      </c>
      <c r="AT240" s="139">
        <v>14</v>
      </c>
      <c r="AU240" s="138">
        <v>91</v>
      </c>
      <c r="AW240" s="136">
        <v>36.159999999999997</v>
      </c>
      <c r="AX240" s="139">
        <v>8</v>
      </c>
      <c r="AY240" s="138">
        <v>25</v>
      </c>
      <c r="BA240" s="136">
        <v>14.15</v>
      </c>
      <c r="BB240" s="139">
        <v>13</v>
      </c>
      <c r="BC240" s="138">
        <v>85</v>
      </c>
    </row>
    <row r="241" spans="5:55" x14ac:dyDescent="0.3">
      <c r="E241" s="152">
        <v>14.27</v>
      </c>
      <c r="F241" s="153">
        <v>11</v>
      </c>
      <c r="G241" s="155" t="s">
        <v>867</v>
      </c>
      <c r="I241" s="136">
        <v>36.21</v>
      </c>
      <c r="J241" s="139">
        <v>15</v>
      </c>
      <c r="K241" s="138">
        <v>95</v>
      </c>
      <c r="M241" s="136">
        <v>13.37</v>
      </c>
      <c r="N241" s="139">
        <v>15</v>
      </c>
      <c r="O241" s="138">
        <v>95</v>
      </c>
      <c r="Q241" s="136">
        <v>36.229999999999997</v>
      </c>
      <c r="R241" s="139">
        <v>9</v>
      </c>
      <c r="S241" s="138">
        <v>37</v>
      </c>
      <c r="U241" s="136">
        <v>14.02</v>
      </c>
      <c r="V241" s="139">
        <v>2</v>
      </c>
      <c r="W241" s="138" t="s">
        <v>883</v>
      </c>
      <c r="Y241" s="136">
        <v>13.26</v>
      </c>
      <c r="Z241" s="139">
        <v>14</v>
      </c>
      <c r="AA241" s="138">
        <v>91</v>
      </c>
      <c r="AC241" s="136">
        <v>14.14</v>
      </c>
      <c r="AD241" s="139">
        <v>5</v>
      </c>
      <c r="AE241" s="138">
        <v>5</v>
      </c>
      <c r="AG241" s="136">
        <v>13.56</v>
      </c>
      <c r="AH241" s="137">
        <v>16</v>
      </c>
      <c r="AI241" s="138">
        <v>98</v>
      </c>
      <c r="AK241" s="136">
        <v>14.21</v>
      </c>
      <c r="AL241" s="139">
        <v>5</v>
      </c>
      <c r="AM241" s="138">
        <v>5</v>
      </c>
      <c r="AO241" s="136">
        <v>36.17</v>
      </c>
      <c r="AP241" s="139">
        <v>9</v>
      </c>
      <c r="AQ241" s="138">
        <v>37</v>
      </c>
      <c r="AS241" s="136">
        <v>13.33</v>
      </c>
      <c r="AT241" s="139">
        <v>15</v>
      </c>
      <c r="AU241" s="138">
        <v>95</v>
      </c>
      <c r="AW241" s="136">
        <v>36.18</v>
      </c>
      <c r="AX241" s="139">
        <v>9</v>
      </c>
      <c r="AY241" s="138">
        <v>37</v>
      </c>
      <c r="BA241" s="136">
        <v>14.16</v>
      </c>
      <c r="BB241" s="139">
        <v>14</v>
      </c>
      <c r="BC241" s="138">
        <v>91</v>
      </c>
    </row>
    <row r="242" spans="5:55" x14ac:dyDescent="0.3">
      <c r="E242" s="152">
        <v>14.28</v>
      </c>
      <c r="F242" s="153">
        <v>12</v>
      </c>
      <c r="G242" s="155" t="s">
        <v>868</v>
      </c>
      <c r="I242" s="136">
        <v>36.229999999999997</v>
      </c>
      <c r="J242" s="139">
        <v>16</v>
      </c>
      <c r="K242" s="138">
        <v>98</v>
      </c>
      <c r="M242" s="136">
        <v>13.39</v>
      </c>
      <c r="N242" s="139">
        <v>16</v>
      </c>
      <c r="O242" s="138">
        <v>98</v>
      </c>
      <c r="Q242" s="136">
        <v>36.25</v>
      </c>
      <c r="R242" s="139">
        <v>10</v>
      </c>
      <c r="S242" s="138">
        <v>50</v>
      </c>
      <c r="U242" s="136">
        <v>14.04</v>
      </c>
      <c r="V242" s="139">
        <v>3</v>
      </c>
      <c r="W242" s="138">
        <v>1</v>
      </c>
      <c r="Y242" s="136">
        <v>13.27</v>
      </c>
      <c r="Z242" s="139">
        <v>15</v>
      </c>
      <c r="AA242" s="138">
        <v>95</v>
      </c>
      <c r="AC242" s="136">
        <v>14.16</v>
      </c>
      <c r="AD242" s="139">
        <v>6</v>
      </c>
      <c r="AE242" s="138">
        <v>9</v>
      </c>
      <c r="AG242" s="136">
        <v>13.58</v>
      </c>
      <c r="AH242" s="137">
        <v>17</v>
      </c>
      <c r="AI242" s="138">
        <v>99</v>
      </c>
      <c r="AK242" s="136">
        <v>14.22</v>
      </c>
      <c r="AL242" s="139">
        <v>6</v>
      </c>
      <c r="AM242" s="138">
        <v>9</v>
      </c>
      <c r="AO242" s="136">
        <v>36.18</v>
      </c>
      <c r="AP242" s="139">
        <v>10</v>
      </c>
      <c r="AQ242" s="138">
        <v>50</v>
      </c>
      <c r="AS242" s="136">
        <v>13.34</v>
      </c>
      <c r="AT242" s="139">
        <v>16</v>
      </c>
      <c r="AU242" s="138">
        <v>98</v>
      </c>
      <c r="AW242" s="136">
        <v>36.200000000000003</v>
      </c>
      <c r="AX242" s="139">
        <v>10</v>
      </c>
      <c r="AY242" s="138">
        <v>50</v>
      </c>
      <c r="BA242" s="136">
        <v>14.17</v>
      </c>
      <c r="BB242" s="139">
        <v>15</v>
      </c>
      <c r="BC242" s="138">
        <v>95</v>
      </c>
    </row>
    <row r="243" spans="5:55" x14ac:dyDescent="0.3">
      <c r="E243" s="152">
        <v>14.29</v>
      </c>
      <c r="F243" s="153">
        <v>13</v>
      </c>
      <c r="G243" s="155" t="s">
        <v>869</v>
      </c>
      <c r="I243" s="136">
        <v>36.25</v>
      </c>
      <c r="J243" s="139">
        <v>17</v>
      </c>
      <c r="K243" s="138">
        <v>99</v>
      </c>
      <c r="M243" s="136">
        <v>13.41</v>
      </c>
      <c r="N243" s="139">
        <v>17</v>
      </c>
      <c r="O243" s="138">
        <v>99</v>
      </c>
      <c r="Q243" s="136">
        <v>36.270000000000003</v>
      </c>
      <c r="R243" s="139">
        <v>11</v>
      </c>
      <c r="S243" s="138">
        <v>63</v>
      </c>
      <c r="U243" s="136">
        <v>14.06</v>
      </c>
      <c r="V243" s="139">
        <v>4</v>
      </c>
      <c r="W243" s="138">
        <v>2</v>
      </c>
      <c r="Y243" s="136">
        <v>13.28</v>
      </c>
      <c r="Z243" s="139">
        <v>16</v>
      </c>
      <c r="AA243" s="138">
        <v>98</v>
      </c>
      <c r="AC243" s="136">
        <v>14.17</v>
      </c>
      <c r="AD243" s="139">
        <v>7</v>
      </c>
      <c r="AE243" s="138">
        <v>16</v>
      </c>
      <c r="AG243" s="136">
        <v>13.6</v>
      </c>
      <c r="AH243" s="137">
        <v>18</v>
      </c>
      <c r="AI243" s="138" t="s">
        <v>884</v>
      </c>
      <c r="AK243" s="136">
        <v>14.23</v>
      </c>
      <c r="AL243" s="139">
        <v>7</v>
      </c>
      <c r="AM243" s="138">
        <v>16</v>
      </c>
      <c r="AO243" s="136">
        <v>36.19</v>
      </c>
      <c r="AP243" s="139">
        <v>11</v>
      </c>
      <c r="AQ243" s="138">
        <v>63</v>
      </c>
      <c r="AS243" s="136">
        <v>13.36</v>
      </c>
      <c r="AT243" s="139">
        <v>17</v>
      </c>
      <c r="AU243" s="138">
        <v>99</v>
      </c>
      <c r="AW243" s="136">
        <v>36.22</v>
      </c>
      <c r="AX243" s="139">
        <v>11</v>
      </c>
      <c r="AY243" s="138">
        <v>63</v>
      </c>
      <c r="BA243" s="136">
        <v>14.18</v>
      </c>
      <c r="BB243" s="139">
        <v>16</v>
      </c>
      <c r="BC243" s="138">
        <v>98</v>
      </c>
    </row>
    <row r="244" spans="5:55" x14ac:dyDescent="0.3">
      <c r="E244" s="152">
        <v>14.31</v>
      </c>
      <c r="F244" s="153">
        <v>14</v>
      </c>
      <c r="G244" s="155" t="s">
        <v>870</v>
      </c>
      <c r="I244" s="136">
        <v>36.270000000000003</v>
      </c>
      <c r="J244" s="139">
        <v>18</v>
      </c>
      <c r="K244" s="138" t="s">
        <v>884</v>
      </c>
      <c r="M244" s="136">
        <v>13.43</v>
      </c>
      <c r="N244" s="139">
        <v>18</v>
      </c>
      <c r="O244" s="138" t="s">
        <v>884</v>
      </c>
      <c r="Q244" s="136">
        <v>36.29</v>
      </c>
      <c r="R244" s="139">
        <v>12</v>
      </c>
      <c r="S244" s="138">
        <v>75</v>
      </c>
      <c r="U244" s="136">
        <v>14.07</v>
      </c>
      <c r="V244" s="139">
        <v>5</v>
      </c>
      <c r="W244" s="138">
        <v>5</v>
      </c>
      <c r="Y244" s="136">
        <v>13.29</v>
      </c>
      <c r="Z244" s="139">
        <v>17</v>
      </c>
      <c r="AA244" s="138">
        <v>99</v>
      </c>
      <c r="AC244" s="136">
        <v>14.18</v>
      </c>
      <c r="AD244" s="139">
        <v>8</v>
      </c>
      <c r="AE244" s="138">
        <v>25</v>
      </c>
      <c r="AG244" s="136">
        <v>13.62</v>
      </c>
      <c r="AH244" s="137">
        <v>19</v>
      </c>
      <c r="AI244" s="138" t="s">
        <v>884</v>
      </c>
      <c r="AK244" s="136">
        <v>14.24</v>
      </c>
      <c r="AL244" s="139">
        <v>8</v>
      </c>
      <c r="AM244" s="138">
        <v>25</v>
      </c>
      <c r="AO244" s="136">
        <v>36.200000000000003</v>
      </c>
      <c r="AP244" s="139">
        <v>12</v>
      </c>
      <c r="AQ244" s="138">
        <v>75</v>
      </c>
      <c r="AS244" s="136">
        <v>13.37</v>
      </c>
      <c r="AT244" s="139">
        <v>18</v>
      </c>
      <c r="AU244" s="138" t="s">
        <v>884</v>
      </c>
      <c r="AW244" s="136">
        <v>36.24</v>
      </c>
      <c r="AX244" s="139">
        <v>12</v>
      </c>
      <c r="AY244" s="138">
        <v>75</v>
      </c>
      <c r="BA244" s="136">
        <v>14.19</v>
      </c>
      <c r="BB244" s="139">
        <v>17</v>
      </c>
      <c r="BC244" s="138">
        <v>99</v>
      </c>
    </row>
    <row r="245" spans="5:55" x14ac:dyDescent="0.3">
      <c r="E245" s="152">
        <v>14.32</v>
      </c>
      <c r="F245" s="153">
        <v>15</v>
      </c>
      <c r="G245" s="155" t="s">
        <v>871</v>
      </c>
      <c r="I245" s="136">
        <v>36.29</v>
      </c>
      <c r="J245" s="139">
        <v>19</v>
      </c>
      <c r="K245" s="138" t="s">
        <v>884</v>
      </c>
      <c r="M245" s="136">
        <v>13.45</v>
      </c>
      <c r="N245" s="139">
        <v>19</v>
      </c>
      <c r="O245" s="138" t="s">
        <v>884</v>
      </c>
      <c r="Q245" s="136">
        <v>36.31</v>
      </c>
      <c r="R245" s="139">
        <v>13</v>
      </c>
      <c r="S245" s="138">
        <v>85</v>
      </c>
      <c r="U245" s="136">
        <v>14.09</v>
      </c>
      <c r="V245" s="139">
        <v>6</v>
      </c>
      <c r="W245" s="138">
        <v>9</v>
      </c>
      <c r="Y245" s="136">
        <v>13.3</v>
      </c>
      <c r="Z245" s="139">
        <v>18</v>
      </c>
      <c r="AA245" s="138" t="s">
        <v>884</v>
      </c>
      <c r="AC245" s="136">
        <v>14.19</v>
      </c>
      <c r="AD245" s="139">
        <v>9</v>
      </c>
      <c r="AE245" s="138">
        <v>37</v>
      </c>
      <c r="AG245" s="136">
        <v>14</v>
      </c>
      <c r="AH245" s="137">
        <v>1</v>
      </c>
      <c r="AI245" s="138" t="s">
        <v>883</v>
      </c>
      <c r="AK245" s="136">
        <v>14.25</v>
      </c>
      <c r="AL245" s="139">
        <v>9</v>
      </c>
      <c r="AM245" s="138">
        <v>37</v>
      </c>
      <c r="AO245" s="136">
        <v>36.21</v>
      </c>
      <c r="AP245" s="139">
        <v>13</v>
      </c>
      <c r="AQ245" s="138">
        <v>85</v>
      </c>
      <c r="AS245" s="136">
        <v>13.39</v>
      </c>
      <c r="AT245" s="139">
        <v>19</v>
      </c>
      <c r="AU245" s="138" t="s">
        <v>884</v>
      </c>
      <c r="AW245" s="136">
        <v>36.26</v>
      </c>
      <c r="AX245" s="139">
        <v>13</v>
      </c>
      <c r="AY245" s="138">
        <v>85</v>
      </c>
      <c r="BA245" s="136">
        <v>14.2</v>
      </c>
      <c r="BB245" s="139">
        <v>18</v>
      </c>
      <c r="BC245" s="138" t="s">
        <v>884</v>
      </c>
    </row>
    <row r="246" spans="5:55" x14ac:dyDescent="0.3">
      <c r="E246" s="152">
        <v>14.33</v>
      </c>
      <c r="F246" s="153">
        <v>16</v>
      </c>
      <c r="G246" s="155" t="s">
        <v>872</v>
      </c>
      <c r="I246" s="136">
        <v>37</v>
      </c>
      <c r="J246" s="139">
        <v>1</v>
      </c>
      <c r="K246" s="138" t="s">
        <v>883</v>
      </c>
      <c r="M246" s="136">
        <v>14</v>
      </c>
      <c r="N246" s="139">
        <v>1</v>
      </c>
      <c r="O246" s="138" t="s">
        <v>883</v>
      </c>
      <c r="Q246" s="136">
        <v>36.33</v>
      </c>
      <c r="R246" s="139">
        <v>14</v>
      </c>
      <c r="S246" s="138">
        <v>91</v>
      </c>
      <c r="U246" s="136">
        <v>14.11</v>
      </c>
      <c r="V246" s="139">
        <v>7</v>
      </c>
      <c r="W246" s="138">
        <v>16</v>
      </c>
      <c r="Y246" s="136">
        <v>13.31</v>
      </c>
      <c r="Z246" s="139">
        <v>19</v>
      </c>
      <c r="AA246" s="138" t="s">
        <v>884</v>
      </c>
      <c r="AC246" s="136">
        <v>14.2</v>
      </c>
      <c r="AD246" s="139">
        <v>10</v>
      </c>
      <c r="AE246" s="138">
        <v>50</v>
      </c>
      <c r="AG246" s="136">
        <v>14.27</v>
      </c>
      <c r="AH246" s="137">
        <v>2</v>
      </c>
      <c r="AI246" s="138" t="s">
        <v>883</v>
      </c>
      <c r="AK246" s="136">
        <v>14.26</v>
      </c>
      <c r="AL246" s="139">
        <v>10</v>
      </c>
      <c r="AM246" s="138">
        <v>50</v>
      </c>
      <c r="AO246" s="136">
        <v>36.22</v>
      </c>
      <c r="AP246" s="139">
        <v>14</v>
      </c>
      <c r="AQ246" s="138">
        <v>91</v>
      </c>
      <c r="AS246" s="136">
        <v>14</v>
      </c>
      <c r="AT246" s="139">
        <v>1</v>
      </c>
      <c r="AU246" s="138" t="s">
        <v>883</v>
      </c>
      <c r="AW246" s="136">
        <v>36.28</v>
      </c>
      <c r="AX246" s="139">
        <v>14</v>
      </c>
      <c r="AY246" s="138">
        <v>91</v>
      </c>
      <c r="BA246" s="136">
        <v>14.21</v>
      </c>
      <c r="BB246" s="139">
        <v>19</v>
      </c>
      <c r="BC246" s="138" t="s">
        <v>884</v>
      </c>
    </row>
    <row r="247" spans="5:55" x14ac:dyDescent="0.3">
      <c r="E247" s="152">
        <v>14.34</v>
      </c>
      <c r="F247" s="153">
        <v>17</v>
      </c>
      <c r="G247" s="155" t="s">
        <v>873</v>
      </c>
      <c r="I247" s="136">
        <v>37.01</v>
      </c>
      <c r="J247" s="139">
        <v>2</v>
      </c>
      <c r="K247" s="138" t="s">
        <v>883</v>
      </c>
      <c r="M247" s="136">
        <v>14.08</v>
      </c>
      <c r="N247" s="139">
        <v>2</v>
      </c>
      <c r="O247" s="138" t="s">
        <v>883</v>
      </c>
      <c r="Q247" s="136">
        <v>36.35</v>
      </c>
      <c r="R247" s="139">
        <v>15</v>
      </c>
      <c r="S247" s="138">
        <v>95</v>
      </c>
      <c r="U247" s="136">
        <v>14.14</v>
      </c>
      <c r="V247" s="139">
        <v>8</v>
      </c>
      <c r="W247" s="138">
        <v>25</v>
      </c>
      <c r="Y247" s="136">
        <v>14</v>
      </c>
      <c r="Z247" s="139">
        <v>1</v>
      </c>
      <c r="AA247" s="138" t="s">
        <v>883</v>
      </c>
      <c r="AC247" s="136">
        <v>14.21</v>
      </c>
      <c r="AD247" s="139">
        <v>11</v>
      </c>
      <c r="AE247" s="138">
        <v>63</v>
      </c>
      <c r="AG247" s="136">
        <v>14.31</v>
      </c>
      <c r="AH247" s="137">
        <v>3</v>
      </c>
      <c r="AI247" s="138">
        <v>1</v>
      </c>
      <c r="AK247" s="136">
        <v>14.27</v>
      </c>
      <c r="AL247" s="139">
        <v>11</v>
      </c>
      <c r="AM247" s="138">
        <v>63</v>
      </c>
      <c r="AO247" s="136">
        <v>36.229999999999997</v>
      </c>
      <c r="AP247" s="139">
        <v>15</v>
      </c>
      <c r="AQ247" s="138">
        <v>95</v>
      </c>
      <c r="AS247" s="136">
        <v>14.13</v>
      </c>
      <c r="AT247" s="139">
        <v>2</v>
      </c>
      <c r="AU247" s="138" t="s">
        <v>883</v>
      </c>
      <c r="AW247" s="136">
        <v>36.299999999999997</v>
      </c>
      <c r="AX247" s="139">
        <v>15</v>
      </c>
      <c r="AY247" s="138">
        <v>95</v>
      </c>
      <c r="BA247" s="136">
        <v>15</v>
      </c>
      <c r="BB247" s="139">
        <v>1</v>
      </c>
      <c r="BC247" s="138" t="s">
        <v>883</v>
      </c>
    </row>
    <row r="248" spans="5:55" x14ac:dyDescent="0.3">
      <c r="E248" s="152">
        <v>14.36</v>
      </c>
      <c r="F248" s="153">
        <v>18</v>
      </c>
      <c r="G248" s="155" t="s">
        <v>874</v>
      </c>
      <c r="I248" s="136">
        <v>37.03</v>
      </c>
      <c r="J248" s="139">
        <v>3</v>
      </c>
      <c r="K248" s="138">
        <v>1</v>
      </c>
      <c r="M248" s="136">
        <v>14.13</v>
      </c>
      <c r="N248" s="139">
        <v>3</v>
      </c>
      <c r="O248" s="138">
        <v>1</v>
      </c>
      <c r="Q248" s="136">
        <v>36.369999999999997</v>
      </c>
      <c r="R248" s="139">
        <v>16</v>
      </c>
      <c r="S248" s="138">
        <v>98</v>
      </c>
      <c r="U248" s="136">
        <v>14.16</v>
      </c>
      <c r="V248" s="139">
        <v>9</v>
      </c>
      <c r="W248" s="138">
        <v>37</v>
      </c>
      <c r="Y248" s="136">
        <v>14.13</v>
      </c>
      <c r="Z248" s="139">
        <v>2</v>
      </c>
      <c r="AA248" s="138" t="s">
        <v>883</v>
      </c>
      <c r="AC248" s="136">
        <v>14.22</v>
      </c>
      <c r="AD248" s="139">
        <v>12</v>
      </c>
      <c r="AE248" s="138">
        <v>75</v>
      </c>
      <c r="AG248" s="136">
        <v>14.33</v>
      </c>
      <c r="AH248" s="137">
        <v>4</v>
      </c>
      <c r="AI248" s="138">
        <v>2</v>
      </c>
      <c r="AK248" s="136">
        <v>14.28</v>
      </c>
      <c r="AL248" s="139">
        <v>12</v>
      </c>
      <c r="AM248" s="138">
        <v>75</v>
      </c>
      <c r="AO248" s="136">
        <v>36.24</v>
      </c>
      <c r="AP248" s="139">
        <v>16</v>
      </c>
      <c r="AQ248" s="138">
        <v>98</v>
      </c>
      <c r="AS248" s="136">
        <v>14.15</v>
      </c>
      <c r="AT248" s="139">
        <v>3</v>
      </c>
      <c r="AU248" s="138">
        <v>1</v>
      </c>
      <c r="AW248" s="136">
        <v>36.32</v>
      </c>
      <c r="AX248" s="139">
        <v>16</v>
      </c>
      <c r="AY248" s="138">
        <v>98</v>
      </c>
      <c r="BA248" s="136">
        <v>15.05</v>
      </c>
      <c r="BB248" s="139">
        <v>2</v>
      </c>
      <c r="BC248" s="138" t="s">
        <v>883</v>
      </c>
    </row>
    <row r="249" spans="5:55" ht="19.5" thickBot="1" x14ac:dyDescent="0.35">
      <c r="E249" s="157">
        <v>14.39</v>
      </c>
      <c r="F249" s="158">
        <v>19</v>
      </c>
      <c r="G249" s="159" t="s">
        <v>874</v>
      </c>
      <c r="I249" s="136">
        <v>37.04</v>
      </c>
      <c r="J249" s="139">
        <v>4</v>
      </c>
      <c r="K249" s="138">
        <v>2</v>
      </c>
      <c r="M249" s="136">
        <v>14.15</v>
      </c>
      <c r="N249" s="139">
        <v>4</v>
      </c>
      <c r="O249" s="138">
        <v>2</v>
      </c>
      <c r="Q249" s="136">
        <v>36.39</v>
      </c>
      <c r="R249" s="139">
        <v>17</v>
      </c>
      <c r="S249" s="138">
        <v>99</v>
      </c>
      <c r="U249" s="136">
        <v>14.18</v>
      </c>
      <c r="V249" s="139">
        <v>10</v>
      </c>
      <c r="W249" s="138">
        <v>50</v>
      </c>
      <c r="Y249" s="136">
        <v>14.14</v>
      </c>
      <c r="Z249" s="139">
        <v>3</v>
      </c>
      <c r="AA249" s="138">
        <v>1</v>
      </c>
      <c r="AC249" s="136">
        <v>14.24</v>
      </c>
      <c r="AD249" s="139">
        <v>13</v>
      </c>
      <c r="AE249" s="138">
        <v>85</v>
      </c>
      <c r="AG249" s="136">
        <v>14.35</v>
      </c>
      <c r="AH249" s="137">
        <v>5</v>
      </c>
      <c r="AI249" s="138">
        <v>5</v>
      </c>
      <c r="AK249" s="136">
        <v>14.29</v>
      </c>
      <c r="AL249" s="139">
        <v>13</v>
      </c>
      <c r="AM249" s="138">
        <v>85</v>
      </c>
      <c r="AO249" s="136">
        <v>36.25</v>
      </c>
      <c r="AP249" s="139">
        <v>17</v>
      </c>
      <c r="AQ249" s="138">
        <v>99</v>
      </c>
      <c r="AS249" s="136">
        <v>14.16</v>
      </c>
      <c r="AT249" s="139">
        <v>4</v>
      </c>
      <c r="AU249" s="138">
        <v>2</v>
      </c>
      <c r="AW249" s="136">
        <v>36.340000000000003</v>
      </c>
      <c r="AX249" s="139">
        <v>17</v>
      </c>
      <c r="AY249" s="138">
        <v>99</v>
      </c>
      <c r="BA249" s="136">
        <v>15.06</v>
      </c>
      <c r="BB249" s="139">
        <v>3</v>
      </c>
      <c r="BC249" s="138">
        <v>1</v>
      </c>
    </row>
    <row r="250" spans="5:55" x14ac:dyDescent="0.3">
      <c r="E250" s="160">
        <v>15</v>
      </c>
      <c r="F250" s="161">
        <v>1</v>
      </c>
      <c r="G250" s="162" t="s">
        <v>862</v>
      </c>
      <c r="I250" s="136">
        <v>37.049999999999997</v>
      </c>
      <c r="J250" s="139">
        <v>5</v>
      </c>
      <c r="K250" s="138">
        <v>5</v>
      </c>
      <c r="M250" s="136">
        <v>14.17</v>
      </c>
      <c r="N250" s="139">
        <v>5</v>
      </c>
      <c r="O250" s="138">
        <v>5</v>
      </c>
      <c r="Q250" s="136">
        <v>36.42</v>
      </c>
      <c r="R250" s="139">
        <v>18</v>
      </c>
      <c r="S250" s="138" t="s">
        <v>884</v>
      </c>
      <c r="U250" s="136">
        <v>14.2</v>
      </c>
      <c r="V250" s="139">
        <v>11</v>
      </c>
      <c r="W250" s="138">
        <v>63</v>
      </c>
      <c r="Y250" s="136">
        <v>14.15</v>
      </c>
      <c r="Z250" s="139">
        <v>4</v>
      </c>
      <c r="AA250" s="138">
        <v>2</v>
      </c>
      <c r="AC250" s="136">
        <v>14.25</v>
      </c>
      <c r="AD250" s="139">
        <v>14</v>
      </c>
      <c r="AE250" s="138">
        <v>91</v>
      </c>
      <c r="AG250" s="136">
        <v>14.38</v>
      </c>
      <c r="AH250" s="137">
        <v>6</v>
      </c>
      <c r="AI250" s="138">
        <v>9</v>
      </c>
      <c r="AK250" s="136">
        <v>14.3</v>
      </c>
      <c r="AL250" s="139">
        <v>14</v>
      </c>
      <c r="AM250" s="138">
        <v>91</v>
      </c>
      <c r="AO250" s="136">
        <v>36.26</v>
      </c>
      <c r="AP250" s="139">
        <v>18</v>
      </c>
      <c r="AQ250" s="138" t="s">
        <v>884</v>
      </c>
      <c r="AS250" s="136">
        <v>14.18</v>
      </c>
      <c r="AT250" s="139">
        <v>5</v>
      </c>
      <c r="AU250" s="138">
        <v>5</v>
      </c>
      <c r="AW250" s="136">
        <v>36.36</v>
      </c>
      <c r="AX250" s="139">
        <v>18</v>
      </c>
      <c r="AY250" s="138" t="s">
        <v>884</v>
      </c>
      <c r="BA250" s="136">
        <v>15.07</v>
      </c>
      <c r="BB250" s="139">
        <v>4</v>
      </c>
      <c r="BC250" s="138">
        <v>2</v>
      </c>
    </row>
    <row r="251" spans="5:55" x14ac:dyDescent="0.3">
      <c r="E251" s="152">
        <v>15.15</v>
      </c>
      <c r="F251" s="153">
        <v>2</v>
      </c>
      <c r="G251" s="155" t="s">
        <v>862</v>
      </c>
      <c r="I251" s="136">
        <v>37.06</v>
      </c>
      <c r="J251" s="139">
        <v>6</v>
      </c>
      <c r="K251" s="138">
        <v>9</v>
      </c>
      <c r="M251" s="136">
        <v>14.19</v>
      </c>
      <c r="N251" s="139">
        <v>6</v>
      </c>
      <c r="O251" s="138">
        <v>9</v>
      </c>
      <c r="Q251" s="136">
        <v>36.43</v>
      </c>
      <c r="R251" s="139">
        <v>19</v>
      </c>
      <c r="S251" s="138" t="s">
        <v>884</v>
      </c>
      <c r="U251" s="136">
        <v>14.21</v>
      </c>
      <c r="V251" s="139">
        <v>12</v>
      </c>
      <c r="W251" s="138">
        <v>75</v>
      </c>
      <c r="Y251" s="136">
        <v>14.17</v>
      </c>
      <c r="Z251" s="139">
        <v>5</v>
      </c>
      <c r="AA251" s="138">
        <v>5</v>
      </c>
      <c r="AC251" s="136">
        <v>14.26</v>
      </c>
      <c r="AD251" s="139">
        <v>15</v>
      </c>
      <c r="AE251" s="138">
        <v>95</v>
      </c>
      <c r="AG251" s="136">
        <v>14.4</v>
      </c>
      <c r="AH251" s="137">
        <v>7</v>
      </c>
      <c r="AI251" s="138">
        <v>16</v>
      </c>
      <c r="AK251" s="136">
        <v>14.31</v>
      </c>
      <c r="AL251" s="139">
        <v>15</v>
      </c>
      <c r="AM251" s="138">
        <v>95</v>
      </c>
      <c r="AO251" s="136">
        <v>36.29</v>
      </c>
      <c r="AP251" s="139">
        <v>19</v>
      </c>
      <c r="AQ251" s="138" t="s">
        <v>884</v>
      </c>
      <c r="AS251" s="136">
        <v>14.19</v>
      </c>
      <c r="AT251" s="139">
        <v>6</v>
      </c>
      <c r="AU251" s="138">
        <v>9</v>
      </c>
      <c r="AW251" s="136">
        <v>36.4</v>
      </c>
      <c r="AX251" s="139">
        <v>19</v>
      </c>
      <c r="AY251" s="138" t="s">
        <v>884</v>
      </c>
      <c r="BA251" s="136">
        <v>15.08</v>
      </c>
      <c r="BB251" s="139">
        <v>5</v>
      </c>
      <c r="BC251" s="138">
        <v>5</v>
      </c>
    </row>
    <row r="252" spans="5:55" x14ac:dyDescent="0.3">
      <c r="E252" s="152">
        <v>15.17</v>
      </c>
      <c r="F252" s="153">
        <v>3</v>
      </c>
      <c r="G252" s="155" t="s">
        <v>876</v>
      </c>
      <c r="I252" s="136">
        <v>37.08</v>
      </c>
      <c r="J252" s="139">
        <v>7</v>
      </c>
      <c r="K252" s="138">
        <v>16</v>
      </c>
      <c r="M252" s="136">
        <v>14.21</v>
      </c>
      <c r="N252" s="139">
        <v>7</v>
      </c>
      <c r="O252" s="138">
        <v>16</v>
      </c>
      <c r="Q252" s="136">
        <v>37</v>
      </c>
      <c r="R252" s="139">
        <v>1</v>
      </c>
      <c r="S252" s="138" t="s">
        <v>883</v>
      </c>
      <c r="U252" s="136">
        <v>14.23</v>
      </c>
      <c r="V252" s="139">
        <v>13</v>
      </c>
      <c r="W252" s="138">
        <v>85</v>
      </c>
      <c r="Y252" s="136">
        <v>14.18</v>
      </c>
      <c r="Z252" s="139">
        <v>6</v>
      </c>
      <c r="AA252" s="138">
        <v>9</v>
      </c>
      <c r="AC252" s="136">
        <v>14.27</v>
      </c>
      <c r="AD252" s="139">
        <v>16</v>
      </c>
      <c r="AE252" s="138">
        <v>98</v>
      </c>
      <c r="AG252" s="136">
        <v>14.42</v>
      </c>
      <c r="AH252" s="137">
        <v>8</v>
      </c>
      <c r="AI252" s="138">
        <v>25</v>
      </c>
      <c r="AK252" s="136">
        <v>14.32</v>
      </c>
      <c r="AL252" s="139">
        <v>16</v>
      </c>
      <c r="AM252" s="138">
        <v>98</v>
      </c>
      <c r="AO252" s="136">
        <v>37</v>
      </c>
      <c r="AP252" s="139">
        <v>1</v>
      </c>
      <c r="AQ252" s="138" t="s">
        <v>883</v>
      </c>
      <c r="AS252" s="136">
        <v>14.21</v>
      </c>
      <c r="AT252" s="139">
        <v>7</v>
      </c>
      <c r="AU252" s="138">
        <v>16</v>
      </c>
      <c r="AW252" s="136">
        <v>37</v>
      </c>
      <c r="AX252" s="139">
        <v>1</v>
      </c>
      <c r="AY252" s="138" t="s">
        <v>883</v>
      </c>
      <c r="BA252" s="136">
        <v>15.09</v>
      </c>
      <c r="BB252" s="139">
        <v>6</v>
      </c>
      <c r="BC252" s="138">
        <v>9</v>
      </c>
    </row>
    <row r="253" spans="5:55" x14ac:dyDescent="0.3">
      <c r="E253" s="152">
        <v>15.18</v>
      </c>
      <c r="F253" s="153">
        <v>4</v>
      </c>
      <c r="G253" s="155" t="s">
        <v>863</v>
      </c>
      <c r="I253" s="136">
        <v>37.1</v>
      </c>
      <c r="J253" s="139">
        <v>8</v>
      </c>
      <c r="K253" s="138">
        <v>25</v>
      </c>
      <c r="M253" s="136">
        <v>14.23</v>
      </c>
      <c r="N253" s="139">
        <v>8</v>
      </c>
      <c r="O253" s="138">
        <v>25</v>
      </c>
      <c r="Q253" s="136">
        <v>37.04</v>
      </c>
      <c r="R253" s="139">
        <v>2</v>
      </c>
      <c r="S253" s="138" t="s">
        <v>883</v>
      </c>
      <c r="U253" s="136">
        <v>14.25</v>
      </c>
      <c r="V253" s="139">
        <v>14</v>
      </c>
      <c r="W253" s="138">
        <v>91</v>
      </c>
      <c r="Y253" s="136">
        <v>14.19</v>
      </c>
      <c r="Z253" s="139">
        <v>7</v>
      </c>
      <c r="AA253" s="138">
        <v>16</v>
      </c>
      <c r="AC253" s="136">
        <v>14.28</v>
      </c>
      <c r="AD253" s="139">
        <v>17</v>
      </c>
      <c r="AE253" s="138">
        <v>99</v>
      </c>
      <c r="AG253" s="136">
        <v>14.44</v>
      </c>
      <c r="AH253" s="137">
        <v>9</v>
      </c>
      <c r="AI253" s="138">
        <v>37</v>
      </c>
      <c r="AK253" s="136">
        <v>14.33</v>
      </c>
      <c r="AL253" s="139">
        <v>17</v>
      </c>
      <c r="AM253" s="138">
        <v>99</v>
      </c>
      <c r="AO253" s="136">
        <v>37.090000000000003</v>
      </c>
      <c r="AP253" s="139">
        <v>2</v>
      </c>
      <c r="AQ253" s="138" t="s">
        <v>883</v>
      </c>
      <c r="AS253" s="136">
        <v>14.22</v>
      </c>
      <c r="AT253" s="139">
        <v>8</v>
      </c>
      <c r="AU253" s="138">
        <v>25</v>
      </c>
      <c r="AW253" s="136">
        <v>37.049999999999997</v>
      </c>
      <c r="AX253" s="139">
        <v>2</v>
      </c>
      <c r="AY253" s="138" t="s">
        <v>883</v>
      </c>
      <c r="BA253" s="136">
        <v>15.1</v>
      </c>
      <c r="BB253" s="139">
        <v>7</v>
      </c>
      <c r="BC253" s="138">
        <v>16</v>
      </c>
    </row>
    <row r="254" spans="5:55" x14ac:dyDescent="0.3">
      <c r="E254" s="152">
        <v>15.2</v>
      </c>
      <c r="F254" s="153">
        <v>5</v>
      </c>
      <c r="G254" s="155" t="s">
        <v>877</v>
      </c>
      <c r="I254" s="136">
        <v>37.11</v>
      </c>
      <c r="J254" s="139">
        <v>9</v>
      </c>
      <c r="K254" s="138">
        <v>37</v>
      </c>
      <c r="M254" s="136">
        <v>14.26</v>
      </c>
      <c r="N254" s="139">
        <v>9</v>
      </c>
      <c r="O254" s="138">
        <v>37</v>
      </c>
      <c r="Q254" s="136">
        <v>37.1</v>
      </c>
      <c r="R254" s="139">
        <v>3</v>
      </c>
      <c r="S254" s="138">
        <v>1</v>
      </c>
      <c r="U254" s="136">
        <v>14.27</v>
      </c>
      <c r="V254" s="139">
        <v>15</v>
      </c>
      <c r="W254" s="138">
        <v>95</v>
      </c>
      <c r="Y254" s="136">
        <v>14.2</v>
      </c>
      <c r="Z254" s="139">
        <v>8</v>
      </c>
      <c r="AA254" s="138">
        <v>25</v>
      </c>
      <c r="AC254" s="136">
        <v>14.29</v>
      </c>
      <c r="AD254" s="139">
        <v>18</v>
      </c>
      <c r="AE254" s="138" t="s">
        <v>884</v>
      </c>
      <c r="AG254" s="136">
        <v>14.46</v>
      </c>
      <c r="AH254" s="137">
        <v>10</v>
      </c>
      <c r="AI254" s="138">
        <v>50</v>
      </c>
      <c r="AK254" s="136">
        <v>14.34</v>
      </c>
      <c r="AL254" s="139">
        <v>18</v>
      </c>
      <c r="AM254" s="138" t="s">
        <v>884</v>
      </c>
      <c r="AO254" s="136">
        <v>37.1</v>
      </c>
      <c r="AP254" s="139">
        <v>3</v>
      </c>
      <c r="AQ254" s="138">
        <v>1</v>
      </c>
      <c r="AS254" s="136">
        <v>14.24</v>
      </c>
      <c r="AT254" s="139">
        <v>9</v>
      </c>
      <c r="AU254" s="138">
        <v>37</v>
      </c>
      <c r="AW254" s="136">
        <v>37.07</v>
      </c>
      <c r="AX254" s="139">
        <v>3</v>
      </c>
      <c r="AY254" s="138">
        <v>1</v>
      </c>
      <c r="BA254" s="136">
        <v>15.11</v>
      </c>
      <c r="BB254" s="139">
        <v>8</v>
      </c>
      <c r="BC254" s="138">
        <v>25</v>
      </c>
    </row>
    <row r="255" spans="5:55" x14ac:dyDescent="0.3">
      <c r="E255" s="152">
        <v>15.21</v>
      </c>
      <c r="F255" s="153">
        <v>6</v>
      </c>
      <c r="G255" s="155" t="s">
        <v>864</v>
      </c>
      <c r="I255" s="136">
        <v>37.130000000000003</v>
      </c>
      <c r="J255" s="139">
        <v>10</v>
      </c>
      <c r="K255" s="138">
        <v>50</v>
      </c>
      <c r="M255" s="136">
        <v>14.28</v>
      </c>
      <c r="N255" s="139">
        <v>10</v>
      </c>
      <c r="O255" s="138">
        <v>50</v>
      </c>
      <c r="Q255" s="136">
        <v>37.119999999999997</v>
      </c>
      <c r="R255" s="139">
        <v>4</v>
      </c>
      <c r="S255" s="138">
        <v>2</v>
      </c>
      <c r="U255" s="136">
        <v>14.28</v>
      </c>
      <c r="V255" s="139">
        <v>16</v>
      </c>
      <c r="W255" s="138">
        <v>98</v>
      </c>
      <c r="Y255" s="136">
        <v>14.21</v>
      </c>
      <c r="Z255" s="139">
        <v>9</v>
      </c>
      <c r="AA255" s="138">
        <v>37</v>
      </c>
      <c r="AC255" s="136">
        <v>14.33</v>
      </c>
      <c r="AD255" s="139">
        <v>19</v>
      </c>
      <c r="AE255" s="138" t="s">
        <v>884</v>
      </c>
      <c r="AG255" s="136">
        <v>14.48</v>
      </c>
      <c r="AH255" s="137">
        <v>11</v>
      </c>
      <c r="AI255" s="138">
        <v>63</v>
      </c>
      <c r="AK255" s="136">
        <v>14.35</v>
      </c>
      <c r="AL255" s="139">
        <v>19</v>
      </c>
      <c r="AM255" s="138" t="s">
        <v>884</v>
      </c>
      <c r="AO255" s="136">
        <v>37.11</v>
      </c>
      <c r="AP255" s="139">
        <v>4</v>
      </c>
      <c r="AQ255" s="138">
        <v>2</v>
      </c>
      <c r="AS255" s="136">
        <v>14.25</v>
      </c>
      <c r="AT255" s="139">
        <v>10</v>
      </c>
      <c r="AU255" s="138">
        <v>50</v>
      </c>
      <c r="AW255" s="136">
        <v>37.090000000000003</v>
      </c>
      <c r="AX255" s="139">
        <v>4</v>
      </c>
      <c r="AY255" s="138">
        <v>2</v>
      </c>
      <c r="BA255" s="136">
        <v>15.12</v>
      </c>
      <c r="BB255" s="139">
        <v>9</v>
      </c>
      <c r="BC255" s="138">
        <v>37</v>
      </c>
    </row>
    <row r="256" spans="5:55" x14ac:dyDescent="0.3">
      <c r="E256" s="152">
        <v>15.22</v>
      </c>
      <c r="F256" s="153">
        <v>7</v>
      </c>
      <c r="G256" s="155" t="s">
        <v>878</v>
      </c>
      <c r="I256" s="136">
        <v>37.15</v>
      </c>
      <c r="J256" s="139">
        <v>11</v>
      </c>
      <c r="K256" s="138">
        <v>63</v>
      </c>
      <c r="M256" s="136">
        <v>14.3</v>
      </c>
      <c r="N256" s="139">
        <v>11</v>
      </c>
      <c r="O256" s="138">
        <v>63</v>
      </c>
      <c r="Q256" s="136">
        <v>37.15</v>
      </c>
      <c r="R256" s="139">
        <v>5</v>
      </c>
      <c r="S256" s="138">
        <v>5</v>
      </c>
      <c r="U256" s="136">
        <v>14.3</v>
      </c>
      <c r="V256" s="139">
        <v>17</v>
      </c>
      <c r="W256" s="138">
        <v>99</v>
      </c>
      <c r="Y256" s="136">
        <v>14.22</v>
      </c>
      <c r="Z256" s="139">
        <v>10</v>
      </c>
      <c r="AA256" s="138">
        <v>50</v>
      </c>
      <c r="AC256" s="136">
        <v>15</v>
      </c>
      <c r="AD256" s="139">
        <v>1</v>
      </c>
      <c r="AE256" s="138" t="s">
        <v>883</v>
      </c>
      <c r="AG256" s="136">
        <v>14.5</v>
      </c>
      <c r="AH256" s="137">
        <v>12</v>
      </c>
      <c r="AI256" s="138">
        <v>75</v>
      </c>
      <c r="AK256" s="136">
        <v>15</v>
      </c>
      <c r="AL256" s="139">
        <v>1</v>
      </c>
      <c r="AM256" s="138" t="s">
        <v>883</v>
      </c>
      <c r="AO256" s="136">
        <v>37.119999999999997</v>
      </c>
      <c r="AP256" s="139">
        <v>5</v>
      </c>
      <c r="AQ256" s="138">
        <v>5</v>
      </c>
      <c r="AS256" s="136">
        <v>14.27</v>
      </c>
      <c r="AT256" s="139">
        <v>11</v>
      </c>
      <c r="AU256" s="138">
        <v>63</v>
      </c>
      <c r="AW256" s="136">
        <v>37.11</v>
      </c>
      <c r="AX256" s="139">
        <v>5</v>
      </c>
      <c r="AY256" s="138">
        <v>5</v>
      </c>
      <c r="BA256" s="136">
        <v>15.13</v>
      </c>
      <c r="BB256" s="139">
        <v>10</v>
      </c>
      <c r="BC256" s="138">
        <v>50</v>
      </c>
    </row>
    <row r="257" spans="5:55" x14ac:dyDescent="0.3">
      <c r="E257" s="152">
        <v>15.24</v>
      </c>
      <c r="F257" s="153">
        <v>8</v>
      </c>
      <c r="G257" s="155" t="s">
        <v>865</v>
      </c>
      <c r="I257" s="136">
        <v>37.159999999999997</v>
      </c>
      <c r="J257" s="139">
        <v>12</v>
      </c>
      <c r="K257" s="138">
        <v>75</v>
      </c>
      <c r="M257" s="136">
        <v>14.32</v>
      </c>
      <c r="N257" s="139">
        <v>12</v>
      </c>
      <c r="O257" s="138">
        <v>75</v>
      </c>
      <c r="Q257" s="136">
        <v>37.17</v>
      </c>
      <c r="R257" s="139">
        <v>6</v>
      </c>
      <c r="S257" s="138">
        <v>9</v>
      </c>
      <c r="U257" s="136">
        <v>14.32</v>
      </c>
      <c r="V257" s="139">
        <v>18</v>
      </c>
      <c r="W257" s="138" t="s">
        <v>884</v>
      </c>
      <c r="Y257" s="136">
        <v>14.24</v>
      </c>
      <c r="Z257" s="139">
        <v>11</v>
      </c>
      <c r="AA257" s="138">
        <v>63</v>
      </c>
      <c r="AC257" s="136">
        <v>15.11</v>
      </c>
      <c r="AD257" s="139">
        <v>2</v>
      </c>
      <c r="AE257" s="138" t="s">
        <v>883</v>
      </c>
      <c r="AG257" s="136">
        <v>14.52</v>
      </c>
      <c r="AH257" s="137">
        <v>13</v>
      </c>
      <c r="AI257" s="138">
        <v>85</v>
      </c>
      <c r="AK257" s="136">
        <v>15.18</v>
      </c>
      <c r="AL257" s="139">
        <v>2</v>
      </c>
      <c r="AM257" s="138" t="s">
        <v>883</v>
      </c>
      <c r="AO257" s="136">
        <v>37.14</v>
      </c>
      <c r="AP257" s="139">
        <v>6</v>
      </c>
      <c r="AQ257" s="138">
        <v>9</v>
      </c>
      <c r="AS257" s="136">
        <v>14.29</v>
      </c>
      <c r="AT257" s="139">
        <v>12</v>
      </c>
      <c r="AU257" s="138">
        <v>75</v>
      </c>
      <c r="AW257" s="136">
        <v>37.119999999999997</v>
      </c>
      <c r="AX257" s="139">
        <v>6</v>
      </c>
      <c r="AY257" s="138">
        <v>9</v>
      </c>
      <c r="BA257" s="136">
        <v>15.14</v>
      </c>
      <c r="BB257" s="139">
        <v>11</v>
      </c>
      <c r="BC257" s="138">
        <v>63</v>
      </c>
    </row>
    <row r="258" spans="5:55" x14ac:dyDescent="0.3">
      <c r="E258" s="152">
        <v>15.25</v>
      </c>
      <c r="F258" s="153">
        <v>9</v>
      </c>
      <c r="G258" s="155" t="s">
        <v>879</v>
      </c>
      <c r="I258" s="136">
        <v>37.18</v>
      </c>
      <c r="J258" s="139">
        <v>13</v>
      </c>
      <c r="K258" s="138">
        <v>85</v>
      </c>
      <c r="M258" s="136">
        <v>14.34</v>
      </c>
      <c r="N258" s="139">
        <v>13</v>
      </c>
      <c r="O258" s="138">
        <v>85</v>
      </c>
      <c r="Q258" s="136">
        <v>37.19</v>
      </c>
      <c r="R258" s="139">
        <v>7</v>
      </c>
      <c r="S258" s="138">
        <v>16</v>
      </c>
      <c r="U258" s="136">
        <v>14.35</v>
      </c>
      <c r="V258" s="139">
        <v>19</v>
      </c>
      <c r="W258" s="138" t="s">
        <v>884</v>
      </c>
      <c r="Y258" s="136">
        <v>14.25</v>
      </c>
      <c r="Z258" s="139">
        <v>12</v>
      </c>
      <c r="AA258" s="138">
        <v>75</v>
      </c>
      <c r="AC258" s="136">
        <v>15.14</v>
      </c>
      <c r="AD258" s="139">
        <v>3</v>
      </c>
      <c r="AE258" s="138">
        <v>1</v>
      </c>
      <c r="AG258" s="136">
        <v>14.54</v>
      </c>
      <c r="AH258" s="137">
        <v>14</v>
      </c>
      <c r="AI258" s="138">
        <v>91</v>
      </c>
      <c r="AK258" s="136">
        <v>15.19</v>
      </c>
      <c r="AL258" s="139">
        <v>3</v>
      </c>
      <c r="AM258" s="138">
        <v>1</v>
      </c>
      <c r="AO258" s="136">
        <v>37.15</v>
      </c>
      <c r="AP258" s="139">
        <v>7</v>
      </c>
      <c r="AQ258" s="138">
        <v>16</v>
      </c>
      <c r="AS258" s="136">
        <v>14.3</v>
      </c>
      <c r="AT258" s="139">
        <v>13</v>
      </c>
      <c r="AU258" s="138">
        <v>85</v>
      </c>
      <c r="AW258" s="136">
        <v>37.14</v>
      </c>
      <c r="AX258" s="139">
        <v>7</v>
      </c>
      <c r="AY258" s="138">
        <v>16</v>
      </c>
      <c r="BA258" s="136">
        <v>15.15</v>
      </c>
      <c r="BB258" s="139">
        <v>12</v>
      </c>
      <c r="BC258" s="138">
        <v>75</v>
      </c>
    </row>
    <row r="259" spans="5:55" x14ac:dyDescent="0.3">
      <c r="E259" s="152">
        <v>15.26</v>
      </c>
      <c r="F259" s="153">
        <v>10</v>
      </c>
      <c r="G259" s="155" t="s">
        <v>866</v>
      </c>
      <c r="I259" s="136">
        <v>37.200000000000003</v>
      </c>
      <c r="J259" s="139">
        <v>14</v>
      </c>
      <c r="K259" s="138">
        <v>91</v>
      </c>
      <c r="M259" s="136">
        <v>14.37</v>
      </c>
      <c r="N259" s="139">
        <v>14</v>
      </c>
      <c r="O259" s="138">
        <v>91</v>
      </c>
      <c r="Q259" s="136">
        <v>37.21</v>
      </c>
      <c r="R259" s="139">
        <v>8</v>
      </c>
      <c r="S259" s="138">
        <v>25</v>
      </c>
      <c r="U259" s="136">
        <v>15</v>
      </c>
      <c r="V259" s="139">
        <v>1</v>
      </c>
      <c r="W259" s="138" t="s">
        <v>883</v>
      </c>
      <c r="Y259" s="136">
        <v>14.26</v>
      </c>
      <c r="Z259" s="139">
        <v>13</v>
      </c>
      <c r="AA259" s="138">
        <v>85</v>
      </c>
      <c r="AC259" s="136">
        <v>15.15</v>
      </c>
      <c r="AD259" s="139">
        <v>4</v>
      </c>
      <c r="AE259" s="138">
        <v>2</v>
      </c>
      <c r="AG259" s="136">
        <v>14.56</v>
      </c>
      <c r="AH259" s="137">
        <v>15</v>
      </c>
      <c r="AI259" s="138">
        <v>95</v>
      </c>
      <c r="AK259" s="136">
        <v>15.2</v>
      </c>
      <c r="AL259" s="139">
        <v>4</v>
      </c>
      <c r="AM259" s="138">
        <v>2</v>
      </c>
      <c r="AO259" s="136">
        <v>37.159999999999997</v>
      </c>
      <c r="AP259" s="139">
        <v>8</v>
      </c>
      <c r="AQ259" s="138">
        <v>25</v>
      </c>
      <c r="AS259" s="136">
        <v>14.32</v>
      </c>
      <c r="AT259" s="139">
        <v>14</v>
      </c>
      <c r="AU259" s="138">
        <v>91</v>
      </c>
      <c r="AW259" s="136">
        <v>37.159999999999997</v>
      </c>
      <c r="AX259" s="139">
        <v>8</v>
      </c>
      <c r="AY259" s="138">
        <v>25</v>
      </c>
      <c r="BA259" s="136">
        <v>15.16</v>
      </c>
      <c r="BB259" s="139">
        <v>13</v>
      </c>
      <c r="BC259" s="138">
        <v>85</v>
      </c>
    </row>
    <row r="260" spans="5:55" x14ac:dyDescent="0.3">
      <c r="E260" s="152">
        <v>15.28</v>
      </c>
      <c r="F260" s="153">
        <v>11</v>
      </c>
      <c r="G260" s="155" t="s">
        <v>867</v>
      </c>
      <c r="I260" s="136">
        <v>37.21</v>
      </c>
      <c r="J260" s="139">
        <v>15</v>
      </c>
      <c r="K260" s="138">
        <v>95</v>
      </c>
      <c r="M260" s="136">
        <v>14.39</v>
      </c>
      <c r="N260" s="139">
        <v>15</v>
      </c>
      <c r="O260" s="138">
        <v>95</v>
      </c>
      <c r="Q260" s="136">
        <v>37.229999999999997</v>
      </c>
      <c r="R260" s="139">
        <v>9</v>
      </c>
      <c r="S260" s="138">
        <v>37</v>
      </c>
      <c r="U260" s="136">
        <v>15.03</v>
      </c>
      <c r="V260" s="139">
        <v>2</v>
      </c>
      <c r="W260" s="138" t="s">
        <v>883</v>
      </c>
      <c r="Y260" s="136">
        <v>14.27</v>
      </c>
      <c r="Z260" s="139">
        <v>14</v>
      </c>
      <c r="AA260" s="138">
        <v>91</v>
      </c>
      <c r="AC260" s="136">
        <v>15.16</v>
      </c>
      <c r="AD260" s="139">
        <v>5</v>
      </c>
      <c r="AE260" s="138">
        <v>5</v>
      </c>
      <c r="AG260" s="136">
        <v>14.58</v>
      </c>
      <c r="AH260" s="137">
        <v>16</v>
      </c>
      <c r="AI260" s="138">
        <v>98</v>
      </c>
      <c r="AK260" s="136">
        <v>15.21</v>
      </c>
      <c r="AL260" s="139">
        <v>5</v>
      </c>
      <c r="AM260" s="138">
        <v>5</v>
      </c>
      <c r="AO260" s="136">
        <v>37.17</v>
      </c>
      <c r="AP260" s="139">
        <v>9</v>
      </c>
      <c r="AQ260" s="138">
        <v>37</v>
      </c>
      <c r="AS260" s="136">
        <v>14.33</v>
      </c>
      <c r="AT260" s="139">
        <v>15</v>
      </c>
      <c r="AU260" s="138">
        <v>95</v>
      </c>
      <c r="AW260" s="136">
        <v>37.18</v>
      </c>
      <c r="AX260" s="139">
        <v>9</v>
      </c>
      <c r="AY260" s="138">
        <v>37</v>
      </c>
      <c r="BA260" s="136">
        <v>15.17</v>
      </c>
      <c r="BB260" s="139">
        <v>14</v>
      </c>
      <c r="BC260" s="138">
        <v>91</v>
      </c>
    </row>
    <row r="261" spans="5:55" x14ac:dyDescent="0.3">
      <c r="E261" s="152">
        <v>15.29</v>
      </c>
      <c r="F261" s="153">
        <v>12</v>
      </c>
      <c r="G261" s="155" t="s">
        <v>868</v>
      </c>
      <c r="I261" s="136">
        <v>37.229999999999997</v>
      </c>
      <c r="J261" s="139">
        <v>16</v>
      </c>
      <c r="K261" s="138">
        <v>98</v>
      </c>
      <c r="M261" s="136">
        <v>14.41</v>
      </c>
      <c r="N261" s="139">
        <v>16</v>
      </c>
      <c r="O261" s="138">
        <v>98</v>
      </c>
      <c r="Q261" s="136">
        <v>37.25</v>
      </c>
      <c r="R261" s="139">
        <v>10</v>
      </c>
      <c r="S261" s="138">
        <v>50</v>
      </c>
      <c r="U261" s="136">
        <v>15.05</v>
      </c>
      <c r="V261" s="139">
        <v>3</v>
      </c>
      <c r="W261" s="138">
        <v>1</v>
      </c>
      <c r="Y261" s="136">
        <v>14.28</v>
      </c>
      <c r="Z261" s="139">
        <v>15</v>
      </c>
      <c r="AA261" s="138">
        <v>95</v>
      </c>
      <c r="AC261" s="136">
        <v>15.17</v>
      </c>
      <c r="AD261" s="139">
        <v>6</v>
      </c>
      <c r="AE261" s="138">
        <v>9</v>
      </c>
      <c r="AG261" s="136">
        <v>14.6</v>
      </c>
      <c r="AH261" s="137">
        <v>17</v>
      </c>
      <c r="AI261" s="138">
        <v>99</v>
      </c>
      <c r="AK261" s="136">
        <v>15.22</v>
      </c>
      <c r="AL261" s="139">
        <v>6</v>
      </c>
      <c r="AM261" s="138">
        <v>9</v>
      </c>
      <c r="AO261" s="136">
        <v>37.18</v>
      </c>
      <c r="AP261" s="139">
        <v>10</v>
      </c>
      <c r="AQ261" s="138">
        <v>50</v>
      </c>
      <c r="AS261" s="136">
        <v>14.35</v>
      </c>
      <c r="AT261" s="139">
        <v>16</v>
      </c>
      <c r="AU261" s="138">
        <v>98</v>
      </c>
      <c r="AW261" s="136">
        <v>37.200000000000003</v>
      </c>
      <c r="AX261" s="139">
        <v>10</v>
      </c>
      <c r="AY261" s="138">
        <v>50</v>
      </c>
      <c r="BA261" s="136">
        <v>15.18</v>
      </c>
      <c r="BB261" s="139">
        <v>15</v>
      </c>
      <c r="BC261" s="138">
        <v>95</v>
      </c>
    </row>
    <row r="262" spans="5:55" x14ac:dyDescent="0.3">
      <c r="E262" s="152">
        <v>15.299999999999999</v>
      </c>
      <c r="F262" s="153">
        <v>13</v>
      </c>
      <c r="G262" s="155" t="s">
        <v>869</v>
      </c>
      <c r="I262" s="136">
        <v>37.25</v>
      </c>
      <c r="J262" s="139">
        <v>17</v>
      </c>
      <c r="K262" s="138">
        <v>99</v>
      </c>
      <c r="M262" s="136">
        <v>14.43</v>
      </c>
      <c r="N262" s="139">
        <v>17</v>
      </c>
      <c r="O262" s="138">
        <v>99</v>
      </c>
      <c r="Q262" s="136">
        <v>37.270000000000003</v>
      </c>
      <c r="R262" s="139">
        <v>11</v>
      </c>
      <c r="S262" s="138">
        <v>63</v>
      </c>
      <c r="U262" s="136">
        <v>15.07</v>
      </c>
      <c r="V262" s="139">
        <v>4</v>
      </c>
      <c r="W262" s="138">
        <v>2</v>
      </c>
      <c r="Y262" s="136">
        <v>14.29</v>
      </c>
      <c r="Z262" s="139">
        <v>16</v>
      </c>
      <c r="AA262" s="138">
        <v>98</v>
      </c>
      <c r="AC262" s="136">
        <v>15.19</v>
      </c>
      <c r="AD262" s="139">
        <v>7</v>
      </c>
      <c r="AE262" s="138">
        <v>16</v>
      </c>
      <c r="AG262" s="136">
        <v>14.62</v>
      </c>
      <c r="AH262" s="137">
        <v>18</v>
      </c>
      <c r="AI262" s="138" t="s">
        <v>884</v>
      </c>
      <c r="AK262" s="136">
        <v>15.23</v>
      </c>
      <c r="AL262" s="139">
        <v>7</v>
      </c>
      <c r="AM262" s="138">
        <v>16</v>
      </c>
      <c r="AO262" s="136">
        <v>37.19</v>
      </c>
      <c r="AP262" s="139">
        <v>11</v>
      </c>
      <c r="AQ262" s="138">
        <v>63</v>
      </c>
      <c r="AS262" s="136">
        <v>14.37</v>
      </c>
      <c r="AT262" s="139">
        <v>17</v>
      </c>
      <c r="AU262" s="138">
        <v>99</v>
      </c>
      <c r="AW262" s="136">
        <v>37.22</v>
      </c>
      <c r="AX262" s="139">
        <v>11</v>
      </c>
      <c r="AY262" s="138">
        <v>63</v>
      </c>
      <c r="BA262" s="136">
        <v>15.19</v>
      </c>
      <c r="BB262" s="139">
        <v>16</v>
      </c>
      <c r="BC262" s="138">
        <v>98</v>
      </c>
    </row>
    <row r="263" spans="5:55" x14ac:dyDescent="0.3">
      <c r="E263" s="152">
        <v>15.32</v>
      </c>
      <c r="F263" s="153">
        <v>14</v>
      </c>
      <c r="G263" s="155" t="s">
        <v>870</v>
      </c>
      <c r="I263" s="136">
        <v>37.270000000000003</v>
      </c>
      <c r="J263" s="139">
        <v>18</v>
      </c>
      <c r="K263" s="138" t="s">
        <v>884</v>
      </c>
      <c r="M263" s="136">
        <v>14.45</v>
      </c>
      <c r="N263" s="139">
        <v>18</v>
      </c>
      <c r="O263" s="138" t="s">
        <v>884</v>
      </c>
      <c r="Q263" s="136">
        <v>37.29</v>
      </c>
      <c r="R263" s="139">
        <v>12</v>
      </c>
      <c r="S263" s="138">
        <v>75</v>
      </c>
      <c r="U263" s="136">
        <v>15.09</v>
      </c>
      <c r="V263" s="139">
        <v>5</v>
      </c>
      <c r="W263" s="138">
        <v>5</v>
      </c>
      <c r="Y263" s="136">
        <v>14.3</v>
      </c>
      <c r="Z263" s="139">
        <v>17</v>
      </c>
      <c r="AA263" s="138">
        <v>99</v>
      </c>
      <c r="AC263" s="136">
        <v>15.2</v>
      </c>
      <c r="AD263" s="139">
        <v>8</v>
      </c>
      <c r="AE263" s="138">
        <v>25</v>
      </c>
      <c r="AG263" s="136">
        <v>14.66</v>
      </c>
      <c r="AH263" s="137">
        <v>19</v>
      </c>
      <c r="AI263" s="138" t="s">
        <v>884</v>
      </c>
      <c r="AK263" s="136">
        <v>15.24</v>
      </c>
      <c r="AL263" s="139">
        <v>8</v>
      </c>
      <c r="AM263" s="138">
        <v>25</v>
      </c>
      <c r="AO263" s="136">
        <v>37.200000000000003</v>
      </c>
      <c r="AP263" s="139">
        <v>12</v>
      </c>
      <c r="AQ263" s="138">
        <v>75</v>
      </c>
      <c r="AS263" s="136">
        <v>14.38</v>
      </c>
      <c r="AT263" s="139">
        <v>18</v>
      </c>
      <c r="AU263" s="138" t="s">
        <v>884</v>
      </c>
      <c r="AW263" s="136">
        <v>37.24</v>
      </c>
      <c r="AX263" s="139">
        <v>12</v>
      </c>
      <c r="AY263" s="138">
        <v>75</v>
      </c>
      <c r="BA263" s="136">
        <v>15.2</v>
      </c>
      <c r="BB263" s="139">
        <v>17</v>
      </c>
      <c r="BC263" s="138">
        <v>99</v>
      </c>
    </row>
    <row r="264" spans="5:55" x14ac:dyDescent="0.3">
      <c r="E264" s="152">
        <v>15.33</v>
      </c>
      <c r="F264" s="153">
        <v>15</v>
      </c>
      <c r="G264" s="155" t="s">
        <v>871</v>
      </c>
      <c r="I264" s="136">
        <v>37.28</v>
      </c>
      <c r="J264" s="139">
        <v>19</v>
      </c>
      <c r="K264" s="138" t="s">
        <v>884</v>
      </c>
      <c r="M264" s="136">
        <v>14.46</v>
      </c>
      <c r="N264" s="139">
        <v>19</v>
      </c>
      <c r="O264" s="138" t="s">
        <v>884</v>
      </c>
      <c r="Q264" s="136">
        <v>37.31</v>
      </c>
      <c r="R264" s="139">
        <v>13</v>
      </c>
      <c r="S264" s="138">
        <v>85</v>
      </c>
      <c r="U264" s="136">
        <v>15.11</v>
      </c>
      <c r="V264" s="139">
        <v>6</v>
      </c>
      <c r="W264" s="138">
        <v>9</v>
      </c>
      <c r="Y264" s="136">
        <v>14.31</v>
      </c>
      <c r="Z264" s="139">
        <v>18</v>
      </c>
      <c r="AA264" s="138" t="s">
        <v>884</v>
      </c>
      <c r="AC264" s="136">
        <v>15.21</v>
      </c>
      <c r="AD264" s="139">
        <v>9</v>
      </c>
      <c r="AE264" s="138">
        <v>37</v>
      </c>
      <c r="AG264" s="136">
        <v>15</v>
      </c>
      <c r="AH264" s="137">
        <v>1</v>
      </c>
      <c r="AI264" s="138" t="s">
        <v>883</v>
      </c>
      <c r="AK264" s="136">
        <v>15.25</v>
      </c>
      <c r="AL264" s="139">
        <v>9</v>
      </c>
      <c r="AM264" s="138">
        <v>37</v>
      </c>
      <c r="AO264" s="136">
        <v>37.21</v>
      </c>
      <c r="AP264" s="139">
        <v>13</v>
      </c>
      <c r="AQ264" s="138">
        <v>85</v>
      </c>
      <c r="AS264" s="136">
        <v>14.4</v>
      </c>
      <c r="AT264" s="139">
        <v>19</v>
      </c>
      <c r="AU264" s="138" t="s">
        <v>884</v>
      </c>
      <c r="AW264" s="136">
        <v>37.26</v>
      </c>
      <c r="AX264" s="139">
        <v>13</v>
      </c>
      <c r="AY264" s="138">
        <v>85</v>
      </c>
      <c r="BA264" s="136">
        <v>15.21</v>
      </c>
      <c r="BB264" s="139">
        <v>18</v>
      </c>
      <c r="BC264" s="138" t="s">
        <v>884</v>
      </c>
    </row>
    <row r="265" spans="5:55" x14ac:dyDescent="0.3">
      <c r="E265" s="152">
        <v>15.35</v>
      </c>
      <c r="F265" s="153">
        <v>16</v>
      </c>
      <c r="G265" s="155" t="s">
        <v>872</v>
      </c>
      <c r="I265" s="136">
        <v>38</v>
      </c>
      <c r="J265" s="139">
        <v>1</v>
      </c>
      <c r="K265" s="138" t="s">
        <v>883</v>
      </c>
      <c r="M265" s="136">
        <v>15</v>
      </c>
      <c r="N265" s="139">
        <v>1</v>
      </c>
      <c r="O265" s="138" t="s">
        <v>883</v>
      </c>
      <c r="Q265" s="136">
        <v>37.33</v>
      </c>
      <c r="R265" s="139">
        <v>14</v>
      </c>
      <c r="S265" s="138">
        <v>91</v>
      </c>
      <c r="U265" s="136">
        <v>15.13</v>
      </c>
      <c r="V265" s="139">
        <v>7</v>
      </c>
      <c r="W265" s="138">
        <v>16</v>
      </c>
      <c r="Y265" s="136">
        <v>14.33</v>
      </c>
      <c r="Z265" s="139">
        <v>19</v>
      </c>
      <c r="AA265" s="138" t="s">
        <v>884</v>
      </c>
      <c r="AC265" s="136">
        <v>15.22</v>
      </c>
      <c r="AD265" s="139">
        <v>10</v>
      </c>
      <c r="AE265" s="138">
        <v>50</v>
      </c>
      <c r="AG265" s="136">
        <v>15.29</v>
      </c>
      <c r="AH265" s="137">
        <v>2</v>
      </c>
      <c r="AI265" s="138" t="s">
        <v>883</v>
      </c>
      <c r="AK265" s="136">
        <v>15.26</v>
      </c>
      <c r="AL265" s="139">
        <v>10</v>
      </c>
      <c r="AM265" s="138">
        <v>50</v>
      </c>
      <c r="AO265" s="136">
        <v>37.22</v>
      </c>
      <c r="AP265" s="139">
        <v>14</v>
      </c>
      <c r="AQ265" s="138">
        <v>91</v>
      </c>
      <c r="AS265" s="136">
        <v>15</v>
      </c>
      <c r="AT265" s="139">
        <v>1</v>
      </c>
      <c r="AU265" s="138" t="s">
        <v>883</v>
      </c>
      <c r="AW265" s="136">
        <v>37.28</v>
      </c>
      <c r="AX265" s="139">
        <v>14</v>
      </c>
      <c r="AY265" s="138">
        <v>91</v>
      </c>
      <c r="BA265" s="136">
        <v>15.22</v>
      </c>
      <c r="BB265" s="139">
        <v>19</v>
      </c>
      <c r="BC265" s="138" t="s">
        <v>884</v>
      </c>
    </row>
    <row r="266" spans="5:55" x14ac:dyDescent="0.3">
      <c r="E266" s="152">
        <v>15.36</v>
      </c>
      <c r="F266" s="153">
        <v>17</v>
      </c>
      <c r="G266" s="155" t="s">
        <v>873</v>
      </c>
      <c r="I266" s="136">
        <v>38.01</v>
      </c>
      <c r="J266" s="139">
        <v>2</v>
      </c>
      <c r="K266" s="138" t="s">
        <v>883</v>
      </c>
      <c r="M266" s="136">
        <v>15.1</v>
      </c>
      <c r="N266" s="139">
        <v>2</v>
      </c>
      <c r="O266" s="138" t="s">
        <v>883</v>
      </c>
      <c r="Q266" s="136">
        <v>37.35</v>
      </c>
      <c r="R266" s="139">
        <v>15</v>
      </c>
      <c r="S266" s="138">
        <v>95</v>
      </c>
      <c r="U266" s="136">
        <v>15.14</v>
      </c>
      <c r="V266" s="139">
        <v>8</v>
      </c>
      <c r="W266" s="138">
        <v>25</v>
      </c>
      <c r="Y266" s="136">
        <v>15</v>
      </c>
      <c r="Z266" s="139">
        <v>1</v>
      </c>
      <c r="AA266" s="138" t="s">
        <v>883</v>
      </c>
      <c r="AC266" s="136">
        <v>15.23</v>
      </c>
      <c r="AD266" s="139">
        <v>11</v>
      </c>
      <c r="AE266" s="138">
        <v>63</v>
      </c>
      <c r="AG266" s="136">
        <v>15.35</v>
      </c>
      <c r="AH266" s="137">
        <v>3</v>
      </c>
      <c r="AI266" s="138">
        <v>1</v>
      </c>
      <c r="AK266" s="136">
        <v>15.27</v>
      </c>
      <c r="AL266" s="139">
        <v>11</v>
      </c>
      <c r="AM266" s="138">
        <v>63</v>
      </c>
      <c r="AO266" s="136">
        <v>37.229999999999997</v>
      </c>
      <c r="AP266" s="139">
        <v>15</v>
      </c>
      <c r="AQ266" s="138">
        <v>95</v>
      </c>
      <c r="AS266" s="136">
        <v>15.14</v>
      </c>
      <c r="AT266" s="139">
        <v>2</v>
      </c>
      <c r="AU266" s="138" t="s">
        <v>883</v>
      </c>
      <c r="AW266" s="136">
        <v>37.299999999999997</v>
      </c>
      <c r="AX266" s="139">
        <v>15</v>
      </c>
      <c r="AY266" s="138">
        <v>95</v>
      </c>
      <c r="BA266" s="136">
        <v>16</v>
      </c>
      <c r="BB266" s="139">
        <v>1</v>
      </c>
      <c r="BC266" s="138" t="s">
        <v>883</v>
      </c>
    </row>
    <row r="267" spans="5:55" x14ac:dyDescent="0.3">
      <c r="E267" s="152">
        <v>15.37</v>
      </c>
      <c r="F267" s="153">
        <v>18</v>
      </c>
      <c r="G267" s="155" t="s">
        <v>874</v>
      </c>
      <c r="I267" s="136">
        <v>38.03</v>
      </c>
      <c r="J267" s="139">
        <v>3</v>
      </c>
      <c r="K267" s="138">
        <v>1</v>
      </c>
      <c r="M267" s="136">
        <v>15.13</v>
      </c>
      <c r="N267" s="139">
        <v>3</v>
      </c>
      <c r="O267" s="138">
        <v>1</v>
      </c>
      <c r="Q267" s="136">
        <v>37.369999999999997</v>
      </c>
      <c r="R267" s="139">
        <v>16</v>
      </c>
      <c r="S267" s="138">
        <v>98</v>
      </c>
      <c r="U267" s="136">
        <v>15.16</v>
      </c>
      <c r="V267" s="139">
        <v>9</v>
      </c>
      <c r="W267" s="138">
        <v>37</v>
      </c>
      <c r="Y267" s="136">
        <v>15.14</v>
      </c>
      <c r="Z267" s="139">
        <v>2</v>
      </c>
      <c r="AA267" s="138" t="s">
        <v>883</v>
      </c>
      <c r="AC267" s="136">
        <v>15.25</v>
      </c>
      <c r="AD267" s="139">
        <v>12</v>
      </c>
      <c r="AE267" s="138">
        <v>75</v>
      </c>
      <c r="AG267" s="136">
        <v>15.37</v>
      </c>
      <c r="AH267" s="137">
        <v>4</v>
      </c>
      <c r="AI267" s="138">
        <v>2</v>
      </c>
      <c r="AK267" s="136">
        <v>15.28</v>
      </c>
      <c r="AL267" s="139">
        <v>12</v>
      </c>
      <c r="AM267" s="138">
        <v>75</v>
      </c>
      <c r="AO267" s="136">
        <v>37.24</v>
      </c>
      <c r="AP267" s="139">
        <v>16</v>
      </c>
      <c r="AQ267" s="138">
        <v>98</v>
      </c>
      <c r="AS267" s="136">
        <v>15.16</v>
      </c>
      <c r="AT267" s="139">
        <v>3</v>
      </c>
      <c r="AU267" s="138">
        <v>1</v>
      </c>
      <c r="AW267" s="136">
        <v>37.32</v>
      </c>
      <c r="AX267" s="139">
        <v>16</v>
      </c>
      <c r="AY267" s="138">
        <v>98</v>
      </c>
      <c r="BA267" s="136">
        <v>16.05</v>
      </c>
      <c r="BB267" s="139">
        <v>2</v>
      </c>
      <c r="BC267" s="138" t="s">
        <v>883</v>
      </c>
    </row>
    <row r="268" spans="5:55" ht="19.5" thickBot="1" x14ac:dyDescent="0.35">
      <c r="E268" s="157">
        <v>15.4</v>
      </c>
      <c r="F268" s="158">
        <v>19</v>
      </c>
      <c r="G268" s="159" t="s">
        <v>874</v>
      </c>
      <c r="I268" s="136">
        <v>38.04</v>
      </c>
      <c r="J268" s="139">
        <v>4</v>
      </c>
      <c r="K268" s="138">
        <v>2</v>
      </c>
      <c r="M268" s="136">
        <v>15.17</v>
      </c>
      <c r="N268" s="139">
        <v>4</v>
      </c>
      <c r="O268" s="138">
        <v>2</v>
      </c>
      <c r="Q268" s="136">
        <v>37.39</v>
      </c>
      <c r="R268" s="139">
        <v>17</v>
      </c>
      <c r="S268" s="138">
        <v>99</v>
      </c>
      <c r="U268" s="136">
        <v>15.18</v>
      </c>
      <c r="V268" s="139">
        <v>10</v>
      </c>
      <c r="W268" s="138">
        <v>50</v>
      </c>
      <c r="Y268" s="136">
        <v>15.15</v>
      </c>
      <c r="Z268" s="139">
        <v>3</v>
      </c>
      <c r="AA268" s="138">
        <v>1</v>
      </c>
      <c r="AC268" s="136">
        <v>15.26</v>
      </c>
      <c r="AD268" s="139">
        <v>13</v>
      </c>
      <c r="AE268" s="138">
        <v>85</v>
      </c>
      <c r="AG268" s="136">
        <v>15.38</v>
      </c>
      <c r="AH268" s="137">
        <v>5</v>
      </c>
      <c r="AI268" s="138">
        <v>5</v>
      </c>
      <c r="AK268" s="136">
        <v>15.29</v>
      </c>
      <c r="AL268" s="139">
        <v>13</v>
      </c>
      <c r="AM268" s="138">
        <v>85</v>
      </c>
      <c r="AO268" s="136">
        <v>37.25</v>
      </c>
      <c r="AP268" s="139">
        <v>17</v>
      </c>
      <c r="AQ268" s="138">
        <v>99</v>
      </c>
      <c r="AS268" s="136">
        <v>15.17</v>
      </c>
      <c r="AT268" s="139">
        <v>4</v>
      </c>
      <c r="AU268" s="138">
        <v>2</v>
      </c>
      <c r="AW268" s="136">
        <v>37.340000000000003</v>
      </c>
      <c r="AX268" s="139">
        <v>17</v>
      </c>
      <c r="AY268" s="138">
        <v>99</v>
      </c>
      <c r="BA268" s="136">
        <v>16.059999999999999</v>
      </c>
      <c r="BB268" s="139">
        <v>3</v>
      </c>
      <c r="BC268" s="138">
        <v>1</v>
      </c>
    </row>
    <row r="269" spans="5:55" x14ac:dyDescent="0.3">
      <c r="E269" s="149">
        <v>16</v>
      </c>
      <c r="F269" s="150">
        <v>1</v>
      </c>
      <c r="G269" s="163" t="s">
        <v>862</v>
      </c>
      <c r="I269" s="136">
        <v>38.049999999999997</v>
      </c>
      <c r="J269" s="139">
        <v>5</v>
      </c>
      <c r="K269" s="138">
        <v>5</v>
      </c>
      <c r="M269" s="136">
        <v>15.19</v>
      </c>
      <c r="N269" s="139">
        <v>5</v>
      </c>
      <c r="O269" s="138">
        <v>5</v>
      </c>
      <c r="Q269" s="136">
        <v>37.42</v>
      </c>
      <c r="R269" s="139">
        <v>18</v>
      </c>
      <c r="S269" s="138" t="s">
        <v>884</v>
      </c>
      <c r="U269" s="136">
        <v>15.2</v>
      </c>
      <c r="V269" s="139">
        <v>11</v>
      </c>
      <c r="W269" s="138">
        <v>63</v>
      </c>
      <c r="Y269" s="136">
        <v>15.16</v>
      </c>
      <c r="Z269" s="139">
        <v>4</v>
      </c>
      <c r="AA269" s="138">
        <v>2</v>
      </c>
      <c r="AC269" s="136">
        <v>15.27</v>
      </c>
      <c r="AD269" s="139">
        <v>14</v>
      </c>
      <c r="AE269" s="138">
        <v>91</v>
      </c>
      <c r="AG269" s="136">
        <v>15.4</v>
      </c>
      <c r="AH269" s="137">
        <v>6</v>
      </c>
      <c r="AI269" s="138">
        <v>9</v>
      </c>
      <c r="AK269" s="136">
        <v>15.3</v>
      </c>
      <c r="AL269" s="139">
        <v>14</v>
      </c>
      <c r="AM269" s="138">
        <v>91</v>
      </c>
      <c r="AO269" s="136">
        <v>37.26</v>
      </c>
      <c r="AP269" s="139">
        <v>18</v>
      </c>
      <c r="AQ269" s="138" t="s">
        <v>884</v>
      </c>
      <c r="AS269" s="136">
        <v>15.19</v>
      </c>
      <c r="AT269" s="139">
        <v>5</v>
      </c>
      <c r="AU269" s="138">
        <v>5</v>
      </c>
      <c r="AW269" s="136">
        <v>37.36</v>
      </c>
      <c r="AX269" s="139">
        <v>18</v>
      </c>
      <c r="AY269" s="138" t="s">
        <v>884</v>
      </c>
      <c r="BA269" s="136">
        <v>16.07</v>
      </c>
      <c r="BB269" s="139">
        <v>4</v>
      </c>
      <c r="BC269" s="138">
        <v>2</v>
      </c>
    </row>
    <row r="270" spans="5:55" x14ac:dyDescent="0.3">
      <c r="E270" s="152">
        <v>16.16</v>
      </c>
      <c r="F270" s="153">
        <v>2</v>
      </c>
      <c r="G270" s="155" t="s">
        <v>862</v>
      </c>
      <c r="I270" s="136">
        <v>38.06</v>
      </c>
      <c r="J270" s="139">
        <v>6</v>
      </c>
      <c r="K270" s="138">
        <v>9</v>
      </c>
      <c r="M270" s="136">
        <v>15.21</v>
      </c>
      <c r="N270" s="139">
        <v>6</v>
      </c>
      <c r="O270" s="138">
        <v>9</v>
      </c>
      <c r="Q270" s="136">
        <v>37.43</v>
      </c>
      <c r="R270" s="139">
        <v>19</v>
      </c>
      <c r="S270" s="138" t="s">
        <v>884</v>
      </c>
      <c r="U270" s="136">
        <v>15.22</v>
      </c>
      <c r="V270" s="139">
        <v>12</v>
      </c>
      <c r="W270" s="138">
        <v>75</v>
      </c>
      <c r="Y270" s="136">
        <v>15.17</v>
      </c>
      <c r="Z270" s="139">
        <v>5</v>
      </c>
      <c r="AA270" s="138">
        <v>5</v>
      </c>
      <c r="AC270" s="136">
        <v>15.28</v>
      </c>
      <c r="AD270" s="139">
        <v>15</v>
      </c>
      <c r="AE270" s="138">
        <v>95</v>
      </c>
      <c r="AG270" s="136">
        <v>15.42</v>
      </c>
      <c r="AH270" s="137">
        <v>7</v>
      </c>
      <c r="AI270" s="138">
        <v>16</v>
      </c>
      <c r="AK270" s="136">
        <v>15.32</v>
      </c>
      <c r="AL270" s="139">
        <v>15</v>
      </c>
      <c r="AM270" s="138">
        <v>95</v>
      </c>
      <c r="AO270" s="136">
        <v>37.29</v>
      </c>
      <c r="AP270" s="139">
        <v>19</v>
      </c>
      <c r="AQ270" s="138" t="s">
        <v>884</v>
      </c>
      <c r="AS270" s="136">
        <v>15.21</v>
      </c>
      <c r="AT270" s="139">
        <v>6</v>
      </c>
      <c r="AU270" s="138">
        <v>9</v>
      </c>
      <c r="AW270" s="136">
        <v>37.4</v>
      </c>
      <c r="AX270" s="139">
        <v>19</v>
      </c>
      <c r="AY270" s="138" t="s">
        <v>884</v>
      </c>
      <c r="BA270" s="136">
        <v>16.079999999999998</v>
      </c>
      <c r="BB270" s="139">
        <v>5</v>
      </c>
      <c r="BC270" s="138">
        <v>5</v>
      </c>
    </row>
    <row r="271" spans="5:55" x14ac:dyDescent="0.3">
      <c r="E271" s="152">
        <v>16.18</v>
      </c>
      <c r="F271" s="153">
        <v>3</v>
      </c>
      <c r="G271" s="155" t="s">
        <v>876</v>
      </c>
      <c r="I271" s="136">
        <v>38.08</v>
      </c>
      <c r="J271" s="139">
        <v>7</v>
      </c>
      <c r="K271" s="138">
        <v>16</v>
      </c>
      <c r="M271" s="136">
        <v>15.23</v>
      </c>
      <c r="N271" s="139">
        <v>7</v>
      </c>
      <c r="O271" s="138">
        <v>16</v>
      </c>
      <c r="Q271" s="136">
        <v>38</v>
      </c>
      <c r="R271" s="139">
        <v>1</v>
      </c>
      <c r="S271" s="138" t="s">
        <v>883</v>
      </c>
      <c r="U271" s="136">
        <v>15.24</v>
      </c>
      <c r="V271" s="139">
        <v>13</v>
      </c>
      <c r="W271" s="138">
        <v>85</v>
      </c>
      <c r="Y271" s="136">
        <v>15.18</v>
      </c>
      <c r="Z271" s="139">
        <v>6</v>
      </c>
      <c r="AA271" s="138">
        <v>9</v>
      </c>
      <c r="AC271" s="136">
        <v>15.29</v>
      </c>
      <c r="AD271" s="139">
        <v>16</v>
      </c>
      <c r="AE271" s="138">
        <v>98</v>
      </c>
      <c r="AG271" s="136">
        <v>15.44</v>
      </c>
      <c r="AH271" s="137">
        <v>8</v>
      </c>
      <c r="AI271" s="138">
        <v>25</v>
      </c>
      <c r="AK271" s="136">
        <v>15.33</v>
      </c>
      <c r="AL271" s="139">
        <v>16</v>
      </c>
      <c r="AM271" s="138">
        <v>98</v>
      </c>
      <c r="AO271" s="136">
        <v>38</v>
      </c>
      <c r="AP271" s="139">
        <v>1</v>
      </c>
      <c r="AQ271" s="138" t="s">
        <v>883</v>
      </c>
      <c r="AS271" s="136">
        <v>15.22</v>
      </c>
      <c r="AT271" s="139">
        <v>7</v>
      </c>
      <c r="AU271" s="138">
        <v>16</v>
      </c>
      <c r="AW271" s="136">
        <v>38</v>
      </c>
      <c r="AX271" s="139">
        <v>1</v>
      </c>
      <c r="AY271" s="138" t="s">
        <v>883</v>
      </c>
      <c r="BA271" s="136">
        <v>16.09</v>
      </c>
      <c r="BB271" s="139">
        <v>6</v>
      </c>
      <c r="BC271" s="138">
        <v>9</v>
      </c>
    </row>
    <row r="272" spans="5:55" x14ac:dyDescent="0.3">
      <c r="E272" s="152">
        <v>16.190000000000001</v>
      </c>
      <c r="F272" s="153">
        <v>4</v>
      </c>
      <c r="G272" s="155" t="s">
        <v>863</v>
      </c>
      <c r="I272" s="136">
        <v>38.1</v>
      </c>
      <c r="J272" s="139">
        <v>8</v>
      </c>
      <c r="K272" s="138">
        <v>25</v>
      </c>
      <c r="M272" s="136">
        <v>15.25</v>
      </c>
      <c r="N272" s="139">
        <v>8</v>
      </c>
      <c r="O272" s="138">
        <v>25</v>
      </c>
      <c r="Q272" s="136">
        <v>38.04</v>
      </c>
      <c r="R272" s="139">
        <v>2</v>
      </c>
      <c r="S272" s="138" t="s">
        <v>883</v>
      </c>
      <c r="U272" s="136">
        <v>15.26</v>
      </c>
      <c r="V272" s="139">
        <v>14</v>
      </c>
      <c r="W272" s="138">
        <v>91</v>
      </c>
      <c r="Y272" s="136">
        <v>15.19</v>
      </c>
      <c r="Z272" s="139">
        <v>7</v>
      </c>
      <c r="AA272" s="138">
        <v>16</v>
      </c>
      <c r="AC272" s="136">
        <v>15.3</v>
      </c>
      <c r="AD272" s="139">
        <v>17</v>
      </c>
      <c r="AE272" s="138">
        <v>99</v>
      </c>
      <c r="AG272" s="136">
        <v>15.46</v>
      </c>
      <c r="AH272" s="137">
        <v>9</v>
      </c>
      <c r="AI272" s="138">
        <v>37</v>
      </c>
      <c r="AK272" s="136">
        <v>15.34</v>
      </c>
      <c r="AL272" s="139">
        <v>17</v>
      </c>
      <c r="AM272" s="138">
        <v>99</v>
      </c>
      <c r="AO272" s="136">
        <v>38.090000000000003</v>
      </c>
      <c r="AP272" s="139">
        <v>2</v>
      </c>
      <c r="AQ272" s="138" t="s">
        <v>883</v>
      </c>
      <c r="AS272" s="136">
        <v>15.24</v>
      </c>
      <c r="AT272" s="139">
        <v>8</v>
      </c>
      <c r="AU272" s="138">
        <v>25</v>
      </c>
      <c r="AW272" s="136">
        <v>38.049999999999997</v>
      </c>
      <c r="AX272" s="139">
        <v>2</v>
      </c>
      <c r="AY272" s="138" t="s">
        <v>883</v>
      </c>
      <c r="BA272" s="136">
        <v>16.100000000000001</v>
      </c>
      <c r="BB272" s="139">
        <v>7</v>
      </c>
      <c r="BC272" s="138">
        <v>16</v>
      </c>
    </row>
    <row r="273" spans="5:55" x14ac:dyDescent="0.3">
      <c r="E273" s="152">
        <v>16.21</v>
      </c>
      <c r="F273" s="153">
        <v>5</v>
      </c>
      <c r="G273" s="155" t="s">
        <v>877</v>
      </c>
      <c r="I273" s="136">
        <v>38.11</v>
      </c>
      <c r="J273" s="139">
        <v>9</v>
      </c>
      <c r="K273" s="138">
        <v>37</v>
      </c>
      <c r="M273" s="136">
        <v>15.27</v>
      </c>
      <c r="N273" s="139">
        <v>9</v>
      </c>
      <c r="O273" s="138">
        <v>37</v>
      </c>
      <c r="Q273" s="136">
        <v>38.1</v>
      </c>
      <c r="R273" s="139">
        <v>3</v>
      </c>
      <c r="S273" s="138">
        <v>1</v>
      </c>
      <c r="U273" s="136">
        <v>15.28</v>
      </c>
      <c r="V273" s="139">
        <v>15</v>
      </c>
      <c r="W273" s="138">
        <v>95</v>
      </c>
      <c r="Y273" s="136">
        <v>15.2</v>
      </c>
      <c r="Z273" s="139">
        <v>8</v>
      </c>
      <c r="AA273" s="138">
        <v>25</v>
      </c>
      <c r="AC273" s="136">
        <v>15.32</v>
      </c>
      <c r="AD273" s="139">
        <v>18</v>
      </c>
      <c r="AE273" s="138" t="s">
        <v>884</v>
      </c>
      <c r="AG273" s="136">
        <v>15.48</v>
      </c>
      <c r="AH273" s="137">
        <v>10</v>
      </c>
      <c r="AI273" s="138">
        <v>50</v>
      </c>
      <c r="AK273" s="136">
        <v>15.35</v>
      </c>
      <c r="AL273" s="139">
        <v>18</v>
      </c>
      <c r="AM273" s="138" t="s">
        <v>884</v>
      </c>
      <c r="AO273" s="136">
        <v>38.1</v>
      </c>
      <c r="AP273" s="139">
        <v>3</v>
      </c>
      <c r="AQ273" s="138">
        <v>1</v>
      </c>
      <c r="AS273" s="136">
        <v>15.25</v>
      </c>
      <c r="AT273" s="139">
        <v>9</v>
      </c>
      <c r="AU273" s="138">
        <v>37</v>
      </c>
      <c r="AW273" s="136">
        <v>38.07</v>
      </c>
      <c r="AX273" s="139">
        <v>3</v>
      </c>
      <c r="AY273" s="138">
        <v>1</v>
      </c>
      <c r="BA273" s="136">
        <v>16.11</v>
      </c>
      <c r="BB273" s="139">
        <v>8</v>
      </c>
      <c r="BC273" s="138">
        <v>25</v>
      </c>
    </row>
    <row r="274" spans="5:55" x14ac:dyDescent="0.3">
      <c r="E274" s="152">
        <v>16.220000000000002</v>
      </c>
      <c r="F274" s="153">
        <v>6</v>
      </c>
      <c r="G274" s="155" t="s">
        <v>864</v>
      </c>
      <c r="I274" s="136">
        <v>38.130000000000003</v>
      </c>
      <c r="J274" s="139">
        <v>10</v>
      </c>
      <c r="K274" s="138">
        <v>50</v>
      </c>
      <c r="M274" s="136">
        <v>15.29</v>
      </c>
      <c r="N274" s="139">
        <v>10</v>
      </c>
      <c r="O274" s="138">
        <v>50</v>
      </c>
      <c r="Q274" s="136">
        <v>38.119999999999997</v>
      </c>
      <c r="R274" s="139">
        <v>4</v>
      </c>
      <c r="S274" s="138">
        <v>2</v>
      </c>
      <c r="U274" s="136">
        <v>15.3</v>
      </c>
      <c r="V274" s="139">
        <v>16</v>
      </c>
      <c r="W274" s="138">
        <v>98</v>
      </c>
      <c r="Y274" s="136">
        <v>15.21</v>
      </c>
      <c r="Z274" s="139">
        <v>9</v>
      </c>
      <c r="AA274" s="138">
        <v>37</v>
      </c>
      <c r="AC274" s="136">
        <v>15.34</v>
      </c>
      <c r="AD274" s="139">
        <v>19</v>
      </c>
      <c r="AE274" s="138" t="s">
        <v>884</v>
      </c>
      <c r="AG274" s="136">
        <v>15.5</v>
      </c>
      <c r="AH274" s="137">
        <v>11</v>
      </c>
      <c r="AI274" s="138">
        <v>63</v>
      </c>
      <c r="AK274" s="136">
        <v>15.36</v>
      </c>
      <c r="AL274" s="139">
        <v>19</v>
      </c>
      <c r="AM274" s="138" t="s">
        <v>884</v>
      </c>
      <c r="AO274" s="136">
        <v>38.11</v>
      </c>
      <c r="AP274" s="139">
        <v>4</v>
      </c>
      <c r="AQ274" s="138">
        <v>2</v>
      </c>
      <c r="AS274" s="136">
        <v>15.27</v>
      </c>
      <c r="AT274" s="139">
        <v>10</v>
      </c>
      <c r="AU274" s="138">
        <v>50</v>
      </c>
      <c r="AW274" s="136">
        <v>38.090000000000003</v>
      </c>
      <c r="AX274" s="139">
        <v>4</v>
      </c>
      <c r="AY274" s="138">
        <v>2</v>
      </c>
      <c r="BA274" s="136">
        <v>16.12</v>
      </c>
      <c r="BB274" s="139">
        <v>9</v>
      </c>
      <c r="BC274" s="138">
        <v>37</v>
      </c>
    </row>
    <row r="275" spans="5:55" x14ac:dyDescent="0.3">
      <c r="E275" s="152">
        <v>16.239999999999998</v>
      </c>
      <c r="F275" s="153">
        <v>7</v>
      </c>
      <c r="G275" s="155" t="s">
        <v>878</v>
      </c>
      <c r="I275" s="136">
        <v>38.15</v>
      </c>
      <c r="J275" s="139">
        <v>11</v>
      </c>
      <c r="K275" s="138">
        <v>63</v>
      </c>
      <c r="M275" s="136">
        <v>15.31</v>
      </c>
      <c r="N275" s="139">
        <v>11</v>
      </c>
      <c r="O275" s="138">
        <v>63</v>
      </c>
      <c r="Q275" s="136">
        <v>38.15</v>
      </c>
      <c r="R275" s="139">
        <v>5</v>
      </c>
      <c r="S275" s="138">
        <v>5</v>
      </c>
      <c r="U275" s="136">
        <v>15.32</v>
      </c>
      <c r="V275" s="139">
        <v>17</v>
      </c>
      <c r="W275" s="138">
        <v>99</v>
      </c>
      <c r="Y275" s="136">
        <v>15.23</v>
      </c>
      <c r="Z275" s="139">
        <v>10</v>
      </c>
      <c r="AA275" s="138">
        <v>50</v>
      </c>
      <c r="AC275" s="136">
        <v>16</v>
      </c>
      <c r="AD275" s="139">
        <v>1</v>
      </c>
      <c r="AE275" s="138" t="s">
        <v>883</v>
      </c>
      <c r="AG275" s="136">
        <v>15.52</v>
      </c>
      <c r="AH275" s="137">
        <v>12</v>
      </c>
      <c r="AI275" s="138">
        <v>75</v>
      </c>
      <c r="AK275" s="136">
        <v>16</v>
      </c>
      <c r="AL275" s="139">
        <v>1</v>
      </c>
      <c r="AM275" s="138" t="s">
        <v>883</v>
      </c>
      <c r="AO275" s="136">
        <v>38.119999999999997</v>
      </c>
      <c r="AP275" s="139">
        <v>5</v>
      </c>
      <c r="AQ275" s="138">
        <v>5</v>
      </c>
      <c r="AS275" s="136">
        <v>15.28</v>
      </c>
      <c r="AT275" s="139">
        <v>11</v>
      </c>
      <c r="AU275" s="138">
        <v>63</v>
      </c>
      <c r="AW275" s="136">
        <v>38.11</v>
      </c>
      <c r="AX275" s="139">
        <v>5</v>
      </c>
      <c r="AY275" s="138">
        <v>5</v>
      </c>
      <c r="BA275" s="136">
        <v>16.13</v>
      </c>
      <c r="BB275" s="139">
        <v>10</v>
      </c>
      <c r="BC275" s="138">
        <v>50</v>
      </c>
    </row>
    <row r="276" spans="5:55" x14ac:dyDescent="0.3">
      <c r="E276" s="152">
        <v>16.25</v>
      </c>
      <c r="F276" s="153">
        <v>8</v>
      </c>
      <c r="G276" s="155" t="s">
        <v>865</v>
      </c>
      <c r="I276" s="136">
        <v>38.159999999999997</v>
      </c>
      <c r="J276" s="139">
        <v>12</v>
      </c>
      <c r="K276" s="138">
        <v>75</v>
      </c>
      <c r="M276" s="136">
        <v>15.33</v>
      </c>
      <c r="N276" s="139">
        <v>12</v>
      </c>
      <c r="O276" s="138">
        <v>75</v>
      </c>
      <c r="Q276" s="136">
        <v>38.17</v>
      </c>
      <c r="R276" s="139">
        <v>6</v>
      </c>
      <c r="S276" s="138">
        <v>9</v>
      </c>
      <c r="U276" s="136">
        <v>15.34</v>
      </c>
      <c r="V276" s="139">
        <v>18</v>
      </c>
      <c r="W276" s="138" t="s">
        <v>884</v>
      </c>
      <c r="Y276" s="136">
        <v>15.24</v>
      </c>
      <c r="Z276" s="139">
        <v>11</v>
      </c>
      <c r="AA276" s="138">
        <v>63</v>
      </c>
      <c r="AC276" s="136">
        <v>16.13</v>
      </c>
      <c r="AD276" s="139">
        <v>2</v>
      </c>
      <c r="AE276" s="138" t="s">
        <v>883</v>
      </c>
      <c r="AG276" s="136">
        <v>15.54</v>
      </c>
      <c r="AH276" s="137">
        <v>13</v>
      </c>
      <c r="AI276" s="138">
        <v>85</v>
      </c>
      <c r="AK276" s="136">
        <v>16.18</v>
      </c>
      <c r="AL276" s="139">
        <v>2</v>
      </c>
      <c r="AM276" s="138" t="s">
        <v>883</v>
      </c>
      <c r="AO276" s="136">
        <v>38.14</v>
      </c>
      <c r="AP276" s="139">
        <v>6</v>
      </c>
      <c r="AQ276" s="138">
        <v>9</v>
      </c>
      <c r="AS276" s="136">
        <v>15.3</v>
      </c>
      <c r="AT276" s="139">
        <v>12</v>
      </c>
      <c r="AU276" s="138">
        <v>75</v>
      </c>
      <c r="AW276" s="136">
        <v>38.119999999999997</v>
      </c>
      <c r="AX276" s="139">
        <v>6</v>
      </c>
      <c r="AY276" s="138">
        <v>9</v>
      </c>
      <c r="BA276" s="136">
        <v>16.14</v>
      </c>
      <c r="BB276" s="139">
        <v>11</v>
      </c>
      <c r="BC276" s="138">
        <v>63</v>
      </c>
    </row>
    <row r="277" spans="5:55" x14ac:dyDescent="0.3">
      <c r="E277" s="152">
        <v>16.260000000000002</v>
      </c>
      <c r="F277" s="153">
        <v>9</v>
      </c>
      <c r="G277" s="155" t="s">
        <v>879</v>
      </c>
      <c r="I277" s="136">
        <v>38.18</v>
      </c>
      <c r="J277" s="139">
        <v>13</v>
      </c>
      <c r="K277" s="138">
        <v>85</v>
      </c>
      <c r="M277" s="136">
        <v>15.35</v>
      </c>
      <c r="N277" s="139">
        <v>13</v>
      </c>
      <c r="O277" s="138">
        <v>85</v>
      </c>
      <c r="Q277" s="136">
        <v>38.19</v>
      </c>
      <c r="R277" s="139">
        <v>7</v>
      </c>
      <c r="S277" s="138">
        <v>16</v>
      </c>
      <c r="U277" s="136">
        <v>15.38</v>
      </c>
      <c r="V277" s="139">
        <v>19</v>
      </c>
      <c r="W277" s="138" t="s">
        <v>884</v>
      </c>
      <c r="Y277" s="136">
        <v>15.25</v>
      </c>
      <c r="Z277" s="139">
        <v>12</v>
      </c>
      <c r="AA277" s="138">
        <v>75</v>
      </c>
      <c r="AC277" s="136">
        <v>16.16</v>
      </c>
      <c r="AD277" s="139">
        <v>3</v>
      </c>
      <c r="AE277" s="138">
        <v>1</v>
      </c>
      <c r="AG277" s="136">
        <v>15.56</v>
      </c>
      <c r="AH277" s="137">
        <v>14</v>
      </c>
      <c r="AI277" s="138">
        <v>91</v>
      </c>
      <c r="AK277" s="136">
        <v>16.2</v>
      </c>
      <c r="AL277" s="139">
        <v>3</v>
      </c>
      <c r="AM277" s="138">
        <v>1</v>
      </c>
      <c r="AO277" s="136">
        <v>38.15</v>
      </c>
      <c r="AP277" s="139">
        <v>7</v>
      </c>
      <c r="AQ277" s="138">
        <v>16</v>
      </c>
      <c r="AS277" s="136">
        <v>15.31</v>
      </c>
      <c r="AT277" s="139">
        <v>13</v>
      </c>
      <c r="AU277" s="138">
        <v>85</v>
      </c>
      <c r="AW277" s="136">
        <v>38.14</v>
      </c>
      <c r="AX277" s="139">
        <v>7</v>
      </c>
      <c r="AY277" s="138">
        <v>16</v>
      </c>
      <c r="BA277" s="136">
        <v>16.149999999999999</v>
      </c>
      <c r="BB277" s="139">
        <v>12</v>
      </c>
      <c r="BC277" s="138">
        <v>75</v>
      </c>
    </row>
    <row r="278" spans="5:55" x14ac:dyDescent="0.3">
      <c r="E278" s="152">
        <v>16.28</v>
      </c>
      <c r="F278" s="153">
        <v>10</v>
      </c>
      <c r="G278" s="155" t="s">
        <v>866</v>
      </c>
      <c r="I278" s="136">
        <v>38.200000000000003</v>
      </c>
      <c r="J278" s="139">
        <v>14</v>
      </c>
      <c r="K278" s="138">
        <v>91</v>
      </c>
      <c r="M278" s="136">
        <v>15.37</v>
      </c>
      <c r="N278" s="139">
        <v>14</v>
      </c>
      <c r="O278" s="138">
        <v>91</v>
      </c>
      <c r="Q278" s="136">
        <v>38.21</v>
      </c>
      <c r="R278" s="139">
        <v>8</v>
      </c>
      <c r="S278" s="138">
        <v>25</v>
      </c>
      <c r="U278" s="136">
        <v>16</v>
      </c>
      <c r="V278" s="139">
        <v>1</v>
      </c>
      <c r="W278" s="138" t="s">
        <v>883</v>
      </c>
      <c r="Y278" s="136">
        <v>15.26</v>
      </c>
      <c r="Z278" s="139">
        <v>13</v>
      </c>
      <c r="AA278" s="138">
        <v>85</v>
      </c>
      <c r="AC278" s="136">
        <v>16.170000000000002</v>
      </c>
      <c r="AD278" s="139">
        <v>4</v>
      </c>
      <c r="AE278" s="138">
        <v>2</v>
      </c>
      <c r="AG278" s="136">
        <v>15.58</v>
      </c>
      <c r="AH278" s="137">
        <v>15</v>
      </c>
      <c r="AI278" s="138">
        <v>95</v>
      </c>
      <c r="AK278" s="136">
        <v>16.21</v>
      </c>
      <c r="AL278" s="139">
        <v>4</v>
      </c>
      <c r="AM278" s="138">
        <v>2</v>
      </c>
      <c r="AO278" s="136">
        <v>38.159999999999997</v>
      </c>
      <c r="AP278" s="139">
        <v>8</v>
      </c>
      <c r="AQ278" s="138">
        <v>25</v>
      </c>
      <c r="AS278" s="136">
        <v>15.33</v>
      </c>
      <c r="AT278" s="139">
        <v>14</v>
      </c>
      <c r="AU278" s="138">
        <v>91</v>
      </c>
      <c r="AW278" s="136">
        <v>38.159999999999997</v>
      </c>
      <c r="AX278" s="139">
        <v>8</v>
      </c>
      <c r="AY278" s="138">
        <v>25</v>
      </c>
      <c r="BA278" s="136">
        <v>16.16</v>
      </c>
      <c r="BB278" s="139">
        <v>13</v>
      </c>
      <c r="BC278" s="138">
        <v>85</v>
      </c>
    </row>
    <row r="279" spans="5:55" x14ac:dyDescent="0.3">
      <c r="E279" s="152">
        <v>16.290000000000003</v>
      </c>
      <c r="F279" s="153">
        <v>11</v>
      </c>
      <c r="G279" s="155" t="s">
        <v>867</v>
      </c>
      <c r="I279" s="136">
        <v>38.21</v>
      </c>
      <c r="J279" s="139">
        <v>15</v>
      </c>
      <c r="K279" s="138">
        <v>95</v>
      </c>
      <c r="M279" s="136">
        <v>15.39</v>
      </c>
      <c r="N279" s="139">
        <v>15</v>
      </c>
      <c r="O279" s="138">
        <v>95</v>
      </c>
      <c r="Q279" s="136">
        <v>38.229999999999997</v>
      </c>
      <c r="R279" s="139">
        <v>9</v>
      </c>
      <c r="S279" s="138">
        <v>37</v>
      </c>
      <c r="U279" s="136">
        <v>16.03</v>
      </c>
      <c r="V279" s="139">
        <v>2</v>
      </c>
      <c r="W279" s="138" t="s">
        <v>883</v>
      </c>
      <c r="Y279" s="136">
        <v>15.27</v>
      </c>
      <c r="Z279" s="139">
        <v>14</v>
      </c>
      <c r="AA279" s="138">
        <v>91</v>
      </c>
      <c r="AC279" s="136">
        <v>16.18</v>
      </c>
      <c r="AD279" s="139">
        <v>5</v>
      </c>
      <c r="AE279" s="138">
        <v>5</v>
      </c>
      <c r="AG279" s="136">
        <v>15.6</v>
      </c>
      <c r="AH279" s="137">
        <v>16</v>
      </c>
      <c r="AI279" s="138">
        <v>98</v>
      </c>
      <c r="AK279" s="136">
        <v>16.22</v>
      </c>
      <c r="AL279" s="139">
        <v>5</v>
      </c>
      <c r="AM279" s="138">
        <v>5</v>
      </c>
      <c r="AO279" s="136">
        <v>38.17</v>
      </c>
      <c r="AP279" s="139">
        <v>9</v>
      </c>
      <c r="AQ279" s="138">
        <v>37</v>
      </c>
      <c r="AS279" s="136">
        <v>15.34</v>
      </c>
      <c r="AT279" s="139">
        <v>15</v>
      </c>
      <c r="AU279" s="138">
        <v>95</v>
      </c>
      <c r="AW279" s="136">
        <v>38.18</v>
      </c>
      <c r="AX279" s="139">
        <v>9</v>
      </c>
      <c r="AY279" s="138">
        <v>37</v>
      </c>
      <c r="BA279" s="136">
        <v>16.170000000000002</v>
      </c>
      <c r="BB279" s="139">
        <v>14</v>
      </c>
      <c r="BC279" s="138">
        <v>91</v>
      </c>
    </row>
    <row r="280" spans="5:55" x14ac:dyDescent="0.3">
      <c r="E280" s="152">
        <v>16.300000000000004</v>
      </c>
      <c r="F280" s="153">
        <v>12</v>
      </c>
      <c r="G280" s="155" t="s">
        <v>868</v>
      </c>
      <c r="I280" s="136">
        <v>38.229999999999997</v>
      </c>
      <c r="J280" s="139">
        <v>16</v>
      </c>
      <c r="K280" s="138">
        <v>98</v>
      </c>
      <c r="M280" s="136">
        <v>15.41</v>
      </c>
      <c r="N280" s="139">
        <v>16</v>
      </c>
      <c r="O280" s="138">
        <v>98</v>
      </c>
      <c r="Q280" s="136">
        <v>38.25</v>
      </c>
      <c r="R280" s="139">
        <v>10</v>
      </c>
      <c r="S280" s="138">
        <v>50</v>
      </c>
      <c r="U280" s="136">
        <v>16.05</v>
      </c>
      <c r="V280" s="139">
        <v>3</v>
      </c>
      <c r="W280" s="138">
        <v>1</v>
      </c>
      <c r="Y280" s="136">
        <v>15.28</v>
      </c>
      <c r="Z280" s="139">
        <v>15</v>
      </c>
      <c r="AA280" s="138">
        <v>95</v>
      </c>
      <c r="AC280" s="136">
        <v>16.190000000000001</v>
      </c>
      <c r="AD280" s="139">
        <v>6</v>
      </c>
      <c r="AE280" s="138">
        <v>9</v>
      </c>
      <c r="AG280" s="136">
        <v>15.62</v>
      </c>
      <c r="AH280" s="137">
        <v>17</v>
      </c>
      <c r="AI280" s="138">
        <v>99</v>
      </c>
      <c r="AK280" s="136">
        <v>16.23</v>
      </c>
      <c r="AL280" s="139">
        <v>6</v>
      </c>
      <c r="AM280" s="138">
        <v>9</v>
      </c>
      <c r="AO280" s="136">
        <v>38.18</v>
      </c>
      <c r="AP280" s="139">
        <v>10</v>
      </c>
      <c r="AQ280" s="138">
        <v>50</v>
      </c>
      <c r="AS280" s="136">
        <v>15.36</v>
      </c>
      <c r="AT280" s="139">
        <v>16</v>
      </c>
      <c r="AU280" s="138">
        <v>98</v>
      </c>
      <c r="AW280" s="136">
        <v>38.200000000000003</v>
      </c>
      <c r="AX280" s="139">
        <v>10</v>
      </c>
      <c r="AY280" s="138">
        <v>50</v>
      </c>
      <c r="BA280" s="136">
        <v>16.18</v>
      </c>
      <c r="BB280" s="139">
        <v>15</v>
      </c>
      <c r="BC280" s="138">
        <v>95</v>
      </c>
    </row>
    <row r="281" spans="5:55" x14ac:dyDescent="0.3">
      <c r="E281" s="152">
        <v>16.32</v>
      </c>
      <c r="F281" s="153">
        <v>13</v>
      </c>
      <c r="G281" s="155" t="s">
        <v>869</v>
      </c>
      <c r="I281" s="136">
        <v>38.25</v>
      </c>
      <c r="J281" s="139">
        <v>17</v>
      </c>
      <c r="K281" s="138">
        <v>99</v>
      </c>
      <c r="M281" s="136">
        <v>15.43</v>
      </c>
      <c r="N281" s="139">
        <v>17</v>
      </c>
      <c r="O281" s="138">
        <v>99</v>
      </c>
      <c r="Q281" s="136">
        <v>38.270000000000003</v>
      </c>
      <c r="R281" s="139">
        <v>11</v>
      </c>
      <c r="S281" s="138">
        <v>63</v>
      </c>
      <c r="U281" s="136">
        <v>16.07</v>
      </c>
      <c r="V281" s="139">
        <v>4</v>
      </c>
      <c r="W281" s="138">
        <v>2</v>
      </c>
      <c r="Y281" s="136">
        <v>15.3</v>
      </c>
      <c r="Z281" s="139">
        <v>16</v>
      </c>
      <c r="AA281" s="138">
        <v>98</v>
      </c>
      <c r="AC281" s="136">
        <v>16.2</v>
      </c>
      <c r="AD281" s="139">
        <v>7</v>
      </c>
      <c r="AE281" s="138">
        <v>16</v>
      </c>
      <c r="AG281" s="136">
        <v>15.64</v>
      </c>
      <c r="AH281" s="137">
        <v>18</v>
      </c>
      <c r="AI281" s="138" t="s">
        <v>884</v>
      </c>
      <c r="AK281" s="136">
        <v>16.239999999999998</v>
      </c>
      <c r="AL281" s="139">
        <v>7</v>
      </c>
      <c r="AM281" s="138">
        <v>16</v>
      </c>
      <c r="AO281" s="136">
        <v>38.19</v>
      </c>
      <c r="AP281" s="139">
        <v>11</v>
      </c>
      <c r="AQ281" s="138">
        <v>63</v>
      </c>
      <c r="AS281" s="136">
        <v>15.37</v>
      </c>
      <c r="AT281" s="139">
        <v>17</v>
      </c>
      <c r="AU281" s="138">
        <v>99</v>
      </c>
      <c r="AW281" s="136">
        <v>38.22</v>
      </c>
      <c r="AX281" s="139">
        <v>11</v>
      </c>
      <c r="AY281" s="138">
        <v>63</v>
      </c>
      <c r="BA281" s="136">
        <v>16.190000000000001</v>
      </c>
      <c r="BB281" s="139">
        <v>16</v>
      </c>
      <c r="BC281" s="138">
        <v>98</v>
      </c>
    </row>
    <row r="282" spans="5:55" x14ac:dyDescent="0.3">
      <c r="E282" s="152">
        <v>16.330000000000002</v>
      </c>
      <c r="F282" s="153">
        <v>14</v>
      </c>
      <c r="G282" s="155" t="s">
        <v>870</v>
      </c>
      <c r="I282" s="136">
        <v>38.270000000000003</v>
      </c>
      <c r="J282" s="139">
        <v>18</v>
      </c>
      <c r="K282" s="138" t="s">
        <v>884</v>
      </c>
      <c r="M282" s="136">
        <v>15.45</v>
      </c>
      <c r="N282" s="139">
        <v>18</v>
      </c>
      <c r="O282" s="138" t="s">
        <v>884</v>
      </c>
      <c r="Q282" s="136">
        <v>38.29</v>
      </c>
      <c r="R282" s="139">
        <v>12</v>
      </c>
      <c r="S282" s="138">
        <v>75</v>
      </c>
      <c r="U282" s="136">
        <v>16.09</v>
      </c>
      <c r="V282" s="139">
        <v>5</v>
      </c>
      <c r="W282" s="138">
        <v>5</v>
      </c>
      <c r="Y282" s="136">
        <v>15.31</v>
      </c>
      <c r="Z282" s="139">
        <v>17</v>
      </c>
      <c r="AA282" s="138">
        <v>99</v>
      </c>
      <c r="AC282" s="136">
        <v>16.21</v>
      </c>
      <c r="AD282" s="139">
        <v>8</v>
      </c>
      <c r="AE282" s="138">
        <v>25</v>
      </c>
      <c r="AG282" s="136">
        <v>15.67</v>
      </c>
      <c r="AH282" s="137">
        <v>19</v>
      </c>
      <c r="AI282" s="138" t="s">
        <v>884</v>
      </c>
      <c r="AK282" s="136">
        <v>16.25</v>
      </c>
      <c r="AL282" s="139">
        <v>8</v>
      </c>
      <c r="AM282" s="138">
        <v>25</v>
      </c>
      <c r="AO282" s="136">
        <v>38.200000000000003</v>
      </c>
      <c r="AP282" s="139">
        <v>12</v>
      </c>
      <c r="AQ282" s="138">
        <v>75</v>
      </c>
      <c r="AS282" s="136">
        <v>15.39</v>
      </c>
      <c r="AT282" s="139">
        <v>18</v>
      </c>
      <c r="AU282" s="138" t="s">
        <v>884</v>
      </c>
      <c r="AW282" s="136">
        <v>38.24</v>
      </c>
      <c r="AX282" s="139">
        <v>12</v>
      </c>
      <c r="AY282" s="138">
        <v>75</v>
      </c>
      <c r="BA282" s="136">
        <v>16.2</v>
      </c>
      <c r="BB282" s="139">
        <v>17</v>
      </c>
      <c r="BC282" s="138">
        <v>99</v>
      </c>
    </row>
    <row r="283" spans="5:55" x14ac:dyDescent="0.3">
      <c r="E283" s="152">
        <v>16.350000000000001</v>
      </c>
      <c r="F283" s="153">
        <v>15</v>
      </c>
      <c r="G283" s="155" t="s">
        <v>871</v>
      </c>
      <c r="I283" s="136">
        <v>38.29</v>
      </c>
      <c r="J283" s="139">
        <v>19</v>
      </c>
      <c r="K283" s="138" t="s">
        <v>884</v>
      </c>
      <c r="M283" s="136">
        <v>15.47</v>
      </c>
      <c r="N283" s="139">
        <v>19</v>
      </c>
      <c r="O283" s="138" t="s">
        <v>884</v>
      </c>
      <c r="Q283" s="136">
        <v>38.31</v>
      </c>
      <c r="R283" s="139">
        <v>13</v>
      </c>
      <c r="S283" s="138">
        <v>85</v>
      </c>
      <c r="U283" s="136">
        <v>16.11</v>
      </c>
      <c r="V283" s="139">
        <v>6</v>
      </c>
      <c r="W283" s="138">
        <v>9</v>
      </c>
      <c r="Y283" s="136">
        <v>15.32</v>
      </c>
      <c r="Z283" s="139">
        <v>18</v>
      </c>
      <c r="AA283" s="138" t="s">
        <v>884</v>
      </c>
      <c r="AC283" s="136">
        <v>16.22</v>
      </c>
      <c r="AD283" s="139">
        <v>9</v>
      </c>
      <c r="AE283" s="138">
        <v>37</v>
      </c>
      <c r="AG283" s="136">
        <v>16</v>
      </c>
      <c r="AH283" s="137">
        <v>1</v>
      </c>
      <c r="AI283" s="138" t="s">
        <v>883</v>
      </c>
      <c r="AK283" s="136">
        <v>16.260000000000002</v>
      </c>
      <c r="AL283" s="139">
        <v>9</v>
      </c>
      <c r="AM283" s="138">
        <v>37</v>
      </c>
      <c r="AO283" s="136">
        <v>38.21</v>
      </c>
      <c r="AP283" s="139">
        <v>13</v>
      </c>
      <c r="AQ283" s="138">
        <v>85</v>
      </c>
      <c r="AS283" s="136">
        <v>15.41</v>
      </c>
      <c r="AT283" s="139">
        <v>19</v>
      </c>
      <c r="AU283" s="138" t="s">
        <v>884</v>
      </c>
      <c r="AW283" s="136">
        <v>38.26</v>
      </c>
      <c r="AX283" s="139">
        <v>13</v>
      </c>
      <c r="AY283" s="138">
        <v>85</v>
      </c>
      <c r="BA283" s="136">
        <v>16.21</v>
      </c>
      <c r="BB283" s="139">
        <v>18</v>
      </c>
      <c r="BC283" s="138" t="s">
        <v>884</v>
      </c>
    </row>
    <row r="284" spans="5:55" x14ac:dyDescent="0.3">
      <c r="E284" s="152">
        <v>16.360000000000003</v>
      </c>
      <c r="F284" s="153">
        <v>16</v>
      </c>
      <c r="G284" s="155" t="s">
        <v>872</v>
      </c>
      <c r="I284" s="136">
        <v>39</v>
      </c>
      <c r="J284" s="139">
        <v>1</v>
      </c>
      <c r="K284" s="138" t="s">
        <v>883</v>
      </c>
      <c r="M284" s="136">
        <v>16</v>
      </c>
      <c r="N284" s="139">
        <v>1</v>
      </c>
      <c r="O284" s="138" t="s">
        <v>883</v>
      </c>
      <c r="Q284" s="136">
        <v>38.33</v>
      </c>
      <c r="R284" s="139">
        <v>14</v>
      </c>
      <c r="S284" s="138">
        <v>91</v>
      </c>
      <c r="U284" s="136">
        <v>16.14</v>
      </c>
      <c r="V284" s="139">
        <v>7</v>
      </c>
      <c r="W284" s="138">
        <v>16</v>
      </c>
      <c r="Y284" s="136">
        <v>15.34</v>
      </c>
      <c r="Z284" s="139">
        <v>19</v>
      </c>
      <c r="AA284" s="138" t="s">
        <v>884</v>
      </c>
      <c r="AC284" s="136">
        <v>16.239999999999998</v>
      </c>
      <c r="AD284" s="139">
        <v>10</v>
      </c>
      <c r="AE284" s="138">
        <v>50</v>
      </c>
      <c r="AG284" s="136">
        <v>16.329999999999998</v>
      </c>
      <c r="AH284" s="137">
        <v>2</v>
      </c>
      <c r="AI284" s="138" t="s">
        <v>883</v>
      </c>
      <c r="AK284" s="136">
        <v>16.27</v>
      </c>
      <c r="AL284" s="139">
        <v>10</v>
      </c>
      <c r="AM284" s="138">
        <v>50</v>
      </c>
      <c r="AO284" s="136">
        <v>38.22</v>
      </c>
      <c r="AP284" s="139">
        <v>14</v>
      </c>
      <c r="AQ284" s="138">
        <v>91</v>
      </c>
      <c r="AS284" s="136">
        <v>16</v>
      </c>
      <c r="AT284" s="139">
        <v>1</v>
      </c>
      <c r="AU284" s="138" t="s">
        <v>883</v>
      </c>
      <c r="AW284" s="136">
        <v>38.28</v>
      </c>
      <c r="AX284" s="139">
        <v>14</v>
      </c>
      <c r="AY284" s="138">
        <v>91</v>
      </c>
      <c r="BA284" s="136">
        <v>16.22</v>
      </c>
      <c r="BB284" s="139">
        <v>19</v>
      </c>
      <c r="BC284" s="138" t="s">
        <v>884</v>
      </c>
    </row>
    <row r="285" spans="5:55" x14ac:dyDescent="0.3">
      <c r="E285" s="152">
        <v>16.370000000000005</v>
      </c>
      <c r="F285" s="153">
        <v>17</v>
      </c>
      <c r="G285" s="155" t="s">
        <v>873</v>
      </c>
      <c r="I285" s="136">
        <v>39.01</v>
      </c>
      <c r="J285" s="139">
        <v>2</v>
      </c>
      <c r="K285" s="138" t="s">
        <v>883</v>
      </c>
      <c r="M285" s="136">
        <v>16.12</v>
      </c>
      <c r="N285" s="139">
        <v>2</v>
      </c>
      <c r="O285" s="138" t="s">
        <v>883</v>
      </c>
      <c r="Q285" s="136">
        <v>38.35</v>
      </c>
      <c r="R285" s="139">
        <v>15</v>
      </c>
      <c r="S285" s="138">
        <v>95</v>
      </c>
      <c r="U285" s="136">
        <v>16.16</v>
      </c>
      <c r="V285" s="139">
        <v>8</v>
      </c>
      <c r="W285" s="138">
        <v>25</v>
      </c>
      <c r="Y285" s="136">
        <v>16</v>
      </c>
      <c r="Z285" s="139">
        <v>1</v>
      </c>
      <c r="AA285" s="138" t="s">
        <v>883</v>
      </c>
      <c r="AC285" s="136">
        <v>16.25</v>
      </c>
      <c r="AD285" s="139">
        <v>11</v>
      </c>
      <c r="AE285" s="138">
        <v>63</v>
      </c>
      <c r="AG285" s="136">
        <v>16.37</v>
      </c>
      <c r="AH285" s="137">
        <v>3</v>
      </c>
      <c r="AI285" s="138">
        <v>1</v>
      </c>
      <c r="AK285" s="136">
        <v>16.28</v>
      </c>
      <c r="AL285" s="139">
        <v>11</v>
      </c>
      <c r="AM285" s="138">
        <v>63</v>
      </c>
      <c r="AO285" s="136">
        <v>38.229999999999997</v>
      </c>
      <c r="AP285" s="139">
        <v>15</v>
      </c>
      <c r="AQ285" s="138">
        <v>95</v>
      </c>
      <c r="AS285" s="136">
        <v>16.14</v>
      </c>
      <c r="AT285" s="139">
        <v>2</v>
      </c>
      <c r="AU285" s="138" t="s">
        <v>883</v>
      </c>
      <c r="AW285" s="136">
        <v>38.299999999999997</v>
      </c>
      <c r="AX285" s="139">
        <v>15</v>
      </c>
      <c r="AY285" s="138">
        <v>95</v>
      </c>
      <c r="BA285" s="136">
        <v>17</v>
      </c>
      <c r="BB285" s="139">
        <v>1</v>
      </c>
      <c r="BC285" s="138" t="s">
        <v>883</v>
      </c>
    </row>
    <row r="286" spans="5:55" x14ac:dyDescent="0.3">
      <c r="E286" s="152">
        <v>16.39</v>
      </c>
      <c r="F286" s="153">
        <v>18</v>
      </c>
      <c r="G286" s="155" t="s">
        <v>874</v>
      </c>
      <c r="I286" s="136">
        <v>39.03</v>
      </c>
      <c r="J286" s="139">
        <v>3</v>
      </c>
      <c r="K286" s="138">
        <v>1</v>
      </c>
      <c r="M286" s="136">
        <v>16.170000000000002</v>
      </c>
      <c r="N286" s="139">
        <v>3</v>
      </c>
      <c r="O286" s="138">
        <v>1</v>
      </c>
      <c r="Q286" s="136">
        <v>38.369999999999997</v>
      </c>
      <c r="R286" s="139">
        <v>16</v>
      </c>
      <c r="S286" s="138">
        <v>98</v>
      </c>
      <c r="U286" s="136">
        <v>16.18</v>
      </c>
      <c r="V286" s="139">
        <v>9</v>
      </c>
      <c r="W286" s="138">
        <v>37</v>
      </c>
      <c r="Y286" s="136">
        <v>16.14</v>
      </c>
      <c r="Z286" s="139">
        <v>2</v>
      </c>
      <c r="AA286" s="138" t="s">
        <v>883</v>
      </c>
      <c r="AC286" s="136">
        <v>16.260000000000002</v>
      </c>
      <c r="AD286" s="139">
        <v>12</v>
      </c>
      <c r="AE286" s="138">
        <v>75</v>
      </c>
      <c r="AG286" s="136">
        <v>16.38</v>
      </c>
      <c r="AH286" s="137">
        <v>4</v>
      </c>
      <c r="AI286" s="138">
        <v>2</v>
      </c>
      <c r="AK286" s="136">
        <v>16.29</v>
      </c>
      <c r="AL286" s="139">
        <v>12</v>
      </c>
      <c r="AM286" s="138">
        <v>75</v>
      </c>
      <c r="AO286" s="136">
        <v>38.24</v>
      </c>
      <c r="AP286" s="139">
        <v>16</v>
      </c>
      <c r="AQ286" s="138">
        <v>98</v>
      </c>
      <c r="AS286" s="136">
        <v>16.16</v>
      </c>
      <c r="AT286" s="139">
        <v>3</v>
      </c>
      <c r="AU286" s="138">
        <v>1</v>
      </c>
      <c r="AW286" s="136">
        <v>38.32</v>
      </c>
      <c r="AX286" s="139">
        <v>16</v>
      </c>
      <c r="AY286" s="138">
        <v>98</v>
      </c>
      <c r="BA286" s="136">
        <v>17.05</v>
      </c>
      <c r="BB286" s="139">
        <v>2</v>
      </c>
      <c r="BC286" s="138" t="s">
        <v>883</v>
      </c>
    </row>
    <row r="287" spans="5:55" ht="19.5" thickBot="1" x14ac:dyDescent="0.35">
      <c r="E287" s="157">
        <v>16.41</v>
      </c>
      <c r="F287" s="158">
        <v>19</v>
      </c>
      <c r="G287" s="159" t="s">
        <v>874</v>
      </c>
      <c r="I287" s="136">
        <v>39.049999999999997</v>
      </c>
      <c r="J287" s="139">
        <v>4</v>
      </c>
      <c r="K287" s="138">
        <v>2</v>
      </c>
      <c r="M287" s="136">
        <v>16.190000000000001</v>
      </c>
      <c r="N287" s="139">
        <v>4</v>
      </c>
      <c r="O287" s="138">
        <v>2</v>
      </c>
      <c r="Q287" s="136">
        <v>38.39</v>
      </c>
      <c r="R287" s="139">
        <v>17</v>
      </c>
      <c r="S287" s="138">
        <v>99</v>
      </c>
      <c r="U287" s="136">
        <v>16.2</v>
      </c>
      <c r="V287" s="139">
        <v>10</v>
      </c>
      <c r="W287" s="138">
        <v>50</v>
      </c>
      <c r="Y287" s="136">
        <v>16.149999999999999</v>
      </c>
      <c r="Z287" s="139">
        <v>3</v>
      </c>
      <c r="AA287" s="138">
        <v>1</v>
      </c>
      <c r="AC287" s="136">
        <v>16.27</v>
      </c>
      <c r="AD287" s="139">
        <v>13</v>
      </c>
      <c r="AE287" s="138">
        <v>85</v>
      </c>
      <c r="AG287" s="136">
        <v>16.399999999999999</v>
      </c>
      <c r="AH287" s="137">
        <v>5</v>
      </c>
      <c r="AI287" s="138">
        <v>5</v>
      </c>
      <c r="AK287" s="136">
        <v>16.3</v>
      </c>
      <c r="AL287" s="139">
        <v>13</v>
      </c>
      <c r="AM287" s="138">
        <v>85</v>
      </c>
      <c r="AO287" s="136">
        <v>38.25</v>
      </c>
      <c r="AP287" s="139">
        <v>17</v>
      </c>
      <c r="AQ287" s="138">
        <v>99</v>
      </c>
      <c r="AS287" s="136">
        <v>16.170000000000002</v>
      </c>
      <c r="AT287" s="139">
        <v>4</v>
      </c>
      <c r="AU287" s="138">
        <v>2</v>
      </c>
      <c r="AW287" s="136">
        <v>38.340000000000003</v>
      </c>
      <c r="AX287" s="139">
        <v>17</v>
      </c>
      <c r="AY287" s="138">
        <v>99</v>
      </c>
      <c r="BA287" s="136">
        <v>17.059999999999999</v>
      </c>
      <c r="BB287" s="139">
        <v>3</v>
      </c>
      <c r="BC287" s="138">
        <v>1</v>
      </c>
    </row>
    <row r="288" spans="5:55" x14ac:dyDescent="0.3">
      <c r="E288" s="149">
        <v>17</v>
      </c>
      <c r="F288" s="150">
        <v>1</v>
      </c>
      <c r="G288" s="163" t="s">
        <v>862</v>
      </c>
      <c r="I288" s="136">
        <v>39.06</v>
      </c>
      <c r="J288" s="139">
        <v>5</v>
      </c>
      <c r="K288" s="138">
        <v>5</v>
      </c>
      <c r="M288" s="136">
        <v>16.21</v>
      </c>
      <c r="N288" s="139">
        <v>5</v>
      </c>
      <c r="O288" s="138">
        <v>5</v>
      </c>
      <c r="Q288" s="136">
        <v>38.42</v>
      </c>
      <c r="R288" s="139">
        <v>18</v>
      </c>
      <c r="S288" s="138" t="s">
        <v>884</v>
      </c>
      <c r="U288" s="136">
        <v>16.22</v>
      </c>
      <c r="V288" s="139">
        <v>11</v>
      </c>
      <c r="W288" s="138">
        <v>63</v>
      </c>
      <c r="Y288" s="136">
        <v>16.170000000000002</v>
      </c>
      <c r="Z288" s="139">
        <v>4</v>
      </c>
      <c r="AA288" s="138">
        <v>2</v>
      </c>
      <c r="AC288" s="136">
        <v>16.28</v>
      </c>
      <c r="AD288" s="139">
        <v>14</v>
      </c>
      <c r="AE288" s="138">
        <v>91</v>
      </c>
      <c r="AG288" s="136">
        <v>16.420000000000002</v>
      </c>
      <c r="AH288" s="137">
        <v>6</v>
      </c>
      <c r="AI288" s="138">
        <v>9</v>
      </c>
      <c r="AK288" s="136">
        <v>16.309999999999999</v>
      </c>
      <c r="AL288" s="139">
        <v>14</v>
      </c>
      <c r="AM288" s="138">
        <v>91</v>
      </c>
      <c r="AO288" s="136">
        <v>38.26</v>
      </c>
      <c r="AP288" s="139">
        <v>18</v>
      </c>
      <c r="AQ288" s="138" t="s">
        <v>884</v>
      </c>
      <c r="AS288" s="136">
        <v>16.190000000000001</v>
      </c>
      <c r="AT288" s="139">
        <v>5</v>
      </c>
      <c r="AU288" s="138">
        <v>5</v>
      </c>
      <c r="AW288" s="136">
        <v>38.36</v>
      </c>
      <c r="AX288" s="139">
        <v>18</v>
      </c>
      <c r="AY288" s="138" t="s">
        <v>884</v>
      </c>
      <c r="BA288" s="136">
        <v>17.07</v>
      </c>
      <c r="BB288" s="139">
        <v>4</v>
      </c>
      <c r="BC288" s="138">
        <v>2</v>
      </c>
    </row>
    <row r="289" spans="5:55" x14ac:dyDescent="0.3">
      <c r="E289" s="152">
        <v>17.170000000000002</v>
      </c>
      <c r="F289" s="153">
        <v>2</v>
      </c>
      <c r="G289" s="155" t="s">
        <v>862</v>
      </c>
      <c r="I289" s="136">
        <v>39.08</v>
      </c>
      <c r="J289" s="139">
        <v>6</v>
      </c>
      <c r="K289" s="138">
        <v>9</v>
      </c>
      <c r="M289" s="136">
        <v>16.23</v>
      </c>
      <c r="N289" s="139">
        <v>6</v>
      </c>
      <c r="O289" s="138">
        <v>9</v>
      </c>
      <c r="Q289" s="136">
        <v>38.43</v>
      </c>
      <c r="R289" s="139">
        <v>19</v>
      </c>
      <c r="S289" s="138" t="s">
        <v>884</v>
      </c>
      <c r="U289" s="136">
        <v>16.239999999999998</v>
      </c>
      <c r="V289" s="139">
        <v>12</v>
      </c>
      <c r="W289" s="138">
        <v>75</v>
      </c>
      <c r="Y289" s="136">
        <v>16.18</v>
      </c>
      <c r="Z289" s="139">
        <v>5</v>
      </c>
      <c r="AA289" s="138">
        <v>5</v>
      </c>
      <c r="AC289" s="136">
        <v>16.29</v>
      </c>
      <c r="AD289" s="139">
        <v>15</v>
      </c>
      <c r="AE289" s="138">
        <v>95</v>
      </c>
      <c r="AG289" s="136">
        <v>16.440000000000001</v>
      </c>
      <c r="AH289" s="137">
        <v>7</v>
      </c>
      <c r="AI289" s="138">
        <v>16</v>
      </c>
      <c r="AK289" s="136">
        <v>16.32</v>
      </c>
      <c r="AL289" s="139">
        <v>15</v>
      </c>
      <c r="AM289" s="138">
        <v>95</v>
      </c>
      <c r="AO289" s="136">
        <v>38.29</v>
      </c>
      <c r="AP289" s="139">
        <v>19</v>
      </c>
      <c r="AQ289" s="138" t="s">
        <v>884</v>
      </c>
      <c r="AS289" s="136">
        <v>16.21</v>
      </c>
      <c r="AT289" s="139">
        <v>6</v>
      </c>
      <c r="AU289" s="138">
        <v>9</v>
      </c>
      <c r="AW289" s="136">
        <v>38.4</v>
      </c>
      <c r="AX289" s="139">
        <v>19</v>
      </c>
      <c r="AY289" s="138" t="s">
        <v>884</v>
      </c>
      <c r="BA289" s="136">
        <v>17.079999999999998</v>
      </c>
      <c r="BB289" s="139">
        <v>5</v>
      </c>
      <c r="BC289" s="138">
        <v>5</v>
      </c>
    </row>
    <row r="290" spans="5:55" x14ac:dyDescent="0.3">
      <c r="E290" s="152">
        <v>17.180000000000003</v>
      </c>
      <c r="F290" s="153">
        <v>3</v>
      </c>
      <c r="G290" s="155" t="s">
        <v>876</v>
      </c>
      <c r="I290" s="136">
        <v>39.1</v>
      </c>
      <c r="J290" s="139">
        <v>7</v>
      </c>
      <c r="K290" s="138">
        <v>16</v>
      </c>
      <c r="M290" s="136">
        <v>16.25</v>
      </c>
      <c r="N290" s="139">
        <v>7</v>
      </c>
      <c r="O290" s="138">
        <v>16</v>
      </c>
      <c r="Q290" s="136">
        <v>39</v>
      </c>
      <c r="R290" s="139">
        <v>1</v>
      </c>
      <c r="S290" s="138" t="s">
        <v>883</v>
      </c>
      <c r="U290" s="136">
        <v>16.260000000000002</v>
      </c>
      <c r="V290" s="139">
        <v>13</v>
      </c>
      <c r="W290" s="138">
        <v>85</v>
      </c>
      <c r="Y290" s="136">
        <v>16.190000000000001</v>
      </c>
      <c r="Z290" s="139">
        <v>6</v>
      </c>
      <c r="AA290" s="138">
        <v>9</v>
      </c>
      <c r="AC290" s="136">
        <v>16.3</v>
      </c>
      <c r="AD290" s="139">
        <v>16</v>
      </c>
      <c r="AE290" s="138">
        <v>98</v>
      </c>
      <c r="AG290" s="136">
        <v>16.46</v>
      </c>
      <c r="AH290" s="137">
        <v>8</v>
      </c>
      <c r="AI290" s="138">
        <v>25</v>
      </c>
      <c r="AK290" s="136">
        <v>16.329999999999998</v>
      </c>
      <c r="AL290" s="139">
        <v>16</v>
      </c>
      <c r="AM290" s="138">
        <v>98</v>
      </c>
      <c r="AO290" s="136">
        <v>39</v>
      </c>
      <c r="AP290" s="139">
        <v>1</v>
      </c>
      <c r="AQ290" s="138" t="s">
        <v>883</v>
      </c>
      <c r="AS290" s="136">
        <v>16.22</v>
      </c>
      <c r="AT290" s="139">
        <v>7</v>
      </c>
      <c r="AU290" s="138">
        <v>16</v>
      </c>
      <c r="AW290" s="136">
        <v>39</v>
      </c>
      <c r="AX290" s="139">
        <v>1</v>
      </c>
      <c r="AY290" s="138" t="s">
        <v>883</v>
      </c>
      <c r="BA290" s="136">
        <v>17.09</v>
      </c>
      <c r="BB290" s="139">
        <v>6</v>
      </c>
      <c r="BC290" s="138">
        <v>9</v>
      </c>
    </row>
    <row r="291" spans="5:55" x14ac:dyDescent="0.3">
      <c r="E291" s="152">
        <v>17.2</v>
      </c>
      <c r="F291" s="153">
        <v>4</v>
      </c>
      <c r="G291" s="155" t="s">
        <v>863</v>
      </c>
      <c r="I291" s="136">
        <v>39.11</v>
      </c>
      <c r="J291" s="139">
        <v>8</v>
      </c>
      <c r="K291" s="138">
        <v>25</v>
      </c>
      <c r="M291" s="136">
        <v>16.27</v>
      </c>
      <c r="N291" s="139">
        <v>8</v>
      </c>
      <c r="O291" s="138">
        <v>25</v>
      </c>
      <c r="Q291" s="136">
        <v>39.049999999999997</v>
      </c>
      <c r="R291" s="139">
        <v>2</v>
      </c>
      <c r="S291" s="138" t="s">
        <v>883</v>
      </c>
      <c r="U291" s="136">
        <v>16.28</v>
      </c>
      <c r="V291" s="139">
        <v>14</v>
      </c>
      <c r="W291" s="138">
        <v>91</v>
      </c>
      <c r="Y291" s="136">
        <v>16.2</v>
      </c>
      <c r="Z291" s="139">
        <v>7</v>
      </c>
      <c r="AA291" s="138">
        <v>16</v>
      </c>
      <c r="AC291" s="136">
        <v>16.32</v>
      </c>
      <c r="AD291" s="139">
        <v>17</v>
      </c>
      <c r="AE291" s="138">
        <v>99</v>
      </c>
      <c r="AG291" s="136">
        <v>16.48</v>
      </c>
      <c r="AH291" s="137">
        <v>9</v>
      </c>
      <c r="AI291" s="138">
        <v>37</v>
      </c>
      <c r="AK291" s="136">
        <v>16.34</v>
      </c>
      <c r="AL291" s="139">
        <v>17</v>
      </c>
      <c r="AM291" s="138">
        <v>99</v>
      </c>
      <c r="AO291" s="136">
        <v>39.1</v>
      </c>
      <c r="AP291" s="139">
        <v>2</v>
      </c>
      <c r="AQ291" s="138" t="s">
        <v>883</v>
      </c>
      <c r="AS291" s="136">
        <v>16.239999999999998</v>
      </c>
      <c r="AT291" s="139">
        <v>8</v>
      </c>
      <c r="AU291" s="138">
        <v>25</v>
      </c>
      <c r="AW291" s="136">
        <v>39.049999999999997</v>
      </c>
      <c r="AX291" s="139">
        <v>2</v>
      </c>
      <c r="AY291" s="138" t="s">
        <v>883</v>
      </c>
      <c r="BA291" s="136">
        <v>17.100000000000001</v>
      </c>
      <c r="BB291" s="139">
        <v>7</v>
      </c>
      <c r="BC291" s="138">
        <v>16</v>
      </c>
    </row>
    <row r="292" spans="5:55" x14ac:dyDescent="0.3">
      <c r="E292" s="152">
        <v>17.22</v>
      </c>
      <c r="F292" s="153">
        <v>5</v>
      </c>
      <c r="G292" s="155" t="s">
        <v>877</v>
      </c>
      <c r="I292" s="136">
        <v>39.130000000000003</v>
      </c>
      <c r="J292" s="139">
        <v>9</v>
      </c>
      <c r="K292" s="138">
        <v>37</v>
      </c>
      <c r="M292" s="136">
        <v>16.29</v>
      </c>
      <c r="N292" s="139">
        <v>9</v>
      </c>
      <c r="O292" s="138">
        <v>37</v>
      </c>
      <c r="Q292" s="136">
        <v>39.119999999999997</v>
      </c>
      <c r="R292" s="139">
        <v>3</v>
      </c>
      <c r="S292" s="138">
        <v>1</v>
      </c>
      <c r="U292" s="136">
        <v>16.3</v>
      </c>
      <c r="V292" s="139">
        <v>15</v>
      </c>
      <c r="W292" s="138">
        <v>95</v>
      </c>
      <c r="Y292" s="136">
        <v>16.21</v>
      </c>
      <c r="Z292" s="139">
        <v>8</v>
      </c>
      <c r="AA292" s="138">
        <v>25</v>
      </c>
      <c r="AC292" s="136">
        <v>16.329999999999998</v>
      </c>
      <c r="AD292" s="139">
        <v>18</v>
      </c>
      <c r="AE292" s="138" t="s">
        <v>884</v>
      </c>
      <c r="AG292" s="136">
        <v>16.5</v>
      </c>
      <c r="AH292" s="137">
        <v>10</v>
      </c>
      <c r="AI292" s="138">
        <v>50</v>
      </c>
      <c r="AK292" s="136">
        <v>16.350000000000001</v>
      </c>
      <c r="AL292" s="139">
        <v>18</v>
      </c>
      <c r="AM292" s="138" t="s">
        <v>884</v>
      </c>
      <c r="AO292" s="136">
        <v>39.11</v>
      </c>
      <c r="AP292" s="139">
        <v>3</v>
      </c>
      <c r="AQ292" s="138">
        <v>1</v>
      </c>
      <c r="AS292" s="136">
        <v>16.25</v>
      </c>
      <c r="AT292" s="139">
        <v>9</v>
      </c>
      <c r="AU292" s="138">
        <v>37</v>
      </c>
      <c r="AW292" s="136">
        <v>39.08</v>
      </c>
      <c r="AX292" s="139">
        <v>3</v>
      </c>
      <c r="AY292" s="138">
        <v>1</v>
      </c>
      <c r="BA292" s="136">
        <v>17.11</v>
      </c>
      <c r="BB292" s="139">
        <v>8</v>
      </c>
      <c r="BC292" s="138">
        <v>25</v>
      </c>
    </row>
    <row r="293" spans="5:55" x14ac:dyDescent="0.3">
      <c r="E293" s="152">
        <v>17.23</v>
      </c>
      <c r="F293" s="153">
        <v>6</v>
      </c>
      <c r="G293" s="155" t="s">
        <v>864</v>
      </c>
      <c r="I293" s="136">
        <v>39.15</v>
      </c>
      <c r="J293" s="139">
        <v>10</v>
      </c>
      <c r="K293" s="138">
        <v>50</v>
      </c>
      <c r="M293" s="136">
        <v>16.309999999999999</v>
      </c>
      <c r="N293" s="139">
        <v>10</v>
      </c>
      <c r="O293" s="138">
        <v>50</v>
      </c>
      <c r="Q293" s="136">
        <v>39.15</v>
      </c>
      <c r="R293" s="139">
        <v>4</v>
      </c>
      <c r="S293" s="138">
        <v>2</v>
      </c>
      <c r="U293" s="136">
        <v>16.32</v>
      </c>
      <c r="V293" s="139">
        <v>16</v>
      </c>
      <c r="W293" s="138">
        <v>98</v>
      </c>
      <c r="Y293" s="136">
        <v>16.22</v>
      </c>
      <c r="Z293" s="139">
        <v>9</v>
      </c>
      <c r="AA293" s="138">
        <v>37</v>
      </c>
      <c r="AC293" s="136">
        <v>16.34</v>
      </c>
      <c r="AD293" s="139">
        <v>19</v>
      </c>
      <c r="AE293" s="138" t="s">
        <v>884</v>
      </c>
      <c r="AG293" s="136">
        <v>16.52</v>
      </c>
      <c r="AH293" s="137">
        <v>11</v>
      </c>
      <c r="AI293" s="138">
        <v>63</v>
      </c>
      <c r="AK293" s="136">
        <v>16.36</v>
      </c>
      <c r="AL293" s="139">
        <v>19</v>
      </c>
      <c r="AM293" s="138" t="s">
        <v>884</v>
      </c>
      <c r="AO293" s="136">
        <v>39.119999999999997</v>
      </c>
      <c r="AP293" s="139">
        <v>4</v>
      </c>
      <c r="AQ293" s="138">
        <v>2</v>
      </c>
      <c r="AS293" s="136">
        <v>16.27</v>
      </c>
      <c r="AT293" s="139">
        <v>10</v>
      </c>
      <c r="AU293" s="138">
        <v>50</v>
      </c>
      <c r="AW293" s="136">
        <v>39.1</v>
      </c>
      <c r="AX293" s="139">
        <v>4</v>
      </c>
      <c r="AY293" s="138">
        <v>2</v>
      </c>
      <c r="BA293" s="136">
        <v>17.12</v>
      </c>
      <c r="BB293" s="139">
        <v>9</v>
      </c>
      <c r="BC293" s="138">
        <v>37</v>
      </c>
    </row>
    <row r="294" spans="5:55" x14ac:dyDescent="0.3">
      <c r="E294" s="152">
        <v>17.25</v>
      </c>
      <c r="F294" s="153">
        <v>7</v>
      </c>
      <c r="G294" s="155" t="s">
        <v>878</v>
      </c>
      <c r="I294" s="136">
        <v>39.159999999999997</v>
      </c>
      <c r="J294" s="139">
        <v>11</v>
      </c>
      <c r="K294" s="138">
        <v>63</v>
      </c>
      <c r="M294" s="136">
        <v>16.329999999999998</v>
      </c>
      <c r="N294" s="139">
        <v>11</v>
      </c>
      <c r="O294" s="138">
        <v>63</v>
      </c>
      <c r="Q294" s="136">
        <v>39.17</v>
      </c>
      <c r="R294" s="139">
        <v>5</v>
      </c>
      <c r="S294" s="138">
        <v>5</v>
      </c>
      <c r="U294" s="136">
        <v>16.34</v>
      </c>
      <c r="V294" s="139">
        <v>17</v>
      </c>
      <c r="W294" s="138">
        <v>99</v>
      </c>
      <c r="Y294" s="136">
        <v>16.239999999999998</v>
      </c>
      <c r="Z294" s="139">
        <v>10</v>
      </c>
      <c r="AA294" s="138">
        <v>50</v>
      </c>
      <c r="AC294" s="136">
        <v>17</v>
      </c>
      <c r="AD294" s="139">
        <v>1</v>
      </c>
      <c r="AE294" s="138" t="s">
        <v>883</v>
      </c>
      <c r="AG294" s="136">
        <v>16.54</v>
      </c>
      <c r="AH294" s="137">
        <v>12</v>
      </c>
      <c r="AI294" s="138">
        <v>75</v>
      </c>
      <c r="AK294" s="136">
        <v>17</v>
      </c>
      <c r="AL294" s="139">
        <v>1</v>
      </c>
      <c r="AM294" s="138" t="s">
        <v>883</v>
      </c>
      <c r="AO294" s="136">
        <v>39.14</v>
      </c>
      <c r="AP294" s="139">
        <v>5</v>
      </c>
      <c r="AQ294" s="138">
        <v>5</v>
      </c>
      <c r="AS294" s="136">
        <v>16.29</v>
      </c>
      <c r="AT294" s="139">
        <v>11</v>
      </c>
      <c r="AU294" s="138">
        <v>63</v>
      </c>
      <c r="AW294" s="136">
        <v>39.119999999999997</v>
      </c>
      <c r="AX294" s="139">
        <v>5</v>
      </c>
      <c r="AY294" s="138">
        <v>5</v>
      </c>
      <c r="BA294" s="136">
        <v>17.13</v>
      </c>
      <c r="BB294" s="139">
        <v>10</v>
      </c>
      <c r="BC294" s="138">
        <v>50</v>
      </c>
    </row>
    <row r="295" spans="5:55" x14ac:dyDescent="0.3">
      <c r="E295" s="152">
        <v>17.260000000000002</v>
      </c>
      <c r="F295" s="153">
        <v>8</v>
      </c>
      <c r="G295" s="155" t="s">
        <v>865</v>
      </c>
      <c r="I295" s="136">
        <v>39.18</v>
      </c>
      <c r="J295" s="139">
        <v>12</v>
      </c>
      <c r="K295" s="138">
        <v>75</v>
      </c>
      <c r="M295" s="136">
        <v>16.350000000000001</v>
      </c>
      <c r="N295" s="139">
        <v>12</v>
      </c>
      <c r="O295" s="138">
        <v>75</v>
      </c>
      <c r="Q295" s="136">
        <v>39.19</v>
      </c>
      <c r="R295" s="139">
        <v>6</v>
      </c>
      <c r="S295" s="138">
        <v>9</v>
      </c>
      <c r="U295" s="136">
        <v>16.36</v>
      </c>
      <c r="V295" s="139">
        <v>18</v>
      </c>
      <c r="W295" s="138" t="s">
        <v>884</v>
      </c>
      <c r="Y295" s="136">
        <v>16.25</v>
      </c>
      <c r="Z295" s="139">
        <v>11</v>
      </c>
      <c r="AA295" s="138">
        <v>63</v>
      </c>
      <c r="AC295" s="136">
        <v>17.14</v>
      </c>
      <c r="AD295" s="139">
        <v>2</v>
      </c>
      <c r="AE295" s="138" t="s">
        <v>883</v>
      </c>
      <c r="AG295" s="136">
        <v>16.559999999999999</v>
      </c>
      <c r="AH295" s="137">
        <v>13</v>
      </c>
      <c r="AI295" s="138">
        <v>85</v>
      </c>
      <c r="AK295" s="136">
        <v>17.18</v>
      </c>
      <c r="AL295" s="139">
        <v>2</v>
      </c>
      <c r="AM295" s="138" t="s">
        <v>883</v>
      </c>
      <c r="AO295" s="136">
        <v>39.15</v>
      </c>
      <c r="AP295" s="139">
        <v>6</v>
      </c>
      <c r="AQ295" s="138">
        <v>9</v>
      </c>
      <c r="AS295" s="136">
        <v>16.3</v>
      </c>
      <c r="AT295" s="139">
        <v>12</v>
      </c>
      <c r="AU295" s="138">
        <v>75</v>
      </c>
      <c r="AW295" s="136">
        <v>39.14</v>
      </c>
      <c r="AX295" s="139">
        <v>6</v>
      </c>
      <c r="AY295" s="138">
        <v>9</v>
      </c>
      <c r="BA295" s="136">
        <v>17.14</v>
      </c>
      <c r="BB295" s="139">
        <v>11</v>
      </c>
      <c r="BC295" s="138">
        <v>63</v>
      </c>
    </row>
    <row r="296" spans="5:55" x14ac:dyDescent="0.3">
      <c r="E296" s="152">
        <v>17.28</v>
      </c>
      <c r="F296" s="153">
        <v>9</v>
      </c>
      <c r="G296" s="155" t="s">
        <v>879</v>
      </c>
      <c r="I296" s="136">
        <v>39.200000000000003</v>
      </c>
      <c r="J296" s="139">
        <v>13</v>
      </c>
      <c r="K296" s="138">
        <v>85</v>
      </c>
      <c r="M296" s="136">
        <v>16.37</v>
      </c>
      <c r="N296" s="139">
        <v>13</v>
      </c>
      <c r="O296" s="138">
        <v>85</v>
      </c>
      <c r="Q296" s="136">
        <v>39.21</v>
      </c>
      <c r="R296" s="139">
        <v>7</v>
      </c>
      <c r="S296" s="138">
        <v>16</v>
      </c>
      <c r="U296" s="136">
        <v>16.38</v>
      </c>
      <c r="V296" s="139">
        <v>19</v>
      </c>
      <c r="W296" s="138" t="s">
        <v>884</v>
      </c>
      <c r="Y296" s="136">
        <v>16.260000000000002</v>
      </c>
      <c r="Z296" s="139">
        <v>12</v>
      </c>
      <c r="AA296" s="138">
        <v>75</v>
      </c>
      <c r="AC296" s="136">
        <v>17.16</v>
      </c>
      <c r="AD296" s="139">
        <v>3</v>
      </c>
      <c r="AE296" s="138">
        <v>1</v>
      </c>
      <c r="AG296" s="136">
        <v>16.579999999999998</v>
      </c>
      <c r="AH296" s="137">
        <v>14</v>
      </c>
      <c r="AI296" s="138">
        <v>91</v>
      </c>
      <c r="AK296" s="136">
        <v>17.2</v>
      </c>
      <c r="AL296" s="139">
        <v>3</v>
      </c>
      <c r="AM296" s="138">
        <v>1</v>
      </c>
      <c r="AO296" s="136">
        <v>39.159999999999997</v>
      </c>
      <c r="AP296" s="139">
        <v>7</v>
      </c>
      <c r="AQ296" s="138">
        <v>16</v>
      </c>
      <c r="AS296" s="136">
        <v>16.32</v>
      </c>
      <c r="AT296" s="139">
        <v>13</v>
      </c>
      <c r="AU296" s="138">
        <v>85</v>
      </c>
      <c r="AW296" s="136">
        <v>39.159999999999997</v>
      </c>
      <c r="AX296" s="139">
        <v>7</v>
      </c>
      <c r="AY296" s="138">
        <v>16</v>
      </c>
      <c r="BA296" s="136">
        <v>17.149999999999999</v>
      </c>
      <c r="BB296" s="139">
        <v>12</v>
      </c>
      <c r="BC296" s="138">
        <v>75</v>
      </c>
    </row>
    <row r="297" spans="5:55" x14ac:dyDescent="0.3">
      <c r="E297" s="152">
        <v>17.290000000000003</v>
      </c>
      <c r="F297" s="153">
        <v>10</v>
      </c>
      <c r="G297" s="155" t="s">
        <v>866</v>
      </c>
      <c r="I297" s="136">
        <v>39.21</v>
      </c>
      <c r="J297" s="139">
        <v>14</v>
      </c>
      <c r="K297" s="138">
        <v>91</v>
      </c>
      <c r="M297" s="136">
        <v>16.39</v>
      </c>
      <c r="N297" s="139">
        <v>14</v>
      </c>
      <c r="O297" s="138">
        <v>91</v>
      </c>
      <c r="Q297" s="136">
        <v>39.229999999999997</v>
      </c>
      <c r="R297" s="139">
        <v>8</v>
      </c>
      <c r="S297" s="138">
        <v>25</v>
      </c>
      <c r="U297" s="136">
        <v>17</v>
      </c>
      <c r="V297" s="139">
        <v>1</v>
      </c>
      <c r="W297" s="138" t="s">
        <v>883</v>
      </c>
      <c r="Y297" s="136">
        <v>16.27</v>
      </c>
      <c r="Z297" s="139">
        <v>13</v>
      </c>
      <c r="AA297" s="138">
        <v>85</v>
      </c>
      <c r="AC297" s="136">
        <v>17.170000000000002</v>
      </c>
      <c r="AD297" s="139">
        <v>4</v>
      </c>
      <c r="AE297" s="138">
        <v>2</v>
      </c>
      <c r="AG297" s="136">
        <v>16.600000000000001</v>
      </c>
      <c r="AH297" s="137">
        <v>15</v>
      </c>
      <c r="AI297" s="138">
        <v>95</v>
      </c>
      <c r="AK297" s="136">
        <v>17.21</v>
      </c>
      <c r="AL297" s="139">
        <v>4</v>
      </c>
      <c r="AM297" s="138">
        <v>2</v>
      </c>
      <c r="AO297" s="136">
        <v>39.17</v>
      </c>
      <c r="AP297" s="139">
        <v>8</v>
      </c>
      <c r="AQ297" s="138">
        <v>25</v>
      </c>
      <c r="AS297" s="136">
        <v>16.329999999999998</v>
      </c>
      <c r="AT297" s="139">
        <v>14</v>
      </c>
      <c r="AU297" s="138">
        <v>91</v>
      </c>
      <c r="AW297" s="136">
        <v>39.18</v>
      </c>
      <c r="AX297" s="139">
        <v>8</v>
      </c>
      <c r="AY297" s="138">
        <v>25</v>
      </c>
      <c r="BA297" s="136">
        <v>17.16</v>
      </c>
      <c r="BB297" s="139">
        <v>13</v>
      </c>
      <c r="BC297" s="138">
        <v>85</v>
      </c>
    </row>
    <row r="298" spans="5:55" x14ac:dyDescent="0.3">
      <c r="E298" s="152">
        <v>17.300000000000004</v>
      </c>
      <c r="F298" s="153">
        <v>11</v>
      </c>
      <c r="G298" s="155" t="s">
        <v>867</v>
      </c>
      <c r="I298" s="136">
        <v>39.229999999999997</v>
      </c>
      <c r="J298" s="139">
        <v>15</v>
      </c>
      <c r="K298" s="138">
        <v>95</v>
      </c>
      <c r="M298" s="136">
        <v>16.41</v>
      </c>
      <c r="N298" s="139">
        <v>15</v>
      </c>
      <c r="O298" s="138">
        <v>95</v>
      </c>
      <c r="Q298" s="136">
        <v>39.25</v>
      </c>
      <c r="R298" s="139">
        <v>9</v>
      </c>
      <c r="S298" s="138">
        <v>37</v>
      </c>
      <c r="U298" s="136">
        <v>17.03</v>
      </c>
      <c r="V298" s="139">
        <v>2</v>
      </c>
      <c r="W298" s="138" t="s">
        <v>883</v>
      </c>
      <c r="Y298" s="136">
        <v>16.28</v>
      </c>
      <c r="Z298" s="139">
        <v>14</v>
      </c>
      <c r="AA298" s="138">
        <v>91</v>
      </c>
      <c r="AC298" s="136">
        <v>17.18</v>
      </c>
      <c r="AD298" s="139">
        <v>5</v>
      </c>
      <c r="AE298" s="138">
        <v>5</v>
      </c>
      <c r="AG298" s="136">
        <v>16.62</v>
      </c>
      <c r="AH298" s="137">
        <v>16</v>
      </c>
      <c r="AI298" s="138">
        <v>98</v>
      </c>
      <c r="AK298" s="136">
        <v>17.22</v>
      </c>
      <c r="AL298" s="139">
        <v>5</v>
      </c>
      <c r="AM298" s="138">
        <v>5</v>
      </c>
      <c r="AO298" s="136">
        <v>39.18</v>
      </c>
      <c r="AP298" s="139">
        <v>9</v>
      </c>
      <c r="AQ298" s="138">
        <v>37</v>
      </c>
      <c r="AS298" s="136">
        <v>16.350000000000001</v>
      </c>
      <c r="AT298" s="139">
        <v>15</v>
      </c>
      <c r="AU298" s="138">
        <v>95</v>
      </c>
      <c r="AW298" s="136">
        <v>39.200000000000003</v>
      </c>
      <c r="AX298" s="139">
        <v>9</v>
      </c>
      <c r="AY298" s="138">
        <v>37</v>
      </c>
      <c r="BA298" s="136">
        <v>17.170000000000002</v>
      </c>
      <c r="BB298" s="139">
        <v>14</v>
      </c>
      <c r="BC298" s="138">
        <v>91</v>
      </c>
    </row>
    <row r="299" spans="5:55" x14ac:dyDescent="0.3">
      <c r="E299" s="152">
        <v>17.32</v>
      </c>
      <c r="F299" s="153">
        <v>12</v>
      </c>
      <c r="G299" s="155" t="s">
        <v>868</v>
      </c>
      <c r="I299" s="136">
        <v>39.25</v>
      </c>
      <c r="J299" s="139">
        <v>16</v>
      </c>
      <c r="K299" s="138">
        <v>98</v>
      </c>
      <c r="M299" s="136">
        <v>16.43</v>
      </c>
      <c r="N299" s="139">
        <v>16</v>
      </c>
      <c r="O299" s="138">
        <v>98</v>
      </c>
      <c r="Q299" s="136">
        <v>39.270000000000003</v>
      </c>
      <c r="R299" s="139">
        <v>10</v>
      </c>
      <c r="S299" s="138">
        <v>50</v>
      </c>
      <c r="U299" s="136">
        <v>17.059999999999999</v>
      </c>
      <c r="V299" s="139">
        <v>3</v>
      </c>
      <c r="W299" s="138">
        <v>1</v>
      </c>
      <c r="Y299" s="136">
        <v>16.3</v>
      </c>
      <c r="Z299" s="139">
        <v>15</v>
      </c>
      <c r="AA299" s="138">
        <v>95</v>
      </c>
      <c r="AC299" s="136">
        <v>17.190000000000001</v>
      </c>
      <c r="AD299" s="139">
        <v>6</v>
      </c>
      <c r="AE299" s="138">
        <v>9</v>
      </c>
      <c r="AG299" s="136">
        <v>16.64</v>
      </c>
      <c r="AH299" s="137">
        <v>17</v>
      </c>
      <c r="AI299" s="138">
        <v>99</v>
      </c>
      <c r="AK299" s="136">
        <v>17.23</v>
      </c>
      <c r="AL299" s="139">
        <v>6</v>
      </c>
      <c r="AM299" s="138">
        <v>9</v>
      </c>
      <c r="AO299" s="136">
        <v>39.19</v>
      </c>
      <c r="AP299" s="139">
        <v>10</v>
      </c>
      <c r="AQ299" s="138">
        <v>50</v>
      </c>
      <c r="AS299" s="136">
        <v>16.37</v>
      </c>
      <c r="AT299" s="139">
        <v>16</v>
      </c>
      <c r="AU299" s="138">
        <v>98</v>
      </c>
      <c r="AW299" s="136">
        <v>39.22</v>
      </c>
      <c r="AX299" s="139">
        <v>10</v>
      </c>
      <c r="AY299" s="138">
        <v>50</v>
      </c>
      <c r="BA299" s="136">
        <v>17.18</v>
      </c>
      <c r="BB299" s="139">
        <v>15</v>
      </c>
      <c r="BC299" s="138">
        <v>95</v>
      </c>
    </row>
    <row r="300" spans="5:55" x14ac:dyDescent="0.3">
      <c r="E300" s="152">
        <v>17.330000000000002</v>
      </c>
      <c r="F300" s="153">
        <v>13</v>
      </c>
      <c r="G300" s="155" t="s">
        <v>869</v>
      </c>
      <c r="I300" s="136">
        <v>39.270000000000003</v>
      </c>
      <c r="J300" s="139">
        <v>17</v>
      </c>
      <c r="K300" s="138">
        <v>99</v>
      </c>
      <c r="M300" s="136">
        <v>16.45</v>
      </c>
      <c r="N300" s="139">
        <v>17</v>
      </c>
      <c r="O300" s="138">
        <v>99</v>
      </c>
      <c r="Q300" s="136">
        <v>39.29</v>
      </c>
      <c r="R300" s="139">
        <v>11</v>
      </c>
      <c r="S300" s="138">
        <v>63</v>
      </c>
      <c r="U300" s="136">
        <v>17.079999999999998</v>
      </c>
      <c r="V300" s="139">
        <v>4</v>
      </c>
      <c r="W300" s="138">
        <v>2</v>
      </c>
      <c r="Y300" s="136">
        <v>16.309999999999999</v>
      </c>
      <c r="Z300" s="139">
        <v>16</v>
      </c>
      <c r="AA300" s="138">
        <v>98</v>
      </c>
      <c r="AC300" s="136">
        <v>17.2</v>
      </c>
      <c r="AD300" s="139">
        <v>7</v>
      </c>
      <c r="AE300" s="138">
        <v>16</v>
      </c>
      <c r="AG300" s="136">
        <v>16.66</v>
      </c>
      <c r="AH300" s="137">
        <v>18</v>
      </c>
      <c r="AI300" s="138" t="s">
        <v>884</v>
      </c>
      <c r="AK300" s="136">
        <v>17.239999999999998</v>
      </c>
      <c r="AL300" s="139">
        <v>7</v>
      </c>
      <c r="AM300" s="138">
        <v>16</v>
      </c>
      <c r="AO300" s="136">
        <v>39.200000000000003</v>
      </c>
      <c r="AP300" s="139">
        <v>11</v>
      </c>
      <c r="AQ300" s="138">
        <v>63</v>
      </c>
      <c r="AS300" s="136">
        <v>16.38</v>
      </c>
      <c r="AT300" s="139">
        <v>17</v>
      </c>
      <c r="AU300" s="138">
        <v>99</v>
      </c>
      <c r="AW300" s="136">
        <v>39.24</v>
      </c>
      <c r="AX300" s="139">
        <v>11</v>
      </c>
      <c r="AY300" s="138">
        <v>63</v>
      </c>
      <c r="BA300" s="136">
        <v>17.190000000000001</v>
      </c>
      <c r="BB300" s="139">
        <v>16</v>
      </c>
      <c r="BC300" s="138">
        <v>98</v>
      </c>
    </row>
    <row r="301" spans="5:55" x14ac:dyDescent="0.3">
      <c r="E301" s="152">
        <v>17.350000000000001</v>
      </c>
      <c r="F301" s="153">
        <v>14</v>
      </c>
      <c r="G301" s="155" t="s">
        <v>870</v>
      </c>
      <c r="I301" s="136">
        <v>39.29</v>
      </c>
      <c r="J301" s="139">
        <v>18</v>
      </c>
      <c r="K301" s="138" t="s">
        <v>884</v>
      </c>
      <c r="M301" s="136">
        <v>16.46</v>
      </c>
      <c r="N301" s="139">
        <v>18</v>
      </c>
      <c r="O301" s="138" t="s">
        <v>884</v>
      </c>
      <c r="Q301" s="136">
        <v>39.31</v>
      </c>
      <c r="R301" s="139">
        <v>12</v>
      </c>
      <c r="S301" s="138">
        <v>75</v>
      </c>
      <c r="U301" s="136">
        <v>17.100000000000001</v>
      </c>
      <c r="V301" s="139">
        <v>5</v>
      </c>
      <c r="W301" s="138">
        <v>5</v>
      </c>
      <c r="Y301" s="136">
        <v>16.32</v>
      </c>
      <c r="Z301" s="139">
        <v>17</v>
      </c>
      <c r="AA301" s="138">
        <v>99</v>
      </c>
      <c r="AC301" s="136">
        <v>17.21</v>
      </c>
      <c r="AD301" s="139">
        <v>8</v>
      </c>
      <c r="AE301" s="138">
        <v>25</v>
      </c>
      <c r="AG301" s="136">
        <v>16.68</v>
      </c>
      <c r="AH301" s="137">
        <v>19</v>
      </c>
      <c r="AI301" s="138" t="s">
        <v>884</v>
      </c>
      <c r="AK301" s="136">
        <v>17.25</v>
      </c>
      <c r="AL301" s="139">
        <v>8</v>
      </c>
      <c r="AM301" s="138">
        <v>25</v>
      </c>
      <c r="AO301" s="136">
        <v>39.21</v>
      </c>
      <c r="AP301" s="139">
        <v>12</v>
      </c>
      <c r="AQ301" s="138">
        <v>75</v>
      </c>
      <c r="AS301" s="136">
        <v>16.399999999999999</v>
      </c>
      <c r="AT301" s="139">
        <v>18</v>
      </c>
      <c r="AU301" s="138" t="s">
        <v>884</v>
      </c>
      <c r="AW301" s="136">
        <v>39.26</v>
      </c>
      <c r="AX301" s="139">
        <v>12</v>
      </c>
      <c r="AY301" s="138">
        <v>75</v>
      </c>
      <c r="BA301" s="136">
        <v>17.2</v>
      </c>
      <c r="BB301" s="139">
        <v>17</v>
      </c>
      <c r="BC301" s="138">
        <v>99</v>
      </c>
    </row>
    <row r="302" spans="5:55" x14ac:dyDescent="0.3">
      <c r="E302" s="152">
        <v>17.360000000000003</v>
      </c>
      <c r="F302" s="153">
        <v>15</v>
      </c>
      <c r="G302" s="155" t="s">
        <v>871</v>
      </c>
      <c r="I302" s="136">
        <v>39.31</v>
      </c>
      <c r="J302" s="139">
        <v>19</v>
      </c>
      <c r="K302" s="138" t="s">
        <v>884</v>
      </c>
      <c r="M302" s="136">
        <v>16.48</v>
      </c>
      <c r="N302" s="139">
        <v>19</v>
      </c>
      <c r="O302" s="138" t="s">
        <v>884</v>
      </c>
      <c r="Q302" s="136">
        <v>39.33</v>
      </c>
      <c r="R302" s="139">
        <v>13</v>
      </c>
      <c r="S302" s="138">
        <v>85</v>
      </c>
      <c r="U302" s="136">
        <v>17.12</v>
      </c>
      <c r="V302" s="139">
        <v>6</v>
      </c>
      <c r="W302" s="138">
        <v>9</v>
      </c>
      <c r="Y302" s="136">
        <v>16.329999999999998</v>
      </c>
      <c r="Z302" s="139">
        <v>18</v>
      </c>
      <c r="AA302" s="138" t="s">
        <v>884</v>
      </c>
      <c r="AC302" s="136">
        <v>17.22</v>
      </c>
      <c r="AD302" s="139">
        <v>9</v>
      </c>
      <c r="AE302" s="138">
        <v>37</v>
      </c>
      <c r="AG302" s="136">
        <v>17</v>
      </c>
      <c r="AH302" s="137">
        <v>1</v>
      </c>
      <c r="AI302" s="138" t="s">
        <v>883</v>
      </c>
      <c r="AK302" s="136">
        <v>17.260000000000002</v>
      </c>
      <c r="AL302" s="139">
        <v>9</v>
      </c>
      <c r="AM302" s="138">
        <v>37</v>
      </c>
      <c r="AO302" s="136">
        <v>39.22</v>
      </c>
      <c r="AP302" s="139">
        <v>13</v>
      </c>
      <c r="AQ302" s="138">
        <v>85</v>
      </c>
      <c r="AS302" s="136">
        <v>16.420000000000002</v>
      </c>
      <c r="AT302" s="139">
        <v>19</v>
      </c>
      <c r="AU302" s="138" t="s">
        <v>884</v>
      </c>
      <c r="AW302" s="136">
        <v>39.28</v>
      </c>
      <c r="AX302" s="139">
        <v>13</v>
      </c>
      <c r="AY302" s="138">
        <v>85</v>
      </c>
      <c r="BA302" s="136">
        <v>17.21</v>
      </c>
      <c r="BB302" s="139">
        <v>18</v>
      </c>
      <c r="BC302" s="138" t="s">
        <v>884</v>
      </c>
    </row>
    <row r="303" spans="5:55" x14ac:dyDescent="0.3">
      <c r="E303" s="152">
        <v>17.370000000000005</v>
      </c>
      <c r="F303" s="153">
        <v>16</v>
      </c>
      <c r="G303" s="155" t="s">
        <v>872</v>
      </c>
      <c r="I303" s="136">
        <v>40</v>
      </c>
      <c r="J303" s="139">
        <v>1</v>
      </c>
      <c r="K303" s="138" t="s">
        <v>883</v>
      </c>
      <c r="M303" s="136">
        <v>17</v>
      </c>
      <c r="N303" s="139">
        <v>1</v>
      </c>
      <c r="O303" s="138" t="s">
        <v>883</v>
      </c>
      <c r="Q303" s="136">
        <v>39.35</v>
      </c>
      <c r="R303" s="139">
        <v>14</v>
      </c>
      <c r="S303" s="138">
        <v>91</v>
      </c>
      <c r="U303" s="136">
        <v>17.14</v>
      </c>
      <c r="V303" s="139">
        <v>7</v>
      </c>
      <c r="W303" s="138">
        <v>16</v>
      </c>
      <c r="Y303" s="136">
        <v>16.34</v>
      </c>
      <c r="Z303" s="139">
        <v>19</v>
      </c>
      <c r="AA303" s="138" t="s">
        <v>884</v>
      </c>
      <c r="AC303" s="136">
        <v>17.239999999999998</v>
      </c>
      <c r="AD303" s="139">
        <v>10</v>
      </c>
      <c r="AE303" s="138">
        <v>50</v>
      </c>
      <c r="AG303" s="136">
        <v>17.34</v>
      </c>
      <c r="AH303" s="137">
        <v>2</v>
      </c>
      <c r="AI303" s="138" t="s">
        <v>883</v>
      </c>
      <c r="AK303" s="136">
        <v>17.27</v>
      </c>
      <c r="AL303" s="139">
        <v>10</v>
      </c>
      <c r="AM303" s="138">
        <v>50</v>
      </c>
      <c r="AO303" s="136">
        <v>39.229999999999997</v>
      </c>
      <c r="AP303" s="139">
        <v>14</v>
      </c>
      <c r="AQ303" s="138">
        <v>91</v>
      </c>
      <c r="AS303" s="136">
        <v>17</v>
      </c>
      <c r="AT303" s="139">
        <v>1</v>
      </c>
      <c r="AU303" s="138" t="s">
        <v>883</v>
      </c>
      <c r="AW303" s="136">
        <v>39.299999999999997</v>
      </c>
      <c r="AX303" s="139">
        <v>14</v>
      </c>
      <c r="AY303" s="138">
        <v>91</v>
      </c>
      <c r="BA303" s="136">
        <v>17.22</v>
      </c>
      <c r="BB303" s="139">
        <v>19</v>
      </c>
      <c r="BC303" s="138" t="s">
        <v>884</v>
      </c>
    </row>
    <row r="304" spans="5:55" x14ac:dyDescent="0.3">
      <c r="E304" s="152">
        <v>17.39</v>
      </c>
      <c r="F304" s="153">
        <v>17</v>
      </c>
      <c r="G304" s="155" t="s">
        <v>873</v>
      </c>
      <c r="I304" s="136">
        <v>40.01</v>
      </c>
      <c r="J304" s="139">
        <v>2</v>
      </c>
      <c r="K304" s="138" t="s">
        <v>883</v>
      </c>
      <c r="M304" s="136">
        <v>17.13</v>
      </c>
      <c r="N304" s="139">
        <v>2</v>
      </c>
      <c r="O304" s="138" t="s">
        <v>883</v>
      </c>
      <c r="Q304" s="136">
        <v>39.369999999999997</v>
      </c>
      <c r="R304" s="139">
        <v>15</v>
      </c>
      <c r="S304" s="138">
        <v>95</v>
      </c>
      <c r="U304" s="136">
        <v>17.16</v>
      </c>
      <c r="V304" s="139">
        <v>8</v>
      </c>
      <c r="W304" s="138">
        <v>25</v>
      </c>
      <c r="Y304" s="136">
        <v>17</v>
      </c>
      <c r="Z304" s="139">
        <v>1</v>
      </c>
      <c r="AA304" s="138" t="s">
        <v>883</v>
      </c>
      <c r="AC304" s="136">
        <v>17.25</v>
      </c>
      <c r="AD304" s="139">
        <v>11</v>
      </c>
      <c r="AE304" s="138">
        <v>63</v>
      </c>
      <c r="AG304" s="136">
        <v>17.38</v>
      </c>
      <c r="AH304" s="137">
        <v>3</v>
      </c>
      <c r="AI304" s="138">
        <v>1</v>
      </c>
      <c r="AK304" s="136">
        <v>17.28</v>
      </c>
      <c r="AL304" s="139">
        <v>11</v>
      </c>
      <c r="AM304" s="138">
        <v>63</v>
      </c>
      <c r="AO304" s="136">
        <v>39.24</v>
      </c>
      <c r="AP304" s="139">
        <v>15</v>
      </c>
      <c r="AQ304" s="138">
        <v>95</v>
      </c>
      <c r="AS304" s="136">
        <v>17.14</v>
      </c>
      <c r="AT304" s="139">
        <v>2</v>
      </c>
      <c r="AU304" s="138" t="s">
        <v>883</v>
      </c>
      <c r="AW304" s="136">
        <v>39.32</v>
      </c>
      <c r="AX304" s="139">
        <v>15</v>
      </c>
      <c r="AY304" s="138">
        <v>95</v>
      </c>
      <c r="BA304" s="136">
        <v>18</v>
      </c>
      <c r="BB304" s="139">
        <v>1</v>
      </c>
      <c r="BC304" s="138" t="s">
        <v>883</v>
      </c>
    </row>
    <row r="305" spans="5:55" x14ac:dyDescent="0.3">
      <c r="E305" s="152">
        <v>17.400000000000002</v>
      </c>
      <c r="F305" s="153">
        <v>18</v>
      </c>
      <c r="G305" s="155" t="s">
        <v>874</v>
      </c>
      <c r="I305" s="136">
        <v>40.03</v>
      </c>
      <c r="J305" s="139">
        <v>3</v>
      </c>
      <c r="K305" s="138">
        <v>1</v>
      </c>
      <c r="M305" s="136">
        <v>17.170000000000002</v>
      </c>
      <c r="N305" s="139">
        <v>3</v>
      </c>
      <c r="O305" s="138">
        <v>1</v>
      </c>
      <c r="Q305" s="136">
        <v>39.39</v>
      </c>
      <c r="R305" s="139">
        <v>16</v>
      </c>
      <c r="S305" s="138">
        <v>98</v>
      </c>
      <c r="U305" s="136">
        <v>17.18</v>
      </c>
      <c r="V305" s="139">
        <v>9</v>
      </c>
      <c r="W305" s="138">
        <v>37</v>
      </c>
      <c r="Y305" s="136">
        <v>17.14</v>
      </c>
      <c r="Z305" s="139">
        <v>2</v>
      </c>
      <c r="AA305" s="138" t="s">
        <v>883</v>
      </c>
      <c r="AC305" s="136">
        <v>17.260000000000002</v>
      </c>
      <c r="AD305" s="139">
        <v>12</v>
      </c>
      <c r="AE305" s="138">
        <v>75</v>
      </c>
      <c r="AG305" s="136">
        <v>17.399999999999999</v>
      </c>
      <c r="AH305" s="137">
        <v>4</v>
      </c>
      <c r="AI305" s="138">
        <v>2</v>
      </c>
      <c r="AK305" s="136">
        <v>17.29</v>
      </c>
      <c r="AL305" s="139">
        <v>12</v>
      </c>
      <c r="AM305" s="138">
        <v>75</v>
      </c>
      <c r="AO305" s="136">
        <v>39.25</v>
      </c>
      <c r="AP305" s="139">
        <v>16</v>
      </c>
      <c r="AQ305" s="138">
        <v>98</v>
      </c>
      <c r="AS305" s="136">
        <v>17.170000000000002</v>
      </c>
      <c r="AT305" s="139">
        <v>3</v>
      </c>
      <c r="AU305" s="138">
        <v>1</v>
      </c>
      <c r="AW305" s="136">
        <v>39.340000000000003</v>
      </c>
      <c r="AX305" s="139">
        <v>16</v>
      </c>
      <c r="AY305" s="138">
        <v>98</v>
      </c>
      <c r="BA305" s="136">
        <v>18.059999999999999</v>
      </c>
      <c r="BB305" s="139">
        <v>2</v>
      </c>
      <c r="BC305" s="138" t="s">
        <v>883</v>
      </c>
    </row>
    <row r="306" spans="5:55" ht="19.5" thickBot="1" x14ac:dyDescent="0.35">
      <c r="E306" s="157">
        <v>17.43</v>
      </c>
      <c r="F306" s="158">
        <v>19</v>
      </c>
      <c r="G306" s="159" t="s">
        <v>874</v>
      </c>
      <c r="I306" s="136">
        <v>40.049999999999997</v>
      </c>
      <c r="J306" s="139">
        <v>4</v>
      </c>
      <c r="K306" s="138">
        <v>2</v>
      </c>
      <c r="M306" s="136">
        <v>17.2</v>
      </c>
      <c r="N306" s="139">
        <v>4</v>
      </c>
      <c r="O306" s="138">
        <v>2</v>
      </c>
      <c r="Q306" s="136">
        <v>39.4</v>
      </c>
      <c r="R306" s="139">
        <v>17</v>
      </c>
      <c r="S306" s="138">
        <v>99</v>
      </c>
      <c r="U306" s="136">
        <v>17.2</v>
      </c>
      <c r="V306" s="139">
        <v>10</v>
      </c>
      <c r="W306" s="138">
        <v>50</v>
      </c>
      <c r="Y306" s="136">
        <v>17.170000000000002</v>
      </c>
      <c r="Z306" s="139">
        <v>3</v>
      </c>
      <c r="AA306" s="138">
        <v>1</v>
      </c>
      <c r="AC306" s="136">
        <v>17.27</v>
      </c>
      <c r="AD306" s="139">
        <v>13</v>
      </c>
      <c r="AE306" s="138">
        <v>85</v>
      </c>
      <c r="AG306" s="136">
        <v>17.420000000000002</v>
      </c>
      <c r="AH306" s="137">
        <v>5</v>
      </c>
      <c r="AI306" s="138">
        <v>5</v>
      </c>
      <c r="AK306" s="136">
        <v>17.3</v>
      </c>
      <c r="AL306" s="139">
        <v>13</v>
      </c>
      <c r="AM306" s="138">
        <v>85</v>
      </c>
      <c r="AO306" s="136">
        <v>39.26</v>
      </c>
      <c r="AP306" s="139">
        <v>17</v>
      </c>
      <c r="AQ306" s="138">
        <v>99</v>
      </c>
      <c r="AS306" s="136">
        <v>17.190000000000001</v>
      </c>
      <c r="AT306" s="139">
        <v>4</v>
      </c>
      <c r="AU306" s="138">
        <v>2</v>
      </c>
      <c r="AW306" s="136">
        <v>39.36</v>
      </c>
      <c r="AX306" s="139">
        <v>17</v>
      </c>
      <c r="AY306" s="138">
        <v>99</v>
      </c>
      <c r="BA306" s="136">
        <v>18.07</v>
      </c>
      <c r="BB306" s="139">
        <v>3</v>
      </c>
      <c r="BC306" s="138">
        <v>1</v>
      </c>
    </row>
    <row r="307" spans="5:55" x14ac:dyDescent="0.3">
      <c r="E307" s="136">
        <v>18</v>
      </c>
      <c r="F307" s="137">
        <v>1</v>
      </c>
      <c r="G307" s="138" t="s">
        <v>862</v>
      </c>
      <c r="I307" s="136">
        <v>40.06</v>
      </c>
      <c r="J307" s="139">
        <v>5</v>
      </c>
      <c r="K307" s="138">
        <v>5</v>
      </c>
      <c r="M307" s="136">
        <v>17.22</v>
      </c>
      <c r="N307" s="139">
        <v>5</v>
      </c>
      <c r="O307" s="138">
        <v>5</v>
      </c>
      <c r="Q307" s="136">
        <v>39.42</v>
      </c>
      <c r="R307" s="139">
        <v>18</v>
      </c>
      <c r="S307" s="138" t="s">
        <v>884</v>
      </c>
      <c r="U307" s="136">
        <v>17.22</v>
      </c>
      <c r="V307" s="139">
        <v>11</v>
      </c>
      <c r="W307" s="138">
        <v>63</v>
      </c>
      <c r="Y307" s="136">
        <v>17.18</v>
      </c>
      <c r="Z307" s="139">
        <v>4</v>
      </c>
      <c r="AA307" s="138">
        <v>2</v>
      </c>
      <c r="AC307" s="136">
        <v>17.28</v>
      </c>
      <c r="AD307" s="139">
        <v>14</v>
      </c>
      <c r="AE307" s="138">
        <v>91</v>
      </c>
      <c r="AG307" s="136">
        <v>17.440000000000001</v>
      </c>
      <c r="AH307" s="137">
        <v>6</v>
      </c>
      <c r="AI307" s="138">
        <v>9</v>
      </c>
      <c r="AK307" s="136">
        <v>17.309999999999999</v>
      </c>
      <c r="AL307" s="139">
        <v>14</v>
      </c>
      <c r="AM307" s="138">
        <v>91</v>
      </c>
      <c r="AO307" s="136">
        <v>39.28</v>
      </c>
      <c r="AP307" s="139">
        <v>18</v>
      </c>
      <c r="AQ307" s="138" t="s">
        <v>884</v>
      </c>
      <c r="AS307" s="136">
        <v>17.2</v>
      </c>
      <c r="AT307" s="139">
        <v>5</v>
      </c>
      <c r="AU307" s="138">
        <v>5</v>
      </c>
      <c r="AW307" s="136">
        <v>39.380000000000003</v>
      </c>
      <c r="AX307" s="139">
        <v>18</v>
      </c>
      <c r="AY307" s="138" t="s">
        <v>884</v>
      </c>
      <c r="BA307" s="136">
        <v>18.079999999999998</v>
      </c>
      <c r="BB307" s="139">
        <v>4</v>
      </c>
      <c r="BC307" s="138">
        <v>2</v>
      </c>
    </row>
    <row r="308" spans="5:55" x14ac:dyDescent="0.3">
      <c r="E308" s="136">
        <v>18.18</v>
      </c>
      <c r="F308" s="137">
        <v>2</v>
      </c>
      <c r="G308" s="138" t="s">
        <v>862</v>
      </c>
      <c r="I308" s="136">
        <v>40.08</v>
      </c>
      <c r="J308" s="139">
        <v>6</v>
      </c>
      <c r="K308" s="138">
        <v>9</v>
      </c>
      <c r="M308" s="136">
        <v>17.239999999999998</v>
      </c>
      <c r="N308" s="139">
        <v>6</v>
      </c>
      <c r="O308" s="138">
        <v>9</v>
      </c>
      <c r="Q308" s="136">
        <v>39.44</v>
      </c>
      <c r="R308" s="139">
        <v>19</v>
      </c>
      <c r="S308" s="138" t="s">
        <v>884</v>
      </c>
      <c r="U308" s="136">
        <v>17.25</v>
      </c>
      <c r="V308" s="139">
        <v>12</v>
      </c>
      <c r="W308" s="138">
        <v>75</v>
      </c>
      <c r="Y308" s="136">
        <v>17.190000000000001</v>
      </c>
      <c r="Z308" s="139">
        <v>5</v>
      </c>
      <c r="AA308" s="138">
        <v>5</v>
      </c>
      <c r="AC308" s="136">
        <v>17.29</v>
      </c>
      <c r="AD308" s="139">
        <v>15</v>
      </c>
      <c r="AE308" s="138">
        <v>95</v>
      </c>
      <c r="AG308" s="136">
        <v>17.45</v>
      </c>
      <c r="AH308" s="137">
        <v>7</v>
      </c>
      <c r="AI308" s="138">
        <v>16</v>
      </c>
      <c r="AK308" s="136">
        <v>17.32</v>
      </c>
      <c r="AL308" s="139">
        <v>15</v>
      </c>
      <c r="AM308" s="138">
        <v>95</v>
      </c>
      <c r="AO308" s="136">
        <v>39.299999999999997</v>
      </c>
      <c r="AP308" s="139">
        <v>19</v>
      </c>
      <c r="AQ308" s="138" t="s">
        <v>884</v>
      </c>
      <c r="AS308" s="136">
        <v>17.22</v>
      </c>
      <c r="AT308" s="139">
        <v>6</v>
      </c>
      <c r="AU308" s="138">
        <v>9</v>
      </c>
      <c r="AW308" s="136">
        <v>39.4</v>
      </c>
      <c r="AX308" s="139">
        <v>19</v>
      </c>
      <c r="AY308" s="138" t="s">
        <v>884</v>
      </c>
      <c r="BA308" s="136">
        <v>18.09</v>
      </c>
      <c r="BB308" s="139">
        <v>5</v>
      </c>
      <c r="BC308" s="138">
        <v>5</v>
      </c>
    </row>
    <row r="309" spans="5:55" x14ac:dyDescent="0.3">
      <c r="E309" s="136">
        <v>18.190000000000001</v>
      </c>
      <c r="F309" s="137">
        <v>3</v>
      </c>
      <c r="G309" s="138" t="s">
        <v>876</v>
      </c>
      <c r="I309" s="136">
        <v>40.1</v>
      </c>
      <c r="J309" s="139">
        <v>7</v>
      </c>
      <c r="K309" s="138">
        <v>16</v>
      </c>
      <c r="M309" s="136">
        <v>17.260000000000002</v>
      </c>
      <c r="N309" s="139">
        <v>7</v>
      </c>
      <c r="O309" s="138">
        <v>16</v>
      </c>
      <c r="Q309" s="136">
        <v>40</v>
      </c>
      <c r="R309" s="139">
        <v>1</v>
      </c>
      <c r="S309" s="138" t="s">
        <v>883</v>
      </c>
      <c r="U309" s="136">
        <v>17.27</v>
      </c>
      <c r="V309" s="139">
        <v>13</v>
      </c>
      <c r="W309" s="138">
        <v>85</v>
      </c>
      <c r="Y309" s="136">
        <v>17.2</v>
      </c>
      <c r="Z309" s="139">
        <v>6</v>
      </c>
      <c r="AA309" s="138">
        <v>9</v>
      </c>
      <c r="AC309" s="136">
        <v>17.309999999999999</v>
      </c>
      <c r="AD309" s="139">
        <v>16</v>
      </c>
      <c r="AE309" s="138">
        <v>98</v>
      </c>
      <c r="AG309" s="136">
        <v>17.47</v>
      </c>
      <c r="AH309" s="137">
        <v>8</v>
      </c>
      <c r="AI309" s="138">
        <v>25</v>
      </c>
      <c r="AK309" s="136">
        <v>17.329999999999998</v>
      </c>
      <c r="AL309" s="139">
        <v>16</v>
      </c>
      <c r="AM309" s="138">
        <v>98</v>
      </c>
      <c r="AO309" s="136">
        <v>40</v>
      </c>
      <c r="AP309" s="139">
        <v>1</v>
      </c>
      <c r="AQ309" s="138" t="s">
        <v>883</v>
      </c>
      <c r="AS309" s="136">
        <v>17.239999999999998</v>
      </c>
      <c r="AT309" s="139">
        <v>7</v>
      </c>
      <c r="AU309" s="138">
        <v>16</v>
      </c>
      <c r="AW309" s="136">
        <v>40</v>
      </c>
      <c r="AX309" s="139">
        <v>1</v>
      </c>
      <c r="AY309" s="138" t="s">
        <v>883</v>
      </c>
      <c r="BA309" s="136">
        <v>18.100000000000001</v>
      </c>
      <c r="BB309" s="139">
        <v>6</v>
      </c>
      <c r="BC309" s="138">
        <v>9</v>
      </c>
    </row>
    <row r="310" spans="5:55" x14ac:dyDescent="0.3">
      <c r="E310" s="136">
        <v>18.21</v>
      </c>
      <c r="F310" s="137">
        <v>4</v>
      </c>
      <c r="G310" s="138" t="s">
        <v>863</v>
      </c>
      <c r="I310" s="136">
        <v>40.11</v>
      </c>
      <c r="J310" s="139">
        <v>8</v>
      </c>
      <c r="K310" s="138">
        <v>25</v>
      </c>
      <c r="M310" s="136">
        <v>17.28</v>
      </c>
      <c r="N310" s="139">
        <v>8</v>
      </c>
      <c r="O310" s="138">
        <v>25</v>
      </c>
      <c r="Q310" s="136">
        <v>40.049999999999997</v>
      </c>
      <c r="R310" s="139">
        <v>2</v>
      </c>
      <c r="S310" s="138" t="s">
        <v>883</v>
      </c>
      <c r="U310" s="136">
        <v>17.29</v>
      </c>
      <c r="V310" s="139">
        <v>14</v>
      </c>
      <c r="W310" s="138">
        <v>91</v>
      </c>
      <c r="Y310" s="136">
        <v>17.21</v>
      </c>
      <c r="Z310" s="139">
        <v>7</v>
      </c>
      <c r="AA310" s="138">
        <v>16</v>
      </c>
      <c r="AC310" s="136">
        <v>17.32</v>
      </c>
      <c r="AD310" s="139">
        <v>17</v>
      </c>
      <c r="AE310" s="138">
        <v>99</v>
      </c>
      <c r="AG310" s="136">
        <v>17.489999999999998</v>
      </c>
      <c r="AH310" s="137">
        <v>9</v>
      </c>
      <c r="AI310" s="138">
        <v>37</v>
      </c>
      <c r="AK310" s="136">
        <v>17.34</v>
      </c>
      <c r="AL310" s="139">
        <v>17</v>
      </c>
      <c r="AM310" s="138">
        <v>99</v>
      </c>
      <c r="AO310" s="136">
        <v>40.1</v>
      </c>
      <c r="AP310" s="139">
        <v>2</v>
      </c>
      <c r="AQ310" s="138" t="s">
        <v>883</v>
      </c>
      <c r="AS310" s="136">
        <v>17.25</v>
      </c>
      <c r="AT310" s="139">
        <v>8</v>
      </c>
      <c r="AU310" s="138">
        <v>25</v>
      </c>
      <c r="AW310" s="136">
        <v>40.049999999999997</v>
      </c>
      <c r="AX310" s="139">
        <v>2</v>
      </c>
      <c r="AY310" s="138" t="s">
        <v>883</v>
      </c>
      <c r="BA310" s="136">
        <v>18.11</v>
      </c>
      <c r="BB310" s="139">
        <v>7</v>
      </c>
      <c r="BC310" s="138">
        <v>16</v>
      </c>
    </row>
    <row r="311" spans="5:55" x14ac:dyDescent="0.3">
      <c r="E311" s="136">
        <v>18.220000000000002</v>
      </c>
      <c r="F311" s="137">
        <v>5</v>
      </c>
      <c r="G311" s="138" t="s">
        <v>877</v>
      </c>
      <c r="I311" s="136">
        <v>40.130000000000003</v>
      </c>
      <c r="J311" s="139">
        <v>9</v>
      </c>
      <c r="K311" s="138">
        <v>37</v>
      </c>
      <c r="M311" s="136">
        <v>17.3</v>
      </c>
      <c r="N311" s="139">
        <v>9</v>
      </c>
      <c r="O311" s="138">
        <v>37</v>
      </c>
      <c r="Q311" s="136">
        <v>40.119999999999997</v>
      </c>
      <c r="R311" s="139">
        <v>3</v>
      </c>
      <c r="S311" s="138">
        <v>1</v>
      </c>
      <c r="U311" s="136">
        <v>17.309999999999999</v>
      </c>
      <c r="V311" s="139">
        <v>15</v>
      </c>
      <c r="W311" s="138">
        <v>95</v>
      </c>
      <c r="Y311" s="136">
        <v>17.22</v>
      </c>
      <c r="Z311" s="139">
        <v>8</v>
      </c>
      <c r="AA311" s="138">
        <v>25</v>
      </c>
      <c r="AC311" s="136">
        <v>17.329999999999998</v>
      </c>
      <c r="AD311" s="139">
        <v>18</v>
      </c>
      <c r="AE311" s="138" t="s">
        <v>884</v>
      </c>
      <c r="AG311" s="136">
        <v>17.510000000000002</v>
      </c>
      <c r="AH311" s="137">
        <v>10</v>
      </c>
      <c r="AI311" s="138">
        <v>50</v>
      </c>
      <c r="AK311" s="136">
        <v>17.350000000000001</v>
      </c>
      <c r="AL311" s="139">
        <v>18</v>
      </c>
      <c r="AM311" s="138" t="s">
        <v>884</v>
      </c>
      <c r="AO311" s="136">
        <v>40.11</v>
      </c>
      <c r="AP311" s="139">
        <v>3</v>
      </c>
      <c r="AQ311" s="138">
        <v>1</v>
      </c>
      <c r="AS311" s="136">
        <v>17.27</v>
      </c>
      <c r="AT311" s="139">
        <v>9</v>
      </c>
      <c r="AU311" s="138">
        <v>37</v>
      </c>
      <c r="AW311" s="136">
        <v>40.08</v>
      </c>
      <c r="AX311" s="139">
        <v>3</v>
      </c>
      <c r="AY311" s="138">
        <v>1</v>
      </c>
      <c r="BA311" s="136">
        <v>18.12</v>
      </c>
      <c r="BB311" s="139">
        <v>8</v>
      </c>
      <c r="BC311" s="138">
        <v>25</v>
      </c>
    </row>
    <row r="312" spans="5:55" x14ac:dyDescent="0.3">
      <c r="E312" s="136">
        <v>18.239999999999998</v>
      </c>
      <c r="F312" s="137">
        <v>6</v>
      </c>
      <c r="G312" s="138" t="s">
        <v>864</v>
      </c>
      <c r="I312" s="136">
        <v>40.15</v>
      </c>
      <c r="J312" s="139">
        <v>10</v>
      </c>
      <c r="K312" s="138">
        <v>50</v>
      </c>
      <c r="M312" s="136">
        <v>17.32</v>
      </c>
      <c r="N312" s="139">
        <v>10</v>
      </c>
      <c r="O312" s="138">
        <v>50</v>
      </c>
      <c r="Q312" s="136">
        <v>40.15</v>
      </c>
      <c r="R312" s="139">
        <v>4</v>
      </c>
      <c r="S312" s="138">
        <v>2</v>
      </c>
      <c r="U312" s="136">
        <v>17.329999999999998</v>
      </c>
      <c r="V312" s="139">
        <v>16</v>
      </c>
      <c r="W312" s="138">
        <v>98</v>
      </c>
      <c r="Y312" s="136">
        <v>17.239999999999998</v>
      </c>
      <c r="Z312" s="139">
        <v>9</v>
      </c>
      <c r="AA312" s="138">
        <v>37</v>
      </c>
      <c r="AC312" s="136">
        <v>17.34</v>
      </c>
      <c r="AD312" s="139">
        <v>19</v>
      </c>
      <c r="AE312" s="138" t="s">
        <v>884</v>
      </c>
      <c r="AG312" s="136">
        <v>17.53</v>
      </c>
      <c r="AH312" s="137">
        <v>11</v>
      </c>
      <c r="AI312" s="138">
        <v>63</v>
      </c>
      <c r="AK312" s="136">
        <v>17.36</v>
      </c>
      <c r="AL312" s="139">
        <v>19</v>
      </c>
      <c r="AM312" s="138" t="s">
        <v>884</v>
      </c>
      <c r="AO312" s="136">
        <v>40.119999999999997</v>
      </c>
      <c r="AP312" s="139">
        <v>4</v>
      </c>
      <c r="AQ312" s="138">
        <v>2</v>
      </c>
      <c r="AS312" s="136">
        <v>17.29</v>
      </c>
      <c r="AT312" s="139">
        <v>10</v>
      </c>
      <c r="AU312" s="138">
        <v>50</v>
      </c>
      <c r="AW312" s="136">
        <v>40.1</v>
      </c>
      <c r="AX312" s="139">
        <v>4</v>
      </c>
      <c r="AY312" s="138">
        <v>2</v>
      </c>
      <c r="BA312" s="136">
        <v>18.13</v>
      </c>
      <c r="BB312" s="139">
        <v>9</v>
      </c>
      <c r="BC312" s="138">
        <v>37</v>
      </c>
    </row>
    <row r="313" spans="5:55" x14ac:dyDescent="0.3">
      <c r="E313" s="136">
        <v>18.25</v>
      </c>
      <c r="F313" s="137">
        <v>7</v>
      </c>
      <c r="G313" s="138" t="s">
        <v>882</v>
      </c>
      <c r="I313" s="136">
        <v>40.159999999999997</v>
      </c>
      <c r="J313" s="139">
        <v>11</v>
      </c>
      <c r="K313" s="138">
        <v>63</v>
      </c>
      <c r="M313" s="136">
        <v>17.34</v>
      </c>
      <c r="N313" s="139">
        <v>11</v>
      </c>
      <c r="O313" s="138">
        <v>63</v>
      </c>
      <c r="Q313" s="136">
        <v>40.17</v>
      </c>
      <c r="R313" s="139">
        <v>5</v>
      </c>
      <c r="S313" s="138">
        <v>5</v>
      </c>
      <c r="U313" s="136">
        <v>17.350000000000001</v>
      </c>
      <c r="V313" s="139">
        <v>17</v>
      </c>
      <c r="W313" s="138">
        <v>99</v>
      </c>
      <c r="Y313" s="136">
        <v>17.25</v>
      </c>
      <c r="Z313" s="139">
        <v>10</v>
      </c>
      <c r="AA313" s="138">
        <v>50</v>
      </c>
      <c r="AC313" s="136">
        <v>18</v>
      </c>
      <c r="AD313" s="139">
        <v>1</v>
      </c>
      <c r="AE313" s="138" t="s">
        <v>883</v>
      </c>
      <c r="AG313" s="136">
        <v>17.55</v>
      </c>
      <c r="AH313" s="137">
        <v>12</v>
      </c>
      <c r="AI313" s="138">
        <v>75</v>
      </c>
      <c r="AK313" s="136">
        <v>18</v>
      </c>
      <c r="AL313" s="139">
        <v>1</v>
      </c>
      <c r="AM313" s="138" t="s">
        <v>883</v>
      </c>
      <c r="AO313" s="136">
        <v>40.14</v>
      </c>
      <c r="AP313" s="139">
        <v>5</v>
      </c>
      <c r="AQ313" s="138">
        <v>5</v>
      </c>
      <c r="AS313" s="136">
        <v>17.3</v>
      </c>
      <c r="AT313" s="139">
        <v>11</v>
      </c>
      <c r="AU313" s="138">
        <v>63</v>
      </c>
      <c r="AW313" s="136">
        <v>40.119999999999997</v>
      </c>
      <c r="AX313" s="139">
        <v>5</v>
      </c>
      <c r="AY313" s="138">
        <v>5</v>
      </c>
      <c r="BA313" s="136">
        <v>18.14</v>
      </c>
      <c r="BB313" s="139">
        <v>10</v>
      </c>
      <c r="BC313" s="138">
        <v>50</v>
      </c>
    </row>
    <row r="314" spans="5:55" x14ac:dyDescent="0.3">
      <c r="E314" s="136">
        <v>18.260000000000002</v>
      </c>
      <c r="F314" s="137">
        <v>8</v>
      </c>
      <c r="G314" s="138" t="s">
        <v>865</v>
      </c>
      <c r="I314" s="136">
        <v>40.18</v>
      </c>
      <c r="J314" s="139">
        <v>12</v>
      </c>
      <c r="K314" s="138">
        <v>75</v>
      </c>
      <c r="M314" s="136">
        <v>17.36</v>
      </c>
      <c r="N314" s="139">
        <v>12</v>
      </c>
      <c r="O314" s="138">
        <v>75</v>
      </c>
      <c r="Q314" s="136">
        <v>40.19</v>
      </c>
      <c r="R314" s="139">
        <v>6</v>
      </c>
      <c r="S314" s="138">
        <v>9</v>
      </c>
      <c r="U314" s="136">
        <v>17.37</v>
      </c>
      <c r="V314" s="139">
        <v>18</v>
      </c>
      <c r="W314" s="138" t="s">
        <v>884</v>
      </c>
      <c r="Y314" s="136">
        <v>17.260000000000002</v>
      </c>
      <c r="Z314" s="139">
        <v>11</v>
      </c>
      <c r="AA314" s="138">
        <v>63</v>
      </c>
      <c r="AC314" s="136">
        <v>18.149999999999999</v>
      </c>
      <c r="AD314" s="139">
        <v>2</v>
      </c>
      <c r="AE314" s="138" t="s">
        <v>883</v>
      </c>
      <c r="AG314" s="136">
        <v>17.57</v>
      </c>
      <c r="AH314" s="137">
        <v>13</v>
      </c>
      <c r="AI314" s="138">
        <v>85</v>
      </c>
      <c r="AK314" s="136">
        <v>18.190000000000001</v>
      </c>
      <c r="AL314" s="139">
        <v>2</v>
      </c>
      <c r="AM314" s="138" t="s">
        <v>883</v>
      </c>
      <c r="AO314" s="136">
        <v>40.15</v>
      </c>
      <c r="AP314" s="139">
        <v>6</v>
      </c>
      <c r="AQ314" s="138">
        <v>9</v>
      </c>
      <c r="AS314" s="136">
        <v>17.32</v>
      </c>
      <c r="AT314" s="139">
        <v>12</v>
      </c>
      <c r="AU314" s="138">
        <v>75</v>
      </c>
      <c r="AW314" s="136">
        <v>40.14</v>
      </c>
      <c r="AX314" s="139">
        <v>6</v>
      </c>
      <c r="AY314" s="138">
        <v>9</v>
      </c>
      <c r="BA314" s="136">
        <v>18.149999999999999</v>
      </c>
      <c r="BB314" s="139">
        <v>11</v>
      </c>
      <c r="BC314" s="138">
        <v>63</v>
      </c>
    </row>
    <row r="315" spans="5:55" x14ac:dyDescent="0.3">
      <c r="E315" s="136">
        <v>18.28</v>
      </c>
      <c r="F315" s="137">
        <v>9</v>
      </c>
      <c r="G315" s="138" t="s">
        <v>879</v>
      </c>
      <c r="I315" s="136">
        <v>40.200000000000003</v>
      </c>
      <c r="J315" s="139">
        <v>13</v>
      </c>
      <c r="K315" s="138">
        <v>85</v>
      </c>
      <c r="M315" s="136">
        <v>17.38</v>
      </c>
      <c r="N315" s="139">
        <v>13</v>
      </c>
      <c r="O315" s="138">
        <v>85</v>
      </c>
      <c r="Q315" s="136">
        <v>40.21</v>
      </c>
      <c r="R315" s="139">
        <v>7</v>
      </c>
      <c r="S315" s="138">
        <v>16</v>
      </c>
      <c r="U315" s="136">
        <v>17.39</v>
      </c>
      <c r="V315" s="139">
        <v>19</v>
      </c>
      <c r="W315" s="138" t="s">
        <v>884</v>
      </c>
      <c r="Y315" s="136">
        <v>17.27</v>
      </c>
      <c r="Z315" s="139">
        <v>12</v>
      </c>
      <c r="AA315" s="138">
        <v>75</v>
      </c>
      <c r="AC315" s="136">
        <v>18.16</v>
      </c>
      <c r="AD315" s="139">
        <v>3</v>
      </c>
      <c r="AE315" s="138">
        <v>1</v>
      </c>
      <c r="AG315" s="136">
        <v>17.579999999999998</v>
      </c>
      <c r="AH315" s="137">
        <v>14</v>
      </c>
      <c r="AI315" s="138">
        <v>91</v>
      </c>
      <c r="AK315" s="136">
        <v>18.2</v>
      </c>
      <c r="AL315" s="139">
        <v>3</v>
      </c>
      <c r="AM315" s="138">
        <v>1</v>
      </c>
      <c r="AO315" s="136">
        <v>40.159999999999997</v>
      </c>
      <c r="AP315" s="139">
        <v>7</v>
      </c>
      <c r="AQ315" s="138">
        <v>16</v>
      </c>
      <c r="AS315" s="136">
        <v>17.329999999999998</v>
      </c>
      <c r="AT315" s="139">
        <v>13</v>
      </c>
      <c r="AU315" s="138">
        <v>85</v>
      </c>
      <c r="AW315" s="136">
        <v>40.159999999999997</v>
      </c>
      <c r="AX315" s="139">
        <v>7</v>
      </c>
      <c r="AY315" s="138">
        <v>16</v>
      </c>
      <c r="BA315" s="136">
        <v>18.16</v>
      </c>
      <c r="BB315" s="139">
        <v>12</v>
      </c>
      <c r="BC315" s="138">
        <v>75</v>
      </c>
    </row>
    <row r="316" spans="5:55" x14ac:dyDescent="0.3">
      <c r="E316" s="136">
        <v>18.290000000000003</v>
      </c>
      <c r="F316" s="137">
        <v>10</v>
      </c>
      <c r="G316" s="138" t="s">
        <v>866</v>
      </c>
      <c r="I316" s="136">
        <v>40.21</v>
      </c>
      <c r="J316" s="139">
        <v>14</v>
      </c>
      <c r="K316" s="138">
        <v>91</v>
      </c>
      <c r="M316" s="136">
        <v>17.39</v>
      </c>
      <c r="N316" s="139">
        <v>14</v>
      </c>
      <c r="O316" s="138">
        <v>91</v>
      </c>
      <c r="Q316" s="136">
        <v>40.229999999999997</v>
      </c>
      <c r="R316" s="139">
        <v>8</v>
      </c>
      <c r="S316" s="138">
        <v>25</v>
      </c>
      <c r="U316" s="136">
        <v>18</v>
      </c>
      <c r="V316" s="139">
        <v>1</v>
      </c>
      <c r="W316" s="138" t="s">
        <v>883</v>
      </c>
      <c r="Y316" s="136">
        <v>17.28</v>
      </c>
      <c r="Z316" s="139">
        <v>13</v>
      </c>
      <c r="AA316" s="138">
        <v>85</v>
      </c>
      <c r="AC316" s="136">
        <v>18.170000000000002</v>
      </c>
      <c r="AD316" s="139">
        <v>4</v>
      </c>
      <c r="AE316" s="138">
        <v>2</v>
      </c>
      <c r="AG316" s="136">
        <v>17.600000000000001</v>
      </c>
      <c r="AH316" s="137">
        <v>15</v>
      </c>
      <c r="AI316" s="138">
        <v>95</v>
      </c>
      <c r="AK316" s="136">
        <v>18.22</v>
      </c>
      <c r="AL316" s="139">
        <v>4</v>
      </c>
      <c r="AM316" s="138">
        <v>2</v>
      </c>
      <c r="AO316" s="136">
        <v>40.17</v>
      </c>
      <c r="AP316" s="139">
        <v>8</v>
      </c>
      <c r="AQ316" s="138">
        <v>25</v>
      </c>
      <c r="AS316" s="136">
        <v>17.350000000000001</v>
      </c>
      <c r="AT316" s="139">
        <v>14</v>
      </c>
      <c r="AU316" s="138">
        <v>91</v>
      </c>
      <c r="AW316" s="136">
        <v>40.18</v>
      </c>
      <c r="AX316" s="139">
        <v>8</v>
      </c>
      <c r="AY316" s="138">
        <v>25</v>
      </c>
      <c r="BA316" s="136">
        <v>18.170000000000002</v>
      </c>
      <c r="BB316" s="139">
        <v>13</v>
      </c>
      <c r="BC316" s="138">
        <v>85</v>
      </c>
    </row>
    <row r="317" spans="5:55" x14ac:dyDescent="0.3">
      <c r="E317" s="136">
        <v>18.309999999999999</v>
      </c>
      <c r="F317" s="137">
        <v>11</v>
      </c>
      <c r="G317" s="138" t="s">
        <v>867</v>
      </c>
      <c r="I317" s="136">
        <v>40.229999999999997</v>
      </c>
      <c r="J317" s="139">
        <v>15</v>
      </c>
      <c r="K317" s="138">
        <v>95</v>
      </c>
      <c r="M317" s="136">
        <v>17.41</v>
      </c>
      <c r="N317" s="139">
        <v>15</v>
      </c>
      <c r="O317" s="138">
        <v>95</v>
      </c>
      <c r="Q317" s="136">
        <v>40.25</v>
      </c>
      <c r="R317" s="139">
        <v>9</v>
      </c>
      <c r="S317" s="138">
        <v>37</v>
      </c>
      <c r="U317" s="136">
        <v>18.05</v>
      </c>
      <c r="V317" s="139">
        <v>2</v>
      </c>
      <c r="W317" s="138" t="s">
        <v>883</v>
      </c>
      <c r="Y317" s="136">
        <v>17.3</v>
      </c>
      <c r="Z317" s="139">
        <v>14</v>
      </c>
      <c r="AA317" s="138">
        <v>91</v>
      </c>
      <c r="AC317" s="136">
        <v>18.190000000000001</v>
      </c>
      <c r="AD317" s="139">
        <v>5</v>
      </c>
      <c r="AE317" s="138">
        <v>5</v>
      </c>
      <c r="AG317" s="136">
        <v>17.62</v>
      </c>
      <c r="AH317" s="137">
        <v>16</v>
      </c>
      <c r="AI317" s="138">
        <v>98</v>
      </c>
      <c r="AK317" s="136">
        <v>18.23</v>
      </c>
      <c r="AL317" s="139">
        <v>5</v>
      </c>
      <c r="AM317" s="138">
        <v>5</v>
      </c>
      <c r="AO317" s="136">
        <v>40.18</v>
      </c>
      <c r="AP317" s="139">
        <v>9</v>
      </c>
      <c r="AQ317" s="138">
        <v>37</v>
      </c>
      <c r="AS317" s="136">
        <v>17.37</v>
      </c>
      <c r="AT317" s="139">
        <v>15</v>
      </c>
      <c r="AU317" s="138">
        <v>95</v>
      </c>
      <c r="AW317" s="136">
        <v>40.200000000000003</v>
      </c>
      <c r="AX317" s="139">
        <v>9</v>
      </c>
      <c r="AY317" s="138">
        <v>37</v>
      </c>
      <c r="BA317" s="136">
        <v>18.18</v>
      </c>
      <c r="BB317" s="139">
        <v>14</v>
      </c>
      <c r="BC317" s="138">
        <v>91</v>
      </c>
    </row>
    <row r="318" spans="5:55" x14ac:dyDescent="0.3">
      <c r="E318" s="136">
        <v>18.32</v>
      </c>
      <c r="F318" s="137">
        <v>12</v>
      </c>
      <c r="G318" s="138" t="s">
        <v>868</v>
      </c>
      <c r="I318" s="136">
        <v>40.25</v>
      </c>
      <c r="J318" s="139">
        <v>16</v>
      </c>
      <c r="K318" s="138">
        <v>98</v>
      </c>
      <c r="M318" s="136">
        <v>17.43</v>
      </c>
      <c r="N318" s="139">
        <v>16</v>
      </c>
      <c r="O318" s="138">
        <v>98</v>
      </c>
      <c r="Q318" s="136">
        <v>40.270000000000003</v>
      </c>
      <c r="R318" s="139">
        <v>10</v>
      </c>
      <c r="S318" s="138">
        <v>50</v>
      </c>
      <c r="U318" s="136">
        <v>18.07</v>
      </c>
      <c r="V318" s="139">
        <v>3</v>
      </c>
      <c r="W318" s="138">
        <v>1</v>
      </c>
      <c r="Y318" s="136">
        <v>17.309999999999999</v>
      </c>
      <c r="Z318" s="139">
        <v>15</v>
      </c>
      <c r="AA318" s="138">
        <v>95</v>
      </c>
      <c r="AC318" s="136">
        <v>18.2</v>
      </c>
      <c r="AD318" s="139">
        <v>6</v>
      </c>
      <c r="AE318" s="138">
        <v>9</v>
      </c>
      <c r="AG318" s="136">
        <v>17.64</v>
      </c>
      <c r="AH318" s="137">
        <v>17</v>
      </c>
      <c r="AI318" s="138">
        <v>99</v>
      </c>
      <c r="AK318" s="136">
        <v>18.239999999999998</v>
      </c>
      <c r="AL318" s="139">
        <v>6</v>
      </c>
      <c r="AM318" s="138">
        <v>9</v>
      </c>
      <c r="AO318" s="136">
        <v>40.19</v>
      </c>
      <c r="AP318" s="139">
        <v>10</v>
      </c>
      <c r="AQ318" s="138">
        <v>50</v>
      </c>
      <c r="AS318" s="136">
        <v>17.38</v>
      </c>
      <c r="AT318" s="139">
        <v>16</v>
      </c>
      <c r="AU318" s="138">
        <v>98</v>
      </c>
      <c r="AW318" s="136">
        <v>40.22</v>
      </c>
      <c r="AX318" s="139">
        <v>10</v>
      </c>
      <c r="AY318" s="138">
        <v>50</v>
      </c>
      <c r="BA318" s="136">
        <v>18.190000000000001</v>
      </c>
      <c r="BB318" s="139">
        <v>15</v>
      </c>
      <c r="BC318" s="138">
        <v>95</v>
      </c>
    </row>
    <row r="319" spans="5:55" x14ac:dyDescent="0.3">
      <c r="E319" s="136">
        <v>18.34</v>
      </c>
      <c r="F319" s="137">
        <v>13</v>
      </c>
      <c r="G319" s="138" t="s">
        <v>869</v>
      </c>
      <c r="I319" s="136">
        <v>40.270000000000003</v>
      </c>
      <c r="J319" s="139">
        <v>17</v>
      </c>
      <c r="K319" s="138">
        <v>99</v>
      </c>
      <c r="M319" s="136">
        <v>17.45</v>
      </c>
      <c r="N319" s="139">
        <v>17</v>
      </c>
      <c r="O319" s="138">
        <v>99</v>
      </c>
      <c r="Q319" s="136">
        <v>40.29</v>
      </c>
      <c r="R319" s="139">
        <v>11</v>
      </c>
      <c r="S319" s="138">
        <v>63</v>
      </c>
      <c r="U319" s="136">
        <v>18.09</v>
      </c>
      <c r="V319" s="139">
        <v>4</v>
      </c>
      <c r="W319" s="138">
        <v>2</v>
      </c>
      <c r="Y319" s="136">
        <v>17.32</v>
      </c>
      <c r="Z319" s="139">
        <v>16</v>
      </c>
      <c r="AA319" s="138">
        <v>98</v>
      </c>
      <c r="AC319" s="136">
        <v>18.21</v>
      </c>
      <c r="AD319" s="139">
        <v>7</v>
      </c>
      <c r="AE319" s="138">
        <v>16</v>
      </c>
      <c r="AG319" s="136">
        <v>17.66</v>
      </c>
      <c r="AH319" s="137">
        <v>18</v>
      </c>
      <c r="AI319" s="138" t="s">
        <v>884</v>
      </c>
      <c r="AK319" s="136">
        <v>18.25</v>
      </c>
      <c r="AL319" s="139">
        <v>7</v>
      </c>
      <c r="AM319" s="138">
        <v>16</v>
      </c>
      <c r="AO319" s="136">
        <v>40.200000000000003</v>
      </c>
      <c r="AP319" s="139">
        <v>11</v>
      </c>
      <c r="AQ319" s="138">
        <v>63</v>
      </c>
      <c r="AS319" s="136">
        <v>17.399999999999999</v>
      </c>
      <c r="AT319" s="139">
        <v>17</v>
      </c>
      <c r="AU319" s="138">
        <v>99</v>
      </c>
      <c r="AW319" s="136">
        <v>40.24</v>
      </c>
      <c r="AX319" s="139">
        <v>11</v>
      </c>
      <c r="AY319" s="138">
        <v>63</v>
      </c>
      <c r="BA319" s="136">
        <v>18.2</v>
      </c>
      <c r="BB319" s="139">
        <v>16</v>
      </c>
      <c r="BC319" s="138">
        <v>98</v>
      </c>
    </row>
    <row r="320" spans="5:55" x14ac:dyDescent="0.3">
      <c r="E320" s="136">
        <v>18.350000000000001</v>
      </c>
      <c r="F320" s="137">
        <v>14</v>
      </c>
      <c r="G320" s="138" t="s">
        <v>870</v>
      </c>
      <c r="I320" s="136">
        <v>40.29</v>
      </c>
      <c r="J320" s="139">
        <v>18</v>
      </c>
      <c r="K320" s="138" t="s">
        <v>884</v>
      </c>
      <c r="M320" s="136">
        <v>17.47</v>
      </c>
      <c r="N320" s="139">
        <v>18</v>
      </c>
      <c r="O320" s="138" t="s">
        <v>884</v>
      </c>
      <c r="Q320" s="136">
        <v>40.31</v>
      </c>
      <c r="R320" s="139">
        <v>12</v>
      </c>
      <c r="S320" s="138">
        <v>75</v>
      </c>
      <c r="U320" s="136">
        <v>18.11</v>
      </c>
      <c r="V320" s="139">
        <v>5</v>
      </c>
      <c r="W320" s="138">
        <v>5</v>
      </c>
      <c r="Y320" s="136">
        <v>17.329999999999998</v>
      </c>
      <c r="Z320" s="139">
        <v>17</v>
      </c>
      <c r="AA320" s="138">
        <v>99</v>
      </c>
      <c r="AC320" s="136">
        <v>18.22</v>
      </c>
      <c r="AD320" s="139">
        <v>8</v>
      </c>
      <c r="AE320" s="138">
        <v>25</v>
      </c>
      <c r="AG320" s="136">
        <v>17.68</v>
      </c>
      <c r="AH320" s="137">
        <v>19</v>
      </c>
      <c r="AI320" s="138" t="s">
        <v>884</v>
      </c>
      <c r="AK320" s="136">
        <v>18.260000000000002</v>
      </c>
      <c r="AL320" s="139">
        <v>8</v>
      </c>
      <c r="AM320" s="138">
        <v>25</v>
      </c>
      <c r="AO320" s="136">
        <v>40.21</v>
      </c>
      <c r="AP320" s="139">
        <v>12</v>
      </c>
      <c r="AQ320" s="138">
        <v>75</v>
      </c>
      <c r="AS320" s="136">
        <v>17.41</v>
      </c>
      <c r="AT320" s="139">
        <v>18</v>
      </c>
      <c r="AU320" s="138" t="s">
        <v>884</v>
      </c>
      <c r="AW320" s="136">
        <v>40.26</v>
      </c>
      <c r="AX320" s="139">
        <v>12</v>
      </c>
      <c r="AY320" s="138">
        <v>75</v>
      </c>
      <c r="BA320" s="136">
        <v>18.21</v>
      </c>
      <c r="BB320" s="139">
        <v>17</v>
      </c>
      <c r="BC320" s="138">
        <v>99</v>
      </c>
    </row>
    <row r="321" spans="5:55" x14ac:dyDescent="0.3">
      <c r="E321" s="136">
        <v>18.37</v>
      </c>
      <c r="F321" s="137">
        <v>15</v>
      </c>
      <c r="G321" s="138" t="s">
        <v>871</v>
      </c>
      <c r="I321" s="136">
        <v>40.31</v>
      </c>
      <c r="J321" s="139">
        <v>19</v>
      </c>
      <c r="K321" s="138" t="s">
        <v>884</v>
      </c>
      <c r="M321" s="136">
        <v>17.489999999999998</v>
      </c>
      <c r="N321" s="139">
        <v>19</v>
      </c>
      <c r="O321" s="138" t="s">
        <v>884</v>
      </c>
      <c r="Q321" s="136">
        <v>40.33</v>
      </c>
      <c r="R321" s="139">
        <v>13</v>
      </c>
      <c r="S321" s="138">
        <v>85</v>
      </c>
      <c r="U321" s="136">
        <v>18.14</v>
      </c>
      <c r="V321" s="139">
        <v>6</v>
      </c>
      <c r="W321" s="138">
        <v>9</v>
      </c>
      <c r="Y321" s="136">
        <v>17.34</v>
      </c>
      <c r="Z321" s="139">
        <v>18</v>
      </c>
      <c r="AA321" s="138" t="s">
        <v>884</v>
      </c>
      <c r="AC321" s="136">
        <v>18.23</v>
      </c>
      <c r="AD321" s="139">
        <v>9</v>
      </c>
      <c r="AE321" s="138">
        <v>37</v>
      </c>
      <c r="AG321" s="136">
        <v>18</v>
      </c>
      <c r="AH321" s="137">
        <v>1</v>
      </c>
      <c r="AI321" s="138" t="s">
        <v>883</v>
      </c>
      <c r="AK321" s="136">
        <v>18.27</v>
      </c>
      <c r="AL321" s="139">
        <v>9</v>
      </c>
      <c r="AM321" s="138">
        <v>37</v>
      </c>
      <c r="AO321" s="136">
        <v>40.22</v>
      </c>
      <c r="AP321" s="139">
        <v>13</v>
      </c>
      <c r="AQ321" s="138">
        <v>85</v>
      </c>
      <c r="AS321" s="136">
        <v>17.440000000000001</v>
      </c>
      <c r="AT321" s="139">
        <v>19</v>
      </c>
      <c r="AU321" s="138" t="s">
        <v>884</v>
      </c>
      <c r="AW321" s="136">
        <v>40.28</v>
      </c>
      <c r="AX321" s="139">
        <v>13</v>
      </c>
      <c r="AY321" s="138">
        <v>85</v>
      </c>
      <c r="BA321" s="136">
        <v>18.22</v>
      </c>
      <c r="BB321" s="139">
        <v>18</v>
      </c>
      <c r="BC321" s="138" t="s">
        <v>884</v>
      </c>
    </row>
    <row r="322" spans="5:55" x14ac:dyDescent="0.3">
      <c r="E322" s="136">
        <v>18.39</v>
      </c>
      <c r="F322" s="137">
        <v>16</v>
      </c>
      <c r="G322" s="138" t="s">
        <v>872</v>
      </c>
      <c r="I322" s="136">
        <v>41</v>
      </c>
      <c r="J322" s="139">
        <v>1</v>
      </c>
      <c r="K322" s="138" t="s">
        <v>883</v>
      </c>
      <c r="M322" s="136">
        <v>18</v>
      </c>
      <c r="N322" s="139">
        <v>1</v>
      </c>
      <c r="O322" s="138" t="s">
        <v>883</v>
      </c>
      <c r="Q322" s="136">
        <v>40.35</v>
      </c>
      <c r="R322" s="139">
        <v>14</v>
      </c>
      <c r="S322" s="138">
        <v>91</v>
      </c>
      <c r="U322" s="136">
        <v>18.16</v>
      </c>
      <c r="V322" s="139">
        <v>7</v>
      </c>
      <c r="W322" s="138">
        <v>16</v>
      </c>
      <c r="Y322" s="136">
        <v>17.350000000000001</v>
      </c>
      <c r="Z322" s="139">
        <v>19</v>
      </c>
      <c r="AA322" s="138" t="s">
        <v>884</v>
      </c>
      <c r="AC322" s="136">
        <v>18.25</v>
      </c>
      <c r="AD322" s="139">
        <v>10</v>
      </c>
      <c r="AE322" s="138">
        <v>50</v>
      </c>
      <c r="AG322" s="136">
        <v>18.37</v>
      </c>
      <c r="AH322" s="137">
        <v>2</v>
      </c>
      <c r="AI322" s="138" t="s">
        <v>883</v>
      </c>
      <c r="AK322" s="136">
        <v>18.28</v>
      </c>
      <c r="AL322" s="139">
        <v>10</v>
      </c>
      <c r="AM322" s="138">
        <v>50</v>
      </c>
      <c r="AO322" s="136">
        <v>40.229999999999997</v>
      </c>
      <c r="AP322" s="139">
        <v>14</v>
      </c>
      <c r="AQ322" s="138">
        <v>91</v>
      </c>
      <c r="AS322" s="136">
        <v>18</v>
      </c>
      <c r="AT322" s="139">
        <v>1</v>
      </c>
      <c r="AU322" s="138" t="s">
        <v>883</v>
      </c>
      <c r="AW322" s="136">
        <v>40.299999999999997</v>
      </c>
      <c r="AX322" s="139">
        <v>14</v>
      </c>
      <c r="AY322" s="138">
        <v>91</v>
      </c>
      <c r="BA322" s="136">
        <v>18.23</v>
      </c>
      <c r="BB322" s="139">
        <v>19</v>
      </c>
      <c r="BC322" s="138" t="s">
        <v>884</v>
      </c>
    </row>
    <row r="323" spans="5:55" x14ac:dyDescent="0.3">
      <c r="E323" s="136">
        <v>18.400000000000002</v>
      </c>
      <c r="F323" s="137">
        <v>17</v>
      </c>
      <c r="G323" s="138" t="s">
        <v>873</v>
      </c>
      <c r="I323" s="136">
        <v>41.01</v>
      </c>
      <c r="J323" s="139">
        <v>2</v>
      </c>
      <c r="K323" s="138" t="s">
        <v>883</v>
      </c>
      <c r="M323" s="136">
        <v>18.149999999999999</v>
      </c>
      <c r="N323" s="139">
        <v>2</v>
      </c>
      <c r="O323" s="138" t="s">
        <v>883</v>
      </c>
      <c r="Q323" s="136">
        <v>40.369999999999997</v>
      </c>
      <c r="R323" s="139">
        <v>15</v>
      </c>
      <c r="S323" s="138">
        <v>95</v>
      </c>
      <c r="U323" s="136">
        <v>18.18</v>
      </c>
      <c r="V323" s="139">
        <v>8</v>
      </c>
      <c r="W323" s="138">
        <v>25</v>
      </c>
      <c r="Y323" s="136">
        <v>18</v>
      </c>
      <c r="Z323" s="139">
        <v>1</v>
      </c>
      <c r="AA323" s="138" t="s">
        <v>883</v>
      </c>
      <c r="AC323" s="136">
        <v>18.260000000000002</v>
      </c>
      <c r="AD323" s="139">
        <v>11</v>
      </c>
      <c r="AE323" s="138">
        <v>63</v>
      </c>
      <c r="AG323" s="136">
        <v>18.38</v>
      </c>
      <c r="AH323" s="137">
        <v>3</v>
      </c>
      <c r="AI323" s="138">
        <v>1</v>
      </c>
      <c r="AK323" s="136">
        <v>18.29</v>
      </c>
      <c r="AL323" s="139">
        <v>11</v>
      </c>
      <c r="AM323" s="138">
        <v>63</v>
      </c>
      <c r="AO323" s="136">
        <v>40.24</v>
      </c>
      <c r="AP323" s="139">
        <v>15</v>
      </c>
      <c r="AQ323" s="138">
        <v>95</v>
      </c>
      <c r="AS323" s="136">
        <v>18.16</v>
      </c>
      <c r="AT323" s="139">
        <v>2</v>
      </c>
      <c r="AU323" s="138" t="s">
        <v>883</v>
      </c>
      <c r="AW323" s="136">
        <v>40.32</v>
      </c>
      <c r="AX323" s="139">
        <v>15</v>
      </c>
      <c r="AY323" s="138">
        <v>95</v>
      </c>
      <c r="BA323" s="136">
        <v>19</v>
      </c>
      <c r="BB323" s="139">
        <v>1</v>
      </c>
      <c r="BC323" s="138" t="s">
        <v>883</v>
      </c>
    </row>
    <row r="324" spans="5:55" x14ac:dyDescent="0.3">
      <c r="E324" s="136">
        <v>18.420000000000002</v>
      </c>
      <c r="F324" s="137">
        <v>18</v>
      </c>
      <c r="G324" s="138" t="s">
        <v>874</v>
      </c>
      <c r="I324" s="136">
        <v>41.03</v>
      </c>
      <c r="J324" s="139">
        <v>3</v>
      </c>
      <c r="K324" s="138">
        <v>1</v>
      </c>
      <c r="M324" s="136">
        <v>18.190000000000001</v>
      </c>
      <c r="N324" s="139">
        <v>3</v>
      </c>
      <c r="O324" s="138">
        <v>1</v>
      </c>
      <c r="Q324" s="136">
        <v>40.39</v>
      </c>
      <c r="R324" s="139">
        <v>16</v>
      </c>
      <c r="S324" s="138">
        <v>98</v>
      </c>
      <c r="U324" s="136">
        <v>18.2</v>
      </c>
      <c r="V324" s="139">
        <v>9</v>
      </c>
      <c r="W324" s="138">
        <v>37</v>
      </c>
      <c r="Y324" s="136">
        <v>18.16</v>
      </c>
      <c r="Z324" s="139">
        <v>2</v>
      </c>
      <c r="AA324" s="138" t="s">
        <v>883</v>
      </c>
      <c r="AC324" s="136">
        <v>18.27</v>
      </c>
      <c r="AD324" s="139">
        <v>12</v>
      </c>
      <c r="AE324" s="138">
        <v>75</v>
      </c>
      <c r="AG324" s="136">
        <v>18.399999999999999</v>
      </c>
      <c r="AH324" s="137">
        <v>4</v>
      </c>
      <c r="AI324" s="138">
        <v>2</v>
      </c>
      <c r="AK324" s="136">
        <v>18.3</v>
      </c>
      <c r="AL324" s="139">
        <v>12</v>
      </c>
      <c r="AM324" s="138">
        <v>75</v>
      </c>
      <c r="AO324" s="136">
        <v>40.25</v>
      </c>
      <c r="AP324" s="139">
        <v>16</v>
      </c>
      <c r="AQ324" s="138">
        <v>98</v>
      </c>
      <c r="AS324" s="136">
        <v>18.170000000000002</v>
      </c>
      <c r="AT324" s="139">
        <v>3</v>
      </c>
      <c r="AU324" s="138">
        <v>1</v>
      </c>
      <c r="AW324" s="136">
        <v>40.340000000000003</v>
      </c>
      <c r="AX324" s="139">
        <v>16</v>
      </c>
      <c r="AY324" s="138">
        <v>98</v>
      </c>
      <c r="BA324" s="136">
        <v>19.059999999999999</v>
      </c>
      <c r="BB324" s="139">
        <v>2</v>
      </c>
      <c r="BC324" s="138" t="s">
        <v>883</v>
      </c>
    </row>
    <row r="325" spans="5:55" x14ac:dyDescent="0.3">
      <c r="E325" s="136">
        <v>18.45</v>
      </c>
      <c r="F325" s="137">
        <v>19</v>
      </c>
      <c r="G325" s="138" t="s">
        <v>874</v>
      </c>
      <c r="I325" s="136">
        <v>41.05</v>
      </c>
      <c r="J325" s="139">
        <v>4</v>
      </c>
      <c r="K325" s="138">
        <v>2</v>
      </c>
      <c r="M325" s="136">
        <v>18.21</v>
      </c>
      <c r="N325" s="139">
        <v>4</v>
      </c>
      <c r="O325" s="138">
        <v>2</v>
      </c>
      <c r="Q325" s="136">
        <v>40.4</v>
      </c>
      <c r="R325" s="139">
        <v>17</v>
      </c>
      <c r="S325" s="138">
        <v>99</v>
      </c>
      <c r="U325" s="136">
        <v>18.22</v>
      </c>
      <c r="V325" s="139">
        <v>10</v>
      </c>
      <c r="W325" s="138">
        <v>50</v>
      </c>
      <c r="Y325" s="136">
        <v>18.18</v>
      </c>
      <c r="Z325" s="139">
        <v>3</v>
      </c>
      <c r="AA325" s="138">
        <v>1</v>
      </c>
      <c r="AC325" s="136">
        <v>18.28</v>
      </c>
      <c r="AD325" s="139">
        <v>13</v>
      </c>
      <c r="AE325" s="138">
        <v>85</v>
      </c>
      <c r="AG325" s="136">
        <v>18.420000000000002</v>
      </c>
      <c r="AH325" s="137">
        <v>5</v>
      </c>
      <c r="AI325" s="138">
        <v>5</v>
      </c>
      <c r="AK325" s="136">
        <v>18.309999999999999</v>
      </c>
      <c r="AL325" s="139">
        <v>13</v>
      </c>
      <c r="AM325" s="138">
        <v>85</v>
      </c>
      <c r="AO325" s="136">
        <v>40.26</v>
      </c>
      <c r="AP325" s="139">
        <v>17</v>
      </c>
      <c r="AQ325" s="138">
        <v>99</v>
      </c>
      <c r="AS325" s="136">
        <v>18.190000000000001</v>
      </c>
      <c r="AT325" s="139">
        <v>4</v>
      </c>
      <c r="AU325" s="138">
        <v>2</v>
      </c>
      <c r="AW325" s="136">
        <v>40.36</v>
      </c>
      <c r="AX325" s="139">
        <v>17</v>
      </c>
      <c r="AY325" s="138">
        <v>99</v>
      </c>
      <c r="BA325" s="136">
        <v>19.07</v>
      </c>
      <c r="BB325" s="139">
        <v>3</v>
      </c>
      <c r="BC325" s="138">
        <v>1</v>
      </c>
    </row>
    <row r="326" spans="5:55" x14ac:dyDescent="0.3">
      <c r="E326" s="136">
        <v>19</v>
      </c>
      <c r="F326" s="137">
        <v>1</v>
      </c>
      <c r="G326" s="138" t="s">
        <v>862</v>
      </c>
      <c r="I326" s="136">
        <v>41.06</v>
      </c>
      <c r="J326" s="139">
        <v>5</v>
      </c>
      <c r="K326" s="138">
        <v>5</v>
      </c>
      <c r="M326" s="136">
        <v>18.23</v>
      </c>
      <c r="N326" s="139">
        <v>5</v>
      </c>
      <c r="O326" s="138">
        <v>5</v>
      </c>
      <c r="Q326" s="136">
        <v>40.42</v>
      </c>
      <c r="R326" s="139">
        <v>18</v>
      </c>
      <c r="S326" s="138" t="s">
        <v>884</v>
      </c>
      <c r="U326" s="136">
        <v>18.239999999999998</v>
      </c>
      <c r="V326" s="139">
        <v>11</v>
      </c>
      <c r="W326" s="138">
        <v>63</v>
      </c>
      <c r="Y326" s="136">
        <v>18.190000000000001</v>
      </c>
      <c r="Z326" s="139">
        <v>4</v>
      </c>
      <c r="AA326" s="138">
        <v>2</v>
      </c>
      <c r="AC326" s="136">
        <v>18.29</v>
      </c>
      <c r="AD326" s="139">
        <v>14</v>
      </c>
      <c r="AE326" s="138">
        <v>91</v>
      </c>
      <c r="AG326" s="136">
        <v>18.440000000000001</v>
      </c>
      <c r="AH326" s="137">
        <v>6</v>
      </c>
      <c r="AI326" s="138">
        <v>9</v>
      </c>
      <c r="AK326" s="136">
        <v>18.32</v>
      </c>
      <c r="AL326" s="139">
        <v>14</v>
      </c>
      <c r="AM326" s="138">
        <v>91</v>
      </c>
      <c r="AO326" s="136">
        <v>40.28</v>
      </c>
      <c r="AP326" s="139">
        <v>18</v>
      </c>
      <c r="AQ326" s="138" t="s">
        <v>884</v>
      </c>
      <c r="AS326" s="136">
        <v>18.21</v>
      </c>
      <c r="AT326" s="139">
        <v>5</v>
      </c>
      <c r="AU326" s="138">
        <v>5</v>
      </c>
      <c r="AW326" s="136">
        <v>40.380000000000003</v>
      </c>
      <c r="AX326" s="139">
        <v>18</v>
      </c>
      <c r="AY326" s="138" t="s">
        <v>884</v>
      </c>
      <c r="BA326" s="136">
        <v>19.079999999999998</v>
      </c>
      <c r="BB326" s="139">
        <v>4</v>
      </c>
      <c r="BC326" s="138">
        <v>2</v>
      </c>
    </row>
    <row r="327" spans="5:55" x14ac:dyDescent="0.3">
      <c r="E327" s="136">
        <v>19.18</v>
      </c>
      <c r="F327" s="137">
        <v>2</v>
      </c>
      <c r="G327" s="138" t="s">
        <v>862</v>
      </c>
      <c r="I327" s="136">
        <v>41.08</v>
      </c>
      <c r="J327" s="139">
        <v>6</v>
      </c>
      <c r="K327" s="138">
        <v>9</v>
      </c>
      <c r="M327" s="136">
        <v>18.25</v>
      </c>
      <c r="N327" s="139">
        <v>6</v>
      </c>
      <c r="O327" s="138">
        <v>9</v>
      </c>
      <c r="Q327" s="136">
        <v>40.44</v>
      </c>
      <c r="R327" s="139">
        <v>19</v>
      </c>
      <c r="S327" s="138" t="s">
        <v>884</v>
      </c>
      <c r="U327" s="136">
        <v>18.260000000000002</v>
      </c>
      <c r="V327" s="139">
        <v>12</v>
      </c>
      <c r="W327" s="138">
        <v>75</v>
      </c>
      <c r="Y327" s="136">
        <v>18.2</v>
      </c>
      <c r="Z327" s="139">
        <v>5</v>
      </c>
      <c r="AA327" s="138">
        <v>5</v>
      </c>
      <c r="AC327" s="136">
        <v>18.3</v>
      </c>
      <c r="AD327" s="139">
        <v>15</v>
      </c>
      <c r="AE327" s="138">
        <v>95</v>
      </c>
      <c r="AG327" s="136">
        <v>18.46</v>
      </c>
      <c r="AH327" s="137">
        <v>7</v>
      </c>
      <c r="AI327" s="138">
        <v>16</v>
      </c>
      <c r="AK327" s="136">
        <v>18.329999999999998</v>
      </c>
      <c r="AL327" s="139">
        <v>15</v>
      </c>
      <c r="AM327" s="138">
        <v>95</v>
      </c>
      <c r="AO327" s="136">
        <v>40.299999999999997</v>
      </c>
      <c r="AP327" s="139">
        <v>19</v>
      </c>
      <c r="AQ327" s="138" t="s">
        <v>884</v>
      </c>
      <c r="AS327" s="136">
        <v>18.22</v>
      </c>
      <c r="AT327" s="139">
        <v>6</v>
      </c>
      <c r="AU327" s="138">
        <v>9</v>
      </c>
      <c r="AW327" s="136">
        <v>40.4</v>
      </c>
      <c r="AX327" s="139">
        <v>19</v>
      </c>
      <c r="AY327" s="138" t="s">
        <v>884</v>
      </c>
      <c r="BA327" s="136">
        <v>19.09</v>
      </c>
      <c r="BB327" s="139">
        <v>5</v>
      </c>
      <c r="BC327" s="138">
        <v>5</v>
      </c>
    </row>
    <row r="328" spans="5:55" x14ac:dyDescent="0.3">
      <c r="E328" s="136">
        <v>19.2</v>
      </c>
      <c r="F328" s="137">
        <v>3</v>
      </c>
      <c r="G328" s="138" t="s">
        <v>876</v>
      </c>
      <c r="I328" s="136">
        <v>41.1</v>
      </c>
      <c r="J328" s="139">
        <v>7</v>
      </c>
      <c r="K328" s="138">
        <v>16</v>
      </c>
      <c r="M328" s="136">
        <v>18.27</v>
      </c>
      <c r="N328" s="139">
        <v>7</v>
      </c>
      <c r="O328" s="138">
        <v>16</v>
      </c>
      <c r="Q328" s="136">
        <v>41</v>
      </c>
      <c r="R328" s="139">
        <v>1</v>
      </c>
      <c r="S328" s="138" t="s">
        <v>883</v>
      </c>
      <c r="U328" s="136">
        <v>18.28</v>
      </c>
      <c r="V328" s="139">
        <v>13</v>
      </c>
      <c r="W328" s="138">
        <v>85</v>
      </c>
      <c r="Y328" s="136">
        <v>18.21</v>
      </c>
      <c r="Z328" s="139">
        <v>6</v>
      </c>
      <c r="AA328" s="138">
        <v>9</v>
      </c>
      <c r="AC328" s="136">
        <v>18.32</v>
      </c>
      <c r="AD328" s="139">
        <v>16</v>
      </c>
      <c r="AE328" s="138">
        <v>98</v>
      </c>
      <c r="AG328" s="136">
        <v>18.48</v>
      </c>
      <c r="AH328" s="137">
        <v>8</v>
      </c>
      <c r="AI328" s="138">
        <v>25</v>
      </c>
      <c r="AK328" s="136">
        <v>18.34</v>
      </c>
      <c r="AL328" s="139">
        <v>16</v>
      </c>
      <c r="AM328" s="138">
        <v>98</v>
      </c>
      <c r="AO328" s="136">
        <v>41</v>
      </c>
      <c r="AP328" s="139">
        <v>1</v>
      </c>
      <c r="AQ328" s="138" t="s">
        <v>883</v>
      </c>
      <c r="AS328" s="136">
        <v>18.239999999999998</v>
      </c>
      <c r="AT328" s="139">
        <v>7</v>
      </c>
      <c r="AU328" s="138">
        <v>16</v>
      </c>
      <c r="AW328" s="136">
        <v>41</v>
      </c>
      <c r="AX328" s="139">
        <v>1</v>
      </c>
      <c r="AY328" s="138" t="s">
        <v>883</v>
      </c>
      <c r="BA328" s="136">
        <v>19.100000000000001</v>
      </c>
      <c r="BB328" s="139">
        <v>6</v>
      </c>
      <c r="BC328" s="138">
        <v>9</v>
      </c>
    </row>
    <row r="329" spans="5:55" x14ac:dyDescent="0.3">
      <c r="E329" s="136">
        <v>19.22</v>
      </c>
      <c r="F329" s="137">
        <v>4</v>
      </c>
      <c r="G329" s="138" t="s">
        <v>863</v>
      </c>
      <c r="I329" s="136">
        <v>41.11</v>
      </c>
      <c r="J329" s="139">
        <v>8</v>
      </c>
      <c r="K329" s="138">
        <v>25</v>
      </c>
      <c r="M329" s="136">
        <v>18.29</v>
      </c>
      <c r="N329" s="139">
        <v>8</v>
      </c>
      <c r="O329" s="138">
        <v>25</v>
      </c>
      <c r="Q329" s="136">
        <v>41.05</v>
      </c>
      <c r="R329" s="139">
        <v>2</v>
      </c>
      <c r="S329" s="138" t="s">
        <v>883</v>
      </c>
      <c r="U329" s="136">
        <v>18.3</v>
      </c>
      <c r="V329" s="139">
        <v>14</v>
      </c>
      <c r="W329" s="138">
        <v>91</v>
      </c>
      <c r="Y329" s="136">
        <v>18.22</v>
      </c>
      <c r="Z329" s="139">
        <v>7</v>
      </c>
      <c r="AA329" s="138">
        <v>16</v>
      </c>
      <c r="AC329" s="136">
        <v>18.329999999999998</v>
      </c>
      <c r="AD329" s="139">
        <v>17</v>
      </c>
      <c r="AE329" s="138">
        <v>99</v>
      </c>
      <c r="AG329" s="136">
        <v>18.5</v>
      </c>
      <c r="AH329" s="137">
        <v>9</v>
      </c>
      <c r="AI329" s="138">
        <v>37</v>
      </c>
      <c r="AK329" s="136">
        <v>18.350000000000001</v>
      </c>
      <c r="AL329" s="139">
        <v>17</v>
      </c>
      <c r="AM329" s="138">
        <v>99</v>
      </c>
      <c r="AO329" s="136">
        <v>41.09</v>
      </c>
      <c r="AP329" s="139">
        <v>2</v>
      </c>
      <c r="AQ329" s="138" t="s">
        <v>883</v>
      </c>
      <c r="AS329" s="136">
        <v>18.25</v>
      </c>
      <c r="AT329" s="139">
        <v>8</v>
      </c>
      <c r="AU329" s="138">
        <v>25</v>
      </c>
      <c r="AW329" s="136">
        <v>41.05</v>
      </c>
      <c r="AX329" s="139">
        <v>2</v>
      </c>
      <c r="AY329" s="138" t="s">
        <v>883</v>
      </c>
      <c r="BA329" s="136">
        <v>19.11</v>
      </c>
      <c r="BB329" s="139">
        <v>7</v>
      </c>
      <c r="BC329" s="138">
        <v>16</v>
      </c>
    </row>
    <row r="330" spans="5:55" x14ac:dyDescent="0.3">
      <c r="E330" s="136">
        <v>19.23</v>
      </c>
      <c r="F330" s="137">
        <v>5</v>
      </c>
      <c r="G330" s="138" t="s">
        <v>877</v>
      </c>
      <c r="I330" s="136">
        <v>41.13</v>
      </c>
      <c r="J330" s="139">
        <v>9</v>
      </c>
      <c r="K330" s="138">
        <v>37</v>
      </c>
      <c r="M330" s="136">
        <v>18.309999999999999</v>
      </c>
      <c r="N330" s="139">
        <v>9</v>
      </c>
      <c r="O330" s="138">
        <v>37</v>
      </c>
      <c r="Q330" s="136">
        <v>41.12</v>
      </c>
      <c r="R330" s="139">
        <v>3</v>
      </c>
      <c r="S330" s="138">
        <v>1</v>
      </c>
      <c r="U330" s="136">
        <v>18.32</v>
      </c>
      <c r="V330" s="139">
        <v>15</v>
      </c>
      <c r="W330" s="138">
        <v>95</v>
      </c>
      <c r="Y330" s="136">
        <v>18.23</v>
      </c>
      <c r="Z330" s="139">
        <v>8</v>
      </c>
      <c r="AA330" s="138">
        <v>25</v>
      </c>
      <c r="AC330" s="136">
        <v>18.34</v>
      </c>
      <c r="AD330" s="139">
        <v>18</v>
      </c>
      <c r="AE330" s="138" t="s">
        <v>884</v>
      </c>
      <c r="AG330" s="136">
        <v>18.52</v>
      </c>
      <c r="AH330" s="137">
        <v>10</v>
      </c>
      <c r="AI330" s="138">
        <v>50</v>
      </c>
      <c r="AK330" s="136">
        <v>18.36</v>
      </c>
      <c r="AL330" s="139">
        <v>18</v>
      </c>
      <c r="AM330" s="138" t="s">
        <v>884</v>
      </c>
      <c r="AO330" s="136">
        <v>41.1</v>
      </c>
      <c r="AP330" s="139">
        <v>3</v>
      </c>
      <c r="AQ330" s="138">
        <v>1</v>
      </c>
      <c r="AS330" s="136">
        <v>18.27</v>
      </c>
      <c r="AT330" s="139">
        <v>9</v>
      </c>
      <c r="AU330" s="138">
        <v>37</v>
      </c>
      <c r="AW330" s="136">
        <v>41.08</v>
      </c>
      <c r="AX330" s="139">
        <v>3</v>
      </c>
      <c r="AY330" s="138">
        <v>1</v>
      </c>
      <c r="BA330" s="136">
        <v>19.12</v>
      </c>
      <c r="BB330" s="139">
        <v>8</v>
      </c>
      <c r="BC330" s="138">
        <v>25</v>
      </c>
    </row>
    <row r="331" spans="5:55" x14ac:dyDescent="0.3">
      <c r="E331" s="136">
        <v>19.25</v>
      </c>
      <c r="F331" s="137">
        <v>6</v>
      </c>
      <c r="G331" s="138" t="s">
        <v>864</v>
      </c>
      <c r="I331" s="136">
        <v>41.15</v>
      </c>
      <c r="J331" s="139">
        <v>10</v>
      </c>
      <c r="K331" s="138">
        <v>50</v>
      </c>
      <c r="M331" s="136">
        <v>18.329999999999998</v>
      </c>
      <c r="N331" s="139">
        <v>10</v>
      </c>
      <c r="O331" s="138">
        <v>50</v>
      </c>
      <c r="Q331" s="136">
        <v>41.15</v>
      </c>
      <c r="R331" s="139">
        <v>4</v>
      </c>
      <c r="S331" s="138">
        <v>2</v>
      </c>
      <c r="U331" s="136">
        <v>18.34</v>
      </c>
      <c r="V331" s="139">
        <v>16</v>
      </c>
      <c r="W331" s="138">
        <v>98</v>
      </c>
      <c r="Y331" s="136">
        <v>18.239999999999998</v>
      </c>
      <c r="Z331" s="139">
        <v>9</v>
      </c>
      <c r="AA331" s="138">
        <v>37</v>
      </c>
      <c r="AC331" s="136">
        <v>18.350000000000001</v>
      </c>
      <c r="AD331" s="139">
        <v>19</v>
      </c>
      <c r="AE331" s="138" t="s">
        <v>884</v>
      </c>
      <c r="AG331" s="136">
        <v>18.54</v>
      </c>
      <c r="AH331" s="137">
        <v>11</v>
      </c>
      <c r="AI331" s="138">
        <v>63</v>
      </c>
      <c r="AK331" s="136">
        <v>18.38</v>
      </c>
      <c r="AL331" s="139">
        <v>19</v>
      </c>
      <c r="AM331" s="138" t="s">
        <v>884</v>
      </c>
      <c r="AO331" s="136">
        <v>41.11</v>
      </c>
      <c r="AP331" s="139">
        <v>4</v>
      </c>
      <c r="AQ331" s="138">
        <v>2</v>
      </c>
      <c r="AS331" s="136">
        <v>18.29</v>
      </c>
      <c r="AT331" s="139">
        <v>10</v>
      </c>
      <c r="AU331" s="138">
        <v>50</v>
      </c>
      <c r="AW331" s="136">
        <v>41.1</v>
      </c>
      <c r="AX331" s="139">
        <v>4</v>
      </c>
      <c r="AY331" s="138">
        <v>2</v>
      </c>
      <c r="BA331" s="136">
        <v>19.13</v>
      </c>
      <c r="BB331" s="139">
        <v>9</v>
      </c>
      <c r="BC331" s="138">
        <v>37</v>
      </c>
    </row>
    <row r="332" spans="5:55" x14ac:dyDescent="0.3">
      <c r="E332" s="136">
        <v>19.260000000000002</v>
      </c>
      <c r="F332" s="137">
        <v>7</v>
      </c>
      <c r="G332" s="138" t="s">
        <v>878</v>
      </c>
      <c r="I332" s="136">
        <v>41.16</v>
      </c>
      <c r="J332" s="139">
        <v>11</v>
      </c>
      <c r="K332" s="138">
        <v>63</v>
      </c>
      <c r="M332" s="136">
        <v>18.350000000000001</v>
      </c>
      <c r="N332" s="139">
        <v>11</v>
      </c>
      <c r="O332" s="138">
        <v>63</v>
      </c>
      <c r="Q332" s="136">
        <v>41.17</v>
      </c>
      <c r="R332" s="139">
        <v>5</v>
      </c>
      <c r="S332" s="138">
        <v>5</v>
      </c>
      <c r="U332" s="136">
        <v>18.36</v>
      </c>
      <c r="V332" s="139">
        <v>17</v>
      </c>
      <c r="W332" s="138">
        <v>99</v>
      </c>
      <c r="Y332" s="136">
        <v>18.260000000000002</v>
      </c>
      <c r="Z332" s="139">
        <v>10</v>
      </c>
      <c r="AA332" s="138">
        <v>50</v>
      </c>
      <c r="AC332" s="136">
        <v>19</v>
      </c>
      <c r="AD332" s="139">
        <v>1</v>
      </c>
      <c r="AE332" s="138" t="s">
        <v>883</v>
      </c>
      <c r="AG332" s="136">
        <v>18.559999999999999</v>
      </c>
      <c r="AH332" s="137">
        <v>12</v>
      </c>
      <c r="AI332" s="138">
        <v>75</v>
      </c>
      <c r="AK332" s="136">
        <v>19</v>
      </c>
      <c r="AL332" s="139">
        <v>1</v>
      </c>
      <c r="AM332" s="138" t="s">
        <v>883</v>
      </c>
      <c r="AO332" s="136">
        <v>41.12</v>
      </c>
      <c r="AP332" s="139">
        <v>5</v>
      </c>
      <c r="AQ332" s="138">
        <v>5</v>
      </c>
      <c r="AS332" s="136">
        <v>18.3</v>
      </c>
      <c r="AT332" s="139">
        <v>11</v>
      </c>
      <c r="AU332" s="138">
        <v>63</v>
      </c>
      <c r="AW332" s="136">
        <v>41.12</v>
      </c>
      <c r="AX332" s="139">
        <v>5</v>
      </c>
      <c r="AY332" s="138">
        <v>5</v>
      </c>
      <c r="BA332" s="136">
        <v>19.14</v>
      </c>
      <c r="BB332" s="139">
        <v>10</v>
      </c>
      <c r="BC332" s="138">
        <v>50</v>
      </c>
    </row>
    <row r="333" spans="5:55" x14ac:dyDescent="0.3">
      <c r="E333" s="136">
        <v>19.28</v>
      </c>
      <c r="F333" s="137">
        <v>8</v>
      </c>
      <c r="G333" s="138" t="s">
        <v>865</v>
      </c>
      <c r="I333" s="136">
        <v>41.18</v>
      </c>
      <c r="J333" s="139">
        <v>12</v>
      </c>
      <c r="K333" s="138">
        <v>75</v>
      </c>
      <c r="M333" s="136">
        <v>18.37</v>
      </c>
      <c r="N333" s="139">
        <v>12</v>
      </c>
      <c r="O333" s="138">
        <v>75</v>
      </c>
      <c r="Q333" s="136">
        <v>41.19</v>
      </c>
      <c r="R333" s="139">
        <v>6</v>
      </c>
      <c r="S333" s="138">
        <v>9</v>
      </c>
      <c r="U333" s="136">
        <v>18.38</v>
      </c>
      <c r="V333" s="139">
        <v>18</v>
      </c>
      <c r="W333" s="138" t="s">
        <v>884</v>
      </c>
      <c r="Y333" s="136">
        <v>18.27</v>
      </c>
      <c r="Z333" s="139">
        <v>11</v>
      </c>
      <c r="AA333" s="138">
        <v>63</v>
      </c>
      <c r="AC333" s="136">
        <v>19.149999999999999</v>
      </c>
      <c r="AD333" s="139">
        <v>2</v>
      </c>
      <c r="AE333" s="138" t="s">
        <v>883</v>
      </c>
      <c r="AG333" s="136">
        <v>18.579999999999998</v>
      </c>
      <c r="AH333" s="137">
        <v>13</v>
      </c>
      <c r="AI333" s="138">
        <v>85</v>
      </c>
      <c r="AK333" s="136">
        <v>19.190000000000001</v>
      </c>
      <c r="AL333" s="139">
        <v>2</v>
      </c>
      <c r="AM333" s="138" t="s">
        <v>883</v>
      </c>
      <c r="AO333" s="136">
        <v>41.14</v>
      </c>
      <c r="AP333" s="139">
        <v>6</v>
      </c>
      <c r="AQ333" s="138">
        <v>9</v>
      </c>
      <c r="AS333" s="136">
        <v>18.32</v>
      </c>
      <c r="AT333" s="139">
        <v>12</v>
      </c>
      <c r="AU333" s="138">
        <v>75</v>
      </c>
      <c r="AW333" s="136">
        <v>41.14</v>
      </c>
      <c r="AX333" s="139">
        <v>6</v>
      </c>
      <c r="AY333" s="138">
        <v>9</v>
      </c>
      <c r="BA333" s="136">
        <v>19.149999999999999</v>
      </c>
      <c r="BB333" s="139">
        <v>11</v>
      </c>
      <c r="BC333" s="138">
        <v>63</v>
      </c>
    </row>
    <row r="334" spans="5:55" x14ac:dyDescent="0.3">
      <c r="E334" s="136">
        <v>19.290000000000003</v>
      </c>
      <c r="F334" s="137">
        <v>9</v>
      </c>
      <c r="G334" s="138" t="s">
        <v>879</v>
      </c>
      <c r="I334" s="136">
        <v>41.2</v>
      </c>
      <c r="J334" s="139">
        <v>13</v>
      </c>
      <c r="K334" s="138">
        <v>85</v>
      </c>
      <c r="M334" s="136">
        <v>18.39</v>
      </c>
      <c r="N334" s="139">
        <v>13</v>
      </c>
      <c r="O334" s="138">
        <v>85</v>
      </c>
      <c r="Q334" s="136">
        <v>41.21</v>
      </c>
      <c r="R334" s="139">
        <v>7</v>
      </c>
      <c r="S334" s="138">
        <v>16</v>
      </c>
      <c r="U334" s="136">
        <v>18.41</v>
      </c>
      <c r="V334" s="139">
        <v>19</v>
      </c>
      <c r="W334" s="138" t="s">
        <v>884</v>
      </c>
      <c r="Y334" s="136">
        <v>18.28</v>
      </c>
      <c r="Z334" s="139">
        <v>12</v>
      </c>
      <c r="AA334" s="138">
        <v>75</v>
      </c>
      <c r="AC334" s="136">
        <v>19.16</v>
      </c>
      <c r="AD334" s="139">
        <v>3</v>
      </c>
      <c r="AE334" s="138">
        <v>1</v>
      </c>
      <c r="AG334" s="136">
        <v>18.600000000000001</v>
      </c>
      <c r="AH334" s="137">
        <v>14</v>
      </c>
      <c r="AI334" s="138">
        <v>91</v>
      </c>
      <c r="AK334" s="136">
        <v>19.2</v>
      </c>
      <c r="AL334" s="139">
        <v>3</v>
      </c>
      <c r="AM334" s="138">
        <v>1</v>
      </c>
      <c r="AO334" s="136">
        <v>41.15</v>
      </c>
      <c r="AP334" s="139">
        <v>7</v>
      </c>
      <c r="AQ334" s="138">
        <v>16</v>
      </c>
      <c r="AS334" s="136">
        <v>18.34</v>
      </c>
      <c r="AT334" s="139">
        <v>13</v>
      </c>
      <c r="AU334" s="138">
        <v>85</v>
      </c>
      <c r="AW334" s="136">
        <v>41.16</v>
      </c>
      <c r="AX334" s="139">
        <v>7</v>
      </c>
      <c r="AY334" s="138">
        <v>16</v>
      </c>
      <c r="BA334" s="136">
        <v>19.16</v>
      </c>
      <c r="BB334" s="139">
        <v>12</v>
      </c>
      <c r="BC334" s="138">
        <v>75</v>
      </c>
    </row>
    <row r="335" spans="5:55" x14ac:dyDescent="0.3">
      <c r="E335" s="136">
        <v>19.309999999999999</v>
      </c>
      <c r="F335" s="137">
        <v>10</v>
      </c>
      <c r="G335" s="138" t="s">
        <v>866</v>
      </c>
      <c r="I335" s="136">
        <v>41.21</v>
      </c>
      <c r="J335" s="139">
        <v>14</v>
      </c>
      <c r="K335" s="138">
        <v>91</v>
      </c>
      <c r="M335" s="136">
        <v>18.41</v>
      </c>
      <c r="N335" s="139">
        <v>14</v>
      </c>
      <c r="O335" s="138">
        <v>91</v>
      </c>
      <c r="Q335" s="136">
        <v>41.23</v>
      </c>
      <c r="R335" s="139">
        <v>8</v>
      </c>
      <c r="S335" s="138">
        <v>25</v>
      </c>
      <c r="U335" s="136">
        <v>19</v>
      </c>
      <c r="V335" s="139">
        <v>1</v>
      </c>
      <c r="W335" s="138" t="s">
        <v>883</v>
      </c>
      <c r="Y335" s="136">
        <v>18.29</v>
      </c>
      <c r="Z335" s="139">
        <v>13</v>
      </c>
      <c r="AA335" s="138">
        <v>85</v>
      </c>
      <c r="AC335" s="136">
        <v>19.170000000000002</v>
      </c>
      <c r="AD335" s="139">
        <v>4</v>
      </c>
      <c r="AE335" s="138">
        <v>2</v>
      </c>
      <c r="AG335" s="136">
        <v>18.62</v>
      </c>
      <c r="AH335" s="137">
        <v>15</v>
      </c>
      <c r="AI335" s="138">
        <v>95</v>
      </c>
      <c r="AK335" s="136">
        <v>19.22</v>
      </c>
      <c r="AL335" s="139">
        <v>4</v>
      </c>
      <c r="AM335" s="138">
        <v>2</v>
      </c>
      <c r="AO335" s="136">
        <v>41.16</v>
      </c>
      <c r="AP335" s="139">
        <v>8</v>
      </c>
      <c r="AQ335" s="138">
        <v>25</v>
      </c>
      <c r="AS335" s="136">
        <v>18.350000000000001</v>
      </c>
      <c r="AT335" s="139">
        <v>14</v>
      </c>
      <c r="AU335" s="138">
        <v>91</v>
      </c>
      <c r="AW335" s="136">
        <v>41.18</v>
      </c>
      <c r="AX335" s="139">
        <v>8</v>
      </c>
      <c r="AY335" s="138">
        <v>25</v>
      </c>
      <c r="BA335" s="136">
        <v>19.170000000000002</v>
      </c>
      <c r="BB335" s="139">
        <v>13</v>
      </c>
      <c r="BC335" s="138">
        <v>85</v>
      </c>
    </row>
    <row r="336" spans="5:55" x14ac:dyDescent="0.3">
      <c r="E336" s="136">
        <v>19.32</v>
      </c>
      <c r="F336" s="137">
        <v>11</v>
      </c>
      <c r="G336" s="138" t="s">
        <v>867</v>
      </c>
      <c r="I336" s="136">
        <v>41.23</v>
      </c>
      <c r="J336" s="139">
        <v>15</v>
      </c>
      <c r="K336" s="138">
        <v>95</v>
      </c>
      <c r="M336" s="136">
        <v>18.43</v>
      </c>
      <c r="N336" s="139">
        <v>15</v>
      </c>
      <c r="O336" s="138">
        <v>95</v>
      </c>
      <c r="Q336" s="136">
        <v>41.25</v>
      </c>
      <c r="R336" s="139">
        <v>9</v>
      </c>
      <c r="S336" s="138">
        <v>37</v>
      </c>
      <c r="U336" s="136">
        <v>19.059999999999999</v>
      </c>
      <c r="V336" s="139">
        <v>2</v>
      </c>
      <c r="W336" s="138" t="s">
        <v>883</v>
      </c>
      <c r="Y336" s="136">
        <v>18.3</v>
      </c>
      <c r="Z336" s="139">
        <v>14</v>
      </c>
      <c r="AA336" s="138">
        <v>91</v>
      </c>
      <c r="AC336" s="136">
        <v>19.190000000000001</v>
      </c>
      <c r="AD336" s="139">
        <v>5</v>
      </c>
      <c r="AE336" s="138">
        <v>5</v>
      </c>
      <c r="AG336" s="136">
        <v>18.64</v>
      </c>
      <c r="AH336" s="137">
        <v>16</v>
      </c>
      <c r="AI336" s="138">
        <v>98</v>
      </c>
      <c r="AK336" s="136">
        <v>19.23</v>
      </c>
      <c r="AL336" s="139">
        <v>5</v>
      </c>
      <c r="AM336" s="138">
        <v>5</v>
      </c>
      <c r="AO336" s="136">
        <v>41.17</v>
      </c>
      <c r="AP336" s="139">
        <v>9</v>
      </c>
      <c r="AQ336" s="138">
        <v>37</v>
      </c>
      <c r="AS336" s="136">
        <v>18.37</v>
      </c>
      <c r="AT336" s="139">
        <v>15</v>
      </c>
      <c r="AU336" s="138">
        <v>95</v>
      </c>
      <c r="AW336" s="136">
        <v>41.2</v>
      </c>
      <c r="AX336" s="139">
        <v>9</v>
      </c>
      <c r="AY336" s="138">
        <v>37</v>
      </c>
      <c r="BA336" s="136">
        <v>19.18</v>
      </c>
      <c r="BB336" s="139">
        <v>14</v>
      </c>
      <c r="BC336" s="138">
        <v>91</v>
      </c>
    </row>
    <row r="337" spans="5:55" x14ac:dyDescent="0.3">
      <c r="E337" s="136">
        <v>19.34</v>
      </c>
      <c r="F337" s="137">
        <v>12</v>
      </c>
      <c r="G337" s="138" t="s">
        <v>868</v>
      </c>
      <c r="I337" s="136">
        <v>41.25</v>
      </c>
      <c r="J337" s="139">
        <v>16</v>
      </c>
      <c r="K337" s="138">
        <v>98</v>
      </c>
      <c r="M337" s="136">
        <v>18.45</v>
      </c>
      <c r="N337" s="139">
        <v>16</v>
      </c>
      <c r="O337" s="138">
        <v>98</v>
      </c>
      <c r="Q337" s="136">
        <v>41.27</v>
      </c>
      <c r="R337" s="139">
        <v>10</v>
      </c>
      <c r="S337" s="138">
        <v>50</v>
      </c>
      <c r="U337" s="136">
        <v>19.079999999999998</v>
      </c>
      <c r="V337" s="139">
        <v>3</v>
      </c>
      <c r="W337" s="138">
        <v>1</v>
      </c>
      <c r="Y337" s="136">
        <v>18.309999999999999</v>
      </c>
      <c r="Z337" s="139">
        <v>15</v>
      </c>
      <c r="AA337" s="138">
        <v>95</v>
      </c>
      <c r="AC337" s="136">
        <v>19.2</v>
      </c>
      <c r="AD337" s="139">
        <v>6</v>
      </c>
      <c r="AE337" s="138">
        <v>9</v>
      </c>
      <c r="AG337" s="136">
        <v>18.66</v>
      </c>
      <c r="AH337" s="137">
        <v>17</v>
      </c>
      <c r="AI337" s="138">
        <v>99</v>
      </c>
      <c r="AK337" s="136">
        <v>19.239999999999998</v>
      </c>
      <c r="AL337" s="139">
        <v>6</v>
      </c>
      <c r="AM337" s="138">
        <v>9</v>
      </c>
      <c r="AO337" s="136">
        <v>41.18</v>
      </c>
      <c r="AP337" s="139">
        <v>10</v>
      </c>
      <c r="AQ337" s="138">
        <v>50</v>
      </c>
      <c r="AS337" s="136">
        <v>18.39</v>
      </c>
      <c r="AT337" s="139">
        <v>16</v>
      </c>
      <c r="AU337" s="138">
        <v>98</v>
      </c>
      <c r="AW337" s="136">
        <v>41.22</v>
      </c>
      <c r="AX337" s="139">
        <v>10</v>
      </c>
      <c r="AY337" s="138">
        <v>50</v>
      </c>
      <c r="BA337" s="136">
        <v>19.190000000000001</v>
      </c>
      <c r="BB337" s="139">
        <v>15</v>
      </c>
      <c r="BC337" s="138">
        <v>95</v>
      </c>
    </row>
    <row r="338" spans="5:55" x14ac:dyDescent="0.3">
      <c r="E338" s="136">
        <v>19.350000000000001</v>
      </c>
      <c r="F338" s="137">
        <v>13</v>
      </c>
      <c r="G338" s="138" t="s">
        <v>869</v>
      </c>
      <c r="I338" s="136">
        <v>41.27</v>
      </c>
      <c r="J338" s="139">
        <v>17</v>
      </c>
      <c r="K338" s="138">
        <v>99</v>
      </c>
      <c r="M338" s="136">
        <v>18.46</v>
      </c>
      <c r="N338" s="139">
        <v>17</v>
      </c>
      <c r="O338" s="138">
        <v>99</v>
      </c>
      <c r="Q338" s="136">
        <v>41.29</v>
      </c>
      <c r="R338" s="139">
        <v>11</v>
      </c>
      <c r="S338" s="138">
        <v>63</v>
      </c>
      <c r="U338" s="136">
        <v>19.100000000000001</v>
      </c>
      <c r="V338" s="139">
        <v>4</v>
      </c>
      <c r="W338" s="138">
        <v>2</v>
      </c>
      <c r="Y338" s="136">
        <v>18.32</v>
      </c>
      <c r="Z338" s="139">
        <v>16</v>
      </c>
      <c r="AA338" s="138">
        <v>98</v>
      </c>
      <c r="AC338" s="136">
        <v>19.21</v>
      </c>
      <c r="AD338" s="139">
        <v>7</v>
      </c>
      <c r="AE338" s="138">
        <v>16</v>
      </c>
      <c r="AG338" s="136">
        <v>18.68</v>
      </c>
      <c r="AH338" s="137">
        <v>18</v>
      </c>
      <c r="AI338" s="138" t="s">
        <v>884</v>
      </c>
      <c r="AK338" s="136">
        <v>19.25</v>
      </c>
      <c r="AL338" s="139">
        <v>7</v>
      </c>
      <c r="AM338" s="138">
        <v>16</v>
      </c>
      <c r="AO338" s="136">
        <v>41.19</v>
      </c>
      <c r="AP338" s="139">
        <v>11</v>
      </c>
      <c r="AQ338" s="138">
        <v>63</v>
      </c>
      <c r="AS338" s="136">
        <v>18.399999999999999</v>
      </c>
      <c r="AT338" s="139">
        <v>17</v>
      </c>
      <c r="AU338" s="138">
        <v>99</v>
      </c>
      <c r="AW338" s="136">
        <v>41.24</v>
      </c>
      <c r="AX338" s="139">
        <v>11</v>
      </c>
      <c r="AY338" s="138">
        <v>63</v>
      </c>
      <c r="BA338" s="136">
        <v>19.2</v>
      </c>
      <c r="BB338" s="139">
        <v>16</v>
      </c>
      <c r="BC338" s="138">
        <v>98</v>
      </c>
    </row>
    <row r="339" spans="5:55" x14ac:dyDescent="0.3">
      <c r="E339" s="136">
        <v>19.37</v>
      </c>
      <c r="F339" s="137">
        <v>14</v>
      </c>
      <c r="G339" s="138" t="s">
        <v>870</v>
      </c>
      <c r="I339" s="136">
        <v>41.29</v>
      </c>
      <c r="J339" s="139">
        <v>18</v>
      </c>
      <c r="K339" s="138" t="s">
        <v>884</v>
      </c>
      <c r="M339" s="136">
        <v>18.48</v>
      </c>
      <c r="N339" s="139">
        <v>18</v>
      </c>
      <c r="O339" s="138" t="s">
        <v>884</v>
      </c>
      <c r="Q339" s="136">
        <v>41.31</v>
      </c>
      <c r="R339" s="139">
        <v>12</v>
      </c>
      <c r="S339" s="138">
        <v>75</v>
      </c>
      <c r="U339" s="136">
        <v>19.12</v>
      </c>
      <c r="V339" s="139">
        <v>5</v>
      </c>
      <c r="W339" s="138">
        <v>5</v>
      </c>
      <c r="Y339" s="136">
        <v>18.329999999999998</v>
      </c>
      <c r="Z339" s="139">
        <v>17</v>
      </c>
      <c r="AA339" s="138">
        <v>99</v>
      </c>
      <c r="AC339" s="136">
        <v>19.22</v>
      </c>
      <c r="AD339" s="139">
        <v>8</v>
      </c>
      <c r="AE339" s="138">
        <v>25</v>
      </c>
      <c r="AG339" s="136">
        <v>18.690000000000001</v>
      </c>
      <c r="AH339" s="137">
        <v>19</v>
      </c>
      <c r="AI339" s="138" t="s">
        <v>884</v>
      </c>
      <c r="AK339" s="136">
        <v>19.260000000000002</v>
      </c>
      <c r="AL339" s="139">
        <v>8</v>
      </c>
      <c r="AM339" s="138">
        <v>25</v>
      </c>
      <c r="AO339" s="136">
        <v>41.2</v>
      </c>
      <c r="AP339" s="139">
        <v>12</v>
      </c>
      <c r="AQ339" s="138">
        <v>75</v>
      </c>
      <c r="AS339" s="136">
        <v>18.420000000000002</v>
      </c>
      <c r="AT339" s="139">
        <v>18</v>
      </c>
      <c r="AU339" s="138" t="s">
        <v>884</v>
      </c>
      <c r="AW339" s="136">
        <v>41.26</v>
      </c>
      <c r="AX339" s="139">
        <v>12</v>
      </c>
      <c r="AY339" s="138">
        <v>75</v>
      </c>
      <c r="BA339" s="136">
        <v>19.21</v>
      </c>
      <c r="BB339" s="139">
        <v>17</v>
      </c>
      <c r="BC339" s="138">
        <v>99</v>
      </c>
    </row>
    <row r="340" spans="5:55" x14ac:dyDescent="0.3">
      <c r="E340" s="136">
        <v>19.39</v>
      </c>
      <c r="F340" s="137">
        <v>15</v>
      </c>
      <c r="G340" s="138" t="s">
        <v>871</v>
      </c>
      <c r="I340" s="136">
        <v>41.31</v>
      </c>
      <c r="J340" s="139">
        <v>19</v>
      </c>
      <c r="K340" s="138" t="s">
        <v>884</v>
      </c>
      <c r="M340" s="136">
        <v>18.5</v>
      </c>
      <c r="N340" s="139">
        <v>19</v>
      </c>
      <c r="O340" s="138" t="s">
        <v>884</v>
      </c>
      <c r="Q340" s="136">
        <v>41.33</v>
      </c>
      <c r="R340" s="139">
        <v>13</v>
      </c>
      <c r="S340" s="138">
        <v>85</v>
      </c>
      <c r="U340" s="136">
        <v>19.14</v>
      </c>
      <c r="V340" s="139">
        <v>6</v>
      </c>
      <c r="W340" s="138">
        <v>9</v>
      </c>
      <c r="Y340" s="136">
        <v>18.34</v>
      </c>
      <c r="Z340" s="139">
        <v>18</v>
      </c>
      <c r="AA340" s="138" t="s">
        <v>884</v>
      </c>
      <c r="AC340" s="136">
        <v>19.23</v>
      </c>
      <c r="AD340" s="139">
        <v>9</v>
      </c>
      <c r="AE340" s="138">
        <v>37</v>
      </c>
      <c r="AG340" s="136">
        <v>19</v>
      </c>
      <c r="AH340" s="137">
        <v>1</v>
      </c>
      <c r="AI340" s="138" t="s">
        <v>883</v>
      </c>
      <c r="AK340" s="136">
        <v>19.27</v>
      </c>
      <c r="AL340" s="139">
        <v>9</v>
      </c>
      <c r="AM340" s="138">
        <v>37</v>
      </c>
      <c r="AO340" s="136">
        <v>41.21</v>
      </c>
      <c r="AP340" s="139">
        <v>13</v>
      </c>
      <c r="AQ340" s="138">
        <v>85</v>
      </c>
      <c r="AS340" s="136">
        <v>18.45</v>
      </c>
      <c r="AT340" s="139">
        <v>19</v>
      </c>
      <c r="AU340" s="138" t="s">
        <v>884</v>
      </c>
      <c r="AW340" s="136">
        <v>41.28</v>
      </c>
      <c r="AX340" s="139">
        <v>13</v>
      </c>
      <c r="AY340" s="138">
        <v>85</v>
      </c>
      <c r="BA340" s="136">
        <v>19.22</v>
      </c>
      <c r="BB340" s="139">
        <v>18</v>
      </c>
      <c r="BC340" s="138" t="s">
        <v>884</v>
      </c>
    </row>
    <row r="341" spans="5:55" x14ac:dyDescent="0.3">
      <c r="E341" s="136">
        <v>19.400000000000002</v>
      </c>
      <c r="F341" s="137">
        <v>16</v>
      </c>
      <c r="G341" s="138" t="s">
        <v>872</v>
      </c>
      <c r="I341" s="136">
        <v>42</v>
      </c>
      <c r="J341" s="139">
        <v>1</v>
      </c>
      <c r="K341" s="138" t="s">
        <v>883</v>
      </c>
      <c r="M341" s="136">
        <v>19</v>
      </c>
      <c r="N341" s="139">
        <v>1</v>
      </c>
      <c r="O341" s="138" t="s">
        <v>883</v>
      </c>
      <c r="Q341" s="136">
        <v>41.35</v>
      </c>
      <c r="R341" s="139">
        <v>14</v>
      </c>
      <c r="S341" s="138">
        <v>91</v>
      </c>
      <c r="U341" s="136">
        <v>19.16</v>
      </c>
      <c r="V341" s="139">
        <v>7</v>
      </c>
      <c r="W341" s="138">
        <v>16</v>
      </c>
      <c r="Y341" s="136">
        <v>18.36</v>
      </c>
      <c r="Z341" s="139">
        <v>19</v>
      </c>
      <c r="AA341" s="138" t="s">
        <v>884</v>
      </c>
      <c r="AC341" s="136">
        <v>19.25</v>
      </c>
      <c r="AD341" s="139">
        <v>10</v>
      </c>
      <c r="AE341" s="138">
        <v>50</v>
      </c>
      <c r="AG341" s="136">
        <v>19.38</v>
      </c>
      <c r="AH341" s="137">
        <v>2</v>
      </c>
      <c r="AI341" s="138" t="s">
        <v>883</v>
      </c>
      <c r="AK341" s="136">
        <v>19.28</v>
      </c>
      <c r="AL341" s="139">
        <v>10</v>
      </c>
      <c r="AM341" s="138">
        <v>50</v>
      </c>
      <c r="AO341" s="136">
        <v>41.22</v>
      </c>
      <c r="AP341" s="139">
        <v>14</v>
      </c>
      <c r="AQ341" s="138">
        <v>91</v>
      </c>
      <c r="AS341" s="136">
        <v>19</v>
      </c>
      <c r="AT341" s="139">
        <v>1</v>
      </c>
      <c r="AU341" s="138" t="s">
        <v>883</v>
      </c>
      <c r="AW341" s="136">
        <v>41.3</v>
      </c>
      <c r="AX341" s="139">
        <v>14</v>
      </c>
      <c r="AY341" s="138">
        <v>91</v>
      </c>
      <c r="BA341" s="136">
        <v>19.23</v>
      </c>
      <c r="BB341" s="139">
        <v>19</v>
      </c>
      <c r="BC341" s="138" t="s">
        <v>884</v>
      </c>
    </row>
    <row r="342" spans="5:55" x14ac:dyDescent="0.3">
      <c r="E342" s="136">
        <v>19.420000000000002</v>
      </c>
      <c r="F342" s="137">
        <v>17</v>
      </c>
      <c r="G342" s="138" t="s">
        <v>873</v>
      </c>
      <c r="I342" s="136">
        <v>42.03</v>
      </c>
      <c r="J342" s="139">
        <v>2</v>
      </c>
      <c r="K342" s="138" t="s">
        <v>883</v>
      </c>
      <c r="M342" s="136">
        <v>19.16</v>
      </c>
      <c r="N342" s="139">
        <v>2</v>
      </c>
      <c r="O342" s="138" t="s">
        <v>883</v>
      </c>
      <c r="Q342" s="136">
        <v>41.37</v>
      </c>
      <c r="R342" s="139">
        <v>15</v>
      </c>
      <c r="S342" s="138">
        <v>95</v>
      </c>
      <c r="U342" s="136">
        <v>19.18</v>
      </c>
      <c r="V342" s="139">
        <v>8</v>
      </c>
      <c r="W342" s="138">
        <v>25</v>
      </c>
      <c r="Y342" s="136">
        <v>19</v>
      </c>
      <c r="Z342" s="139">
        <v>1</v>
      </c>
      <c r="AA342" s="138" t="s">
        <v>883</v>
      </c>
      <c r="AC342" s="136">
        <v>19.260000000000002</v>
      </c>
      <c r="AD342" s="139">
        <v>11</v>
      </c>
      <c r="AE342" s="138">
        <v>63</v>
      </c>
      <c r="AG342" s="136">
        <v>19.399999999999999</v>
      </c>
      <c r="AH342" s="137">
        <v>3</v>
      </c>
      <c r="AI342" s="138">
        <v>1</v>
      </c>
      <c r="AK342" s="136">
        <v>19.29</v>
      </c>
      <c r="AL342" s="139">
        <v>11</v>
      </c>
      <c r="AM342" s="138">
        <v>63</v>
      </c>
      <c r="AO342" s="136">
        <v>41.23</v>
      </c>
      <c r="AP342" s="139">
        <v>15</v>
      </c>
      <c r="AQ342" s="138">
        <v>95</v>
      </c>
      <c r="AS342" s="136">
        <v>19.170000000000002</v>
      </c>
      <c r="AT342" s="139">
        <v>2</v>
      </c>
      <c r="AU342" s="138" t="s">
        <v>883</v>
      </c>
      <c r="AW342" s="136">
        <v>41.32</v>
      </c>
      <c r="AX342" s="139">
        <v>15</v>
      </c>
      <c r="AY342" s="138">
        <v>95</v>
      </c>
      <c r="BA342" s="136">
        <v>20</v>
      </c>
      <c r="BB342" s="139">
        <v>1</v>
      </c>
      <c r="BC342" s="138" t="s">
        <v>883</v>
      </c>
    </row>
    <row r="343" spans="5:55" x14ac:dyDescent="0.3">
      <c r="E343" s="136">
        <v>19.430000000000003</v>
      </c>
      <c r="F343" s="137">
        <v>18</v>
      </c>
      <c r="G343" s="138" t="s">
        <v>874</v>
      </c>
      <c r="I343" s="136">
        <v>42.05</v>
      </c>
      <c r="J343" s="139">
        <v>3</v>
      </c>
      <c r="K343" s="138">
        <v>1</v>
      </c>
      <c r="M343" s="136">
        <v>19.2</v>
      </c>
      <c r="N343" s="139">
        <v>3</v>
      </c>
      <c r="O343" s="138">
        <v>1</v>
      </c>
      <c r="Q343" s="136">
        <v>41.39</v>
      </c>
      <c r="R343" s="139">
        <v>16</v>
      </c>
      <c r="S343" s="138">
        <v>98</v>
      </c>
      <c r="U343" s="136">
        <v>19.2</v>
      </c>
      <c r="V343" s="139">
        <v>9</v>
      </c>
      <c r="W343" s="138">
        <v>37</v>
      </c>
      <c r="Y343" s="136">
        <v>19.170000000000002</v>
      </c>
      <c r="Z343" s="139">
        <v>2</v>
      </c>
      <c r="AA343" s="138" t="s">
        <v>883</v>
      </c>
      <c r="AC343" s="136">
        <v>19.27</v>
      </c>
      <c r="AD343" s="139">
        <v>12</v>
      </c>
      <c r="AE343" s="138">
        <v>75</v>
      </c>
      <c r="AG343" s="136">
        <v>19.420000000000002</v>
      </c>
      <c r="AH343" s="137">
        <v>4</v>
      </c>
      <c r="AI343" s="138">
        <v>2</v>
      </c>
      <c r="AK343" s="136">
        <v>19.3</v>
      </c>
      <c r="AL343" s="139">
        <v>12</v>
      </c>
      <c r="AM343" s="138">
        <v>75</v>
      </c>
      <c r="AO343" s="136">
        <v>41.24</v>
      </c>
      <c r="AP343" s="139">
        <v>16</v>
      </c>
      <c r="AQ343" s="138">
        <v>98</v>
      </c>
      <c r="AS343" s="136">
        <v>19.190000000000001</v>
      </c>
      <c r="AT343" s="139">
        <v>3</v>
      </c>
      <c r="AU343" s="138">
        <v>1</v>
      </c>
      <c r="AW343" s="136">
        <v>41.34</v>
      </c>
      <c r="AX343" s="139">
        <v>16</v>
      </c>
      <c r="AY343" s="138">
        <v>98</v>
      </c>
      <c r="BA343" s="136">
        <v>20.059999999999999</v>
      </c>
      <c r="BB343" s="139">
        <v>2</v>
      </c>
      <c r="BC343" s="138" t="s">
        <v>883</v>
      </c>
    </row>
    <row r="344" spans="5:55" x14ac:dyDescent="0.3">
      <c r="E344" s="136">
        <v>19.46</v>
      </c>
      <c r="F344" s="137">
        <v>19</v>
      </c>
      <c r="G344" s="138" t="s">
        <v>874</v>
      </c>
      <c r="I344" s="136">
        <v>42.06</v>
      </c>
      <c r="J344" s="139">
        <v>4</v>
      </c>
      <c r="K344" s="138">
        <v>2</v>
      </c>
      <c r="M344" s="136">
        <v>19.22</v>
      </c>
      <c r="N344" s="139">
        <v>4</v>
      </c>
      <c r="O344" s="138">
        <v>2</v>
      </c>
      <c r="Q344" s="136">
        <v>41.4</v>
      </c>
      <c r="R344" s="139">
        <v>17</v>
      </c>
      <c r="S344" s="138">
        <v>99</v>
      </c>
      <c r="U344" s="136">
        <v>19.22</v>
      </c>
      <c r="V344" s="139">
        <v>10</v>
      </c>
      <c r="W344" s="138">
        <v>50</v>
      </c>
      <c r="Y344" s="136">
        <v>19.190000000000001</v>
      </c>
      <c r="Z344" s="139">
        <v>3</v>
      </c>
      <c r="AA344" s="138">
        <v>1</v>
      </c>
      <c r="AC344" s="136">
        <v>19.28</v>
      </c>
      <c r="AD344" s="139">
        <v>13</v>
      </c>
      <c r="AE344" s="138">
        <v>85</v>
      </c>
      <c r="AG344" s="136">
        <v>19.440000000000001</v>
      </c>
      <c r="AH344" s="137">
        <v>5</v>
      </c>
      <c r="AI344" s="138">
        <v>5</v>
      </c>
      <c r="AK344" s="136">
        <v>19.309999999999999</v>
      </c>
      <c r="AL344" s="139">
        <v>13</v>
      </c>
      <c r="AM344" s="138">
        <v>85</v>
      </c>
      <c r="AO344" s="136">
        <v>41.25</v>
      </c>
      <c r="AP344" s="139">
        <v>17</v>
      </c>
      <c r="AQ344" s="138">
        <v>99</v>
      </c>
      <c r="AS344" s="136">
        <v>19.2</v>
      </c>
      <c r="AT344" s="139">
        <v>4</v>
      </c>
      <c r="AU344" s="138">
        <v>2</v>
      </c>
      <c r="AW344" s="136">
        <v>41.36</v>
      </c>
      <c r="AX344" s="139">
        <v>17</v>
      </c>
      <c r="AY344" s="138">
        <v>99</v>
      </c>
      <c r="BA344" s="136">
        <v>20.07</v>
      </c>
      <c r="BB344" s="139">
        <v>3</v>
      </c>
      <c r="BC344" s="138">
        <v>1</v>
      </c>
    </row>
    <row r="345" spans="5:55" x14ac:dyDescent="0.3">
      <c r="E345" s="136">
        <v>20</v>
      </c>
      <c r="F345" s="137">
        <v>1</v>
      </c>
      <c r="G345" s="138" t="s">
        <v>862</v>
      </c>
      <c r="I345" s="136">
        <v>42.08</v>
      </c>
      <c r="J345" s="139">
        <v>5</v>
      </c>
      <c r="K345" s="138">
        <v>5</v>
      </c>
      <c r="M345" s="136">
        <v>19.239999999999998</v>
      </c>
      <c r="N345" s="139">
        <v>5</v>
      </c>
      <c r="O345" s="138">
        <v>5</v>
      </c>
      <c r="Q345" s="136">
        <v>41.42</v>
      </c>
      <c r="R345" s="139">
        <v>18</v>
      </c>
      <c r="S345" s="138" t="s">
        <v>884</v>
      </c>
      <c r="U345" s="136">
        <v>19.25</v>
      </c>
      <c r="V345" s="139">
        <v>11</v>
      </c>
      <c r="W345" s="138">
        <v>63</v>
      </c>
      <c r="Y345" s="136">
        <v>19.2</v>
      </c>
      <c r="Z345" s="139">
        <v>4</v>
      </c>
      <c r="AA345" s="138">
        <v>2</v>
      </c>
      <c r="AC345" s="136">
        <v>19.29</v>
      </c>
      <c r="AD345" s="139">
        <v>14</v>
      </c>
      <c r="AE345" s="138">
        <v>91</v>
      </c>
      <c r="AG345" s="136">
        <v>19.45</v>
      </c>
      <c r="AH345" s="137">
        <v>6</v>
      </c>
      <c r="AI345" s="138">
        <v>9</v>
      </c>
      <c r="AK345" s="136">
        <v>19.32</v>
      </c>
      <c r="AL345" s="139">
        <v>14</v>
      </c>
      <c r="AM345" s="138">
        <v>91</v>
      </c>
      <c r="AO345" s="136">
        <v>41.28</v>
      </c>
      <c r="AP345" s="139">
        <v>18</v>
      </c>
      <c r="AQ345" s="138" t="s">
        <v>884</v>
      </c>
      <c r="AS345" s="136">
        <v>19.22</v>
      </c>
      <c r="AT345" s="139">
        <v>5</v>
      </c>
      <c r="AU345" s="138">
        <v>5</v>
      </c>
      <c r="AW345" s="136">
        <v>41.38</v>
      </c>
      <c r="AX345" s="139">
        <v>18</v>
      </c>
      <c r="AY345" s="138" t="s">
        <v>884</v>
      </c>
      <c r="BA345" s="136">
        <v>20.079999999999998</v>
      </c>
      <c r="BB345" s="139">
        <v>4</v>
      </c>
      <c r="BC345" s="138">
        <v>2</v>
      </c>
    </row>
    <row r="346" spans="5:55" x14ac:dyDescent="0.3">
      <c r="E346" s="136">
        <v>20.190000000000001</v>
      </c>
      <c r="F346" s="137">
        <v>2</v>
      </c>
      <c r="G346" s="138" t="s">
        <v>862</v>
      </c>
      <c r="I346" s="136">
        <v>42.1</v>
      </c>
      <c r="J346" s="139">
        <v>6</v>
      </c>
      <c r="K346" s="138">
        <v>9</v>
      </c>
      <c r="M346" s="136">
        <v>19.260000000000002</v>
      </c>
      <c r="N346" s="139">
        <v>6</v>
      </c>
      <c r="O346" s="138">
        <v>9</v>
      </c>
      <c r="Q346" s="136">
        <v>41.44</v>
      </c>
      <c r="R346" s="139">
        <v>19</v>
      </c>
      <c r="S346" s="138" t="s">
        <v>884</v>
      </c>
      <c r="U346" s="136">
        <v>19.27</v>
      </c>
      <c r="V346" s="139">
        <v>12</v>
      </c>
      <c r="W346" s="138">
        <v>75</v>
      </c>
      <c r="Y346" s="136">
        <v>19.21</v>
      </c>
      <c r="Z346" s="139">
        <v>5</v>
      </c>
      <c r="AA346" s="138">
        <v>5</v>
      </c>
      <c r="AC346" s="136">
        <v>19.309999999999999</v>
      </c>
      <c r="AD346" s="139">
        <v>15</v>
      </c>
      <c r="AE346" s="138">
        <v>95</v>
      </c>
      <c r="AG346" s="136">
        <v>19.47</v>
      </c>
      <c r="AH346" s="137">
        <v>7</v>
      </c>
      <c r="AI346" s="138">
        <v>16</v>
      </c>
      <c r="AK346" s="136">
        <v>19.329999999999998</v>
      </c>
      <c r="AL346" s="139">
        <v>15</v>
      </c>
      <c r="AM346" s="138">
        <v>95</v>
      </c>
      <c r="AO346" s="136">
        <v>41.3</v>
      </c>
      <c r="AP346" s="139">
        <v>19</v>
      </c>
      <c r="AQ346" s="138" t="s">
        <v>884</v>
      </c>
      <c r="AS346" s="136">
        <v>19.239999999999998</v>
      </c>
      <c r="AT346" s="139">
        <v>6</v>
      </c>
      <c r="AU346" s="138">
        <v>9</v>
      </c>
      <c r="AW346" s="136">
        <v>41.4</v>
      </c>
      <c r="AX346" s="139">
        <v>19</v>
      </c>
      <c r="AY346" s="138" t="s">
        <v>884</v>
      </c>
      <c r="BA346" s="136">
        <v>20.09</v>
      </c>
      <c r="BB346" s="139">
        <v>5</v>
      </c>
      <c r="BC346" s="138">
        <v>5</v>
      </c>
    </row>
    <row r="347" spans="5:55" x14ac:dyDescent="0.3">
      <c r="E347" s="136">
        <v>20.200000000000003</v>
      </c>
      <c r="F347" s="137">
        <v>3</v>
      </c>
      <c r="G347" s="138" t="s">
        <v>876</v>
      </c>
      <c r="I347" s="136">
        <v>42.11</v>
      </c>
      <c r="J347" s="139">
        <v>7</v>
      </c>
      <c r="K347" s="138">
        <v>16</v>
      </c>
      <c r="M347" s="136">
        <v>19.28</v>
      </c>
      <c r="N347" s="139">
        <v>7</v>
      </c>
      <c r="O347" s="138">
        <v>16</v>
      </c>
      <c r="Q347" s="136">
        <v>42</v>
      </c>
      <c r="R347" s="139">
        <v>1</v>
      </c>
      <c r="S347" s="138" t="s">
        <v>883</v>
      </c>
      <c r="U347" s="136">
        <v>19.29</v>
      </c>
      <c r="V347" s="139">
        <v>13</v>
      </c>
      <c r="W347" s="138">
        <v>85</v>
      </c>
      <c r="Y347" s="136">
        <v>19.22</v>
      </c>
      <c r="Z347" s="139">
        <v>6</v>
      </c>
      <c r="AA347" s="138">
        <v>9</v>
      </c>
      <c r="AC347" s="136">
        <v>19.32</v>
      </c>
      <c r="AD347" s="139">
        <v>16</v>
      </c>
      <c r="AE347" s="138">
        <v>98</v>
      </c>
      <c r="AG347" s="136">
        <v>19.489999999999998</v>
      </c>
      <c r="AH347" s="137">
        <v>8</v>
      </c>
      <c r="AI347" s="138">
        <v>25</v>
      </c>
      <c r="AK347" s="136">
        <v>19.34</v>
      </c>
      <c r="AL347" s="139">
        <v>16</v>
      </c>
      <c r="AM347" s="138">
        <v>98</v>
      </c>
      <c r="AO347" s="136">
        <v>42</v>
      </c>
      <c r="AP347" s="139">
        <v>1</v>
      </c>
      <c r="AQ347" s="138" t="s">
        <v>883</v>
      </c>
      <c r="AS347" s="136">
        <v>19.25</v>
      </c>
      <c r="AT347" s="139">
        <v>7</v>
      </c>
      <c r="AU347" s="138">
        <v>16</v>
      </c>
      <c r="AW347" s="136">
        <v>42</v>
      </c>
      <c r="AX347" s="139">
        <v>1</v>
      </c>
      <c r="AY347" s="138" t="s">
        <v>883</v>
      </c>
      <c r="BA347" s="136">
        <v>20.100000000000001</v>
      </c>
      <c r="BB347" s="139">
        <v>6</v>
      </c>
      <c r="BC347" s="138">
        <v>9</v>
      </c>
    </row>
    <row r="348" spans="5:55" x14ac:dyDescent="0.3">
      <c r="E348" s="136">
        <v>20.22</v>
      </c>
      <c r="F348" s="137">
        <v>4</v>
      </c>
      <c r="G348" s="138" t="s">
        <v>863</v>
      </c>
      <c r="I348" s="136">
        <v>42.13</v>
      </c>
      <c r="J348" s="139">
        <v>8</v>
      </c>
      <c r="K348" s="138">
        <v>25</v>
      </c>
      <c r="M348" s="136">
        <v>19.3</v>
      </c>
      <c r="N348" s="139">
        <v>8</v>
      </c>
      <c r="O348" s="138">
        <v>25</v>
      </c>
      <c r="Q348" s="136">
        <v>42.07</v>
      </c>
      <c r="R348" s="139">
        <v>2</v>
      </c>
      <c r="S348" s="138" t="s">
        <v>883</v>
      </c>
      <c r="U348" s="136">
        <v>19.309999999999999</v>
      </c>
      <c r="V348" s="139">
        <v>14</v>
      </c>
      <c r="W348" s="138">
        <v>91</v>
      </c>
      <c r="Y348" s="136">
        <v>19.23</v>
      </c>
      <c r="Z348" s="139">
        <v>7</v>
      </c>
      <c r="AA348" s="138">
        <v>16</v>
      </c>
      <c r="AC348" s="136">
        <v>19.329999999999998</v>
      </c>
      <c r="AD348" s="139">
        <v>17</v>
      </c>
      <c r="AE348" s="138">
        <v>99</v>
      </c>
      <c r="AG348" s="136">
        <v>19.510000000000002</v>
      </c>
      <c r="AH348" s="137">
        <v>9</v>
      </c>
      <c r="AI348" s="138">
        <v>37</v>
      </c>
      <c r="AK348" s="136">
        <v>19.350000000000001</v>
      </c>
      <c r="AL348" s="139">
        <v>17</v>
      </c>
      <c r="AM348" s="138">
        <v>99</v>
      </c>
      <c r="AO348" s="136">
        <v>42.11</v>
      </c>
      <c r="AP348" s="139">
        <v>2</v>
      </c>
      <c r="AQ348" s="138" t="s">
        <v>883</v>
      </c>
      <c r="AS348" s="136">
        <v>19.27</v>
      </c>
      <c r="AT348" s="139">
        <v>8</v>
      </c>
      <c r="AU348" s="138">
        <v>25</v>
      </c>
      <c r="AW348" s="136">
        <v>42.08</v>
      </c>
      <c r="AX348" s="139">
        <v>2</v>
      </c>
      <c r="AY348" s="138" t="s">
        <v>883</v>
      </c>
      <c r="BA348" s="136">
        <v>20.11</v>
      </c>
      <c r="BB348" s="139">
        <v>7</v>
      </c>
      <c r="BC348" s="138">
        <v>16</v>
      </c>
    </row>
    <row r="349" spans="5:55" x14ac:dyDescent="0.3">
      <c r="E349" s="136">
        <v>20.23</v>
      </c>
      <c r="F349" s="137">
        <v>5</v>
      </c>
      <c r="G349" s="138" t="s">
        <v>877</v>
      </c>
      <c r="I349" s="136">
        <v>42.15</v>
      </c>
      <c r="J349" s="139">
        <v>9</v>
      </c>
      <c r="K349" s="138">
        <v>37</v>
      </c>
      <c r="M349" s="136">
        <v>19.32</v>
      </c>
      <c r="N349" s="139">
        <v>9</v>
      </c>
      <c r="O349" s="138">
        <v>37</v>
      </c>
      <c r="Q349" s="136">
        <v>42.15</v>
      </c>
      <c r="R349" s="139">
        <v>3</v>
      </c>
      <c r="S349" s="138">
        <v>1</v>
      </c>
      <c r="U349" s="136">
        <v>19.329999999999998</v>
      </c>
      <c r="V349" s="139">
        <v>15</v>
      </c>
      <c r="W349" s="138">
        <v>95</v>
      </c>
      <c r="Y349" s="136">
        <v>19.239999999999998</v>
      </c>
      <c r="Z349" s="139">
        <v>8</v>
      </c>
      <c r="AA349" s="138">
        <v>25</v>
      </c>
      <c r="AC349" s="136">
        <v>19.34</v>
      </c>
      <c r="AD349" s="139">
        <v>18</v>
      </c>
      <c r="AE349" s="138" t="s">
        <v>884</v>
      </c>
      <c r="AG349" s="136">
        <v>19.53</v>
      </c>
      <c r="AH349" s="137">
        <v>10</v>
      </c>
      <c r="AI349" s="138">
        <v>50</v>
      </c>
      <c r="AK349" s="136">
        <v>19.36</v>
      </c>
      <c r="AL349" s="139">
        <v>18</v>
      </c>
      <c r="AM349" s="138" t="s">
        <v>884</v>
      </c>
      <c r="AO349" s="136">
        <v>42.12</v>
      </c>
      <c r="AP349" s="139">
        <v>3</v>
      </c>
      <c r="AQ349" s="138">
        <v>1</v>
      </c>
      <c r="AS349" s="136">
        <v>19.29</v>
      </c>
      <c r="AT349" s="139">
        <v>9</v>
      </c>
      <c r="AU349" s="138">
        <v>37</v>
      </c>
      <c r="AW349" s="136">
        <v>42.1</v>
      </c>
      <c r="AX349" s="139">
        <v>3</v>
      </c>
      <c r="AY349" s="138">
        <v>1</v>
      </c>
      <c r="BA349" s="136">
        <v>20.12</v>
      </c>
      <c r="BB349" s="139">
        <v>8</v>
      </c>
      <c r="BC349" s="138">
        <v>25</v>
      </c>
    </row>
    <row r="350" spans="5:55" x14ac:dyDescent="0.3">
      <c r="E350" s="136">
        <v>20.25</v>
      </c>
      <c r="F350" s="137">
        <v>6</v>
      </c>
      <c r="G350" s="138" t="s">
        <v>864</v>
      </c>
      <c r="I350" s="136">
        <v>42.16</v>
      </c>
      <c r="J350" s="139">
        <v>10</v>
      </c>
      <c r="K350" s="138">
        <v>50</v>
      </c>
      <c r="M350" s="136">
        <v>19.34</v>
      </c>
      <c r="N350" s="139">
        <v>10</v>
      </c>
      <c r="O350" s="138">
        <v>50</v>
      </c>
      <c r="Q350" s="136">
        <v>42.17</v>
      </c>
      <c r="R350" s="139">
        <v>4</v>
      </c>
      <c r="S350" s="138">
        <v>2</v>
      </c>
      <c r="U350" s="136">
        <v>19.350000000000001</v>
      </c>
      <c r="V350" s="139">
        <v>16</v>
      </c>
      <c r="W350" s="138">
        <v>98</v>
      </c>
      <c r="Y350" s="136">
        <v>19.260000000000002</v>
      </c>
      <c r="Z350" s="139">
        <v>9</v>
      </c>
      <c r="AA350" s="138">
        <v>37</v>
      </c>
      <c r="AC350" s="136">
        <v>19.36</v>
      </c>
      <c r="AD350" s="139">
        <v>19</v>
      </c>
      <c r="AE350" s="138" t="s">
        <v>884</v>
      </c>
      <c r="AG350" s="136">
        <v>19.55</v>
      </c>
      <c r="AH350" s="137">
        <v>11</v>
      </c>
      <c r="AI350" s="138">
        <v>63</v>
      </c>
      <c r="AK350" s="136">
        <v>19.38</v>
      </c>
      <c r="AL350" s="139">
        <v>19</v>
      </c>
      <c r="AM350" s="138" t="s">
        <v>884</v>
      </c>
      <c r="AO350" s="136">
        <v>42.14</v>
      </c>
      <c r="AP350" s="139">
        <v>4</v>
      </c>
      <c r="AQ350" s="138">
        <v>2</v>
      </c>
      <c r="AS350" s="136">
        <v>19.3</v>
      </c>
      <c r="AT350" s="139">
        <v>10</v>
      </c>
      <c r="AU350" s="138">
        <v>50</v>
      </c>
      <c r="AW350" s="136">
        <v>42.12</v>
      </c>
      <c r="AX350" s="139">
        <v>4</v>
      </c>
      <c r="AY350" s="138">
        <v>2</v>
      </c>
      <c r="BA350" s="136">
        <v>20.13</v>
      </c>
      <c r="BB350" s="139">
        <v>9</v>
      </c>
      <c r="BC350" s="138">
        <v>37</v>
      </c>
    </row>
    <row r="351" spans="5:55" x14ac:dyDescent="0.3">
      <c r="E351" s="136">
        <v>20.27</v>
      </c>
      <c r="F351" s="137">
        <v>7</v>
      </c>
      <c r="G351" s="138" t="s">
        <v>878</v>
      </c>
      <c r="I351" s="136">
        <v>42.18</v>
      </c>
      <c r="J351" s="139">
        <v>11</v>
      </c>
      <c r="K351" s="138">
        <v>63</v>
      </c>
      <c r="M351" s="136">
        <v>19.36</v>
      </c>
      <c r="N351" s="139">
        <v>11</v>
      </c>
      <c r="O351" s="138">
        <v>63</v>
      </c>
      <c r="Q351" s="136">
        <v>42.2</v>
      </c>
      <c r="R351" s="139">
        <v>5</v>
      </c>
      <c r="S351" s="138">
        <v>5</v>
      </c>
      <c r="U351" s="136">
        <v>19.37</v>
      </c>
      <c r="V351" s="139">
        <v>17</v>
      </c>
      <c r="W351" s="138">
        <v>99</v>
      </c>
      <c r="Y351" s="136">
        <v>19.27</v>
      </c>
      <c r="Z351" s="139">
        <v>10</v>
      </c>
      <c r="AA351" s="138">
        <v>50</v>
      </c>
      <c r="AC351" s="136">
        <v>20</v>
      </c>
      <c r="AD351" s="139">
        <v>1</v>
      </c>
      <c r="AE351" s="138" t="s">
        <v>883</v>
      </c>
      <c r="AG351" s="136">
        <v>19.57</v>
      </c>
      <c r="AH351" s="137">
        <v>12</v>
      </c>
      <c r="AI351" s="138">
        <v>75</v>
      </c>
      <c r="AK351" s="136">
        <v>20</v>
      </c>
      <c r="AL351" s="139">
        <v>1</v>
      </c>
      <c r="AM351" s="138" t="s">
        <v>883</v>
      </c>
      <c r="AO351" s="136">
        <v>42.15</v>
      </c>
      <c r="AP351" s="139">
        <v>5</v>
      </c>
      <c r="AQ351" s="138">
        <v>5</v>
      </c>
      <c r="AS351" s="136">
        <v>19.32</v>
      </c>
      <c r="AT351" s="139">
        <v>11</v>
      </c>
      <c r="AU351" s="138">
        <v>63</v>
      </c>
      <c r="AW351" s="136">
        <v>42.14</v>
      </c>
      <c r="AX351" s="139">
        <v>5</v>
      </c>
      <c r="AY351" s="138">
        <v>5</v>
      </c>
      <c r="BA351" s="136">
        <v>20.14</v>
      </c>
      <c r="BB351" s="139">
        <v>10</v>
      </c>
      <c r="BC351" s="138">
        <v>50</v>
      </c>
    </row>
    <row r="352" spans="5:55" x14ac:dyDescent="0.3">
      <c r="E352" s="136">
        <v>20.28</v>
      </c>
      <c r="F352" s="137">
        <v>8</v>
      </c>
      <c r="G352" s="138" t="s">
        <v>865</v>
      </c>
      <c r="H352" s="135" t="s">
        <v>4</v>
      </c>
      <c r="I352" s="136">
        <v>42.2</v>
      </c>
      <c r="J352" s="139">
        <v>12</v>
      </c>
      <c r="K352" s="138">
        <v>75</v>
      </c>
      <c r="M352" s="136">
        <v>19.38</v>
      </c>
      <c r="N352" s="139">
        <v>12</v>
      </c>
      <c r="O352" s="138">
        <v>75</v>
      </c>
      <c r="Q352" s="136">
        <v>42.22</v>
      </c>
      <c r="R352" s="139">
        <v>6</v>
      </c>
      <c r="S352" s="138">
        <v>9</v>
      </c>
      <c r="U352" s="136">
        <v>19.39</v>
      </c>
      <c r="V352" s="139">
        <v>18</v>
      </c>
      <c r="W352" s="138" t="s">
        <v>884</v>
      </c>
      <c r="Y352" s="136">
        <v>19.28</v>
      </c>
      <c r="Z352" s="139">
        <v>11</v>
      </c>
      <c r="AA352" s="138">
        <v>63</v>
      </c>
      <c r="AC352" s="136">
        <v>20.149999999999999</v>
      </c>
      <c r="AD352" s="139">
        <v>2</v>
      </c>
      <c r="AE352" s="138" t="s">
        <v>883</v>
      </c>
      <c r="AG352" s="136">
        <v>19.579999999999998</v>
      </c>
      <c r="AH352" s="137">
        <v>13</v>
      </c>
      <c r="AI352" s="138">
        <v>85</v>
      </c>
      <c r="AK352" s="136">
        <v>20.190000000000001</v>
      </c>
      <c r="AL352" s="139">
        <v>2</v>
      </c>
      <c r="AM352" s="138" t="s">
        <v>883</v>
      </c>
      <c r="AO352" s="136">
        <v>42.16</v>
      </c>
      <c r="AP352" s="139">
        <v>6</v>
      </c>
      <c r="AQ352" s="138">
        <v>9</v>
      </c>
      <c r="AS352" s="136">
        <v>19.34</v>
      </c>
      <c r="AT352" s="139">
        <v>12</v>
      </c>
      <c r="AU352" s="138">
        <v>75</v>
      </c>
      <c r="AW352" s="136">
        <v>42.16</v>
      </c>
      <c r="AX352" s="139">
        <v>6</v>
      </c>
      <c r="AY352" s="138">
        <v>9</v>
      </c>
      <c r="BA352" s="136">
        <v>20.149999999999999</v>
      </c>
      <c r="BB352" s="139">
        <v>11</v>
      </c>
      <c r="BC352" s="138">
        <v>63</v>
      </c>
    </row>
    <row r="353" spans="5:55" x14ac:dyDescent="0.3">
      <c r="E353" s="136">
        <v>20.3</v>
      </c>
      <c r="F353" s="137">
        <v>9</v>
      </c>
      <c r="G353" s="138" t="s">
        <v>879</v>
      </c>
      <c r="I353" s="136">
        <v>42.22</v>
      </c>
      <c r="J353" s="139">
        <v>13</v>
      </c>
      <c r="K353" s="138">
        <v>85</v>
      </c>
      <c r="M353" s="136">
        <v>19.39</v>
      </c>
      <c r="N353" s="139">
        <v>13</v>
      </c>
      <c r="O353" s="138">
        <v>85</v>
      </c>
      <c r="Q353" s="136">
        <v>42.24</v>
      </c>
      <c r="R353" s="139">
        <v>7</v>
      </c>
      <c r="S353" s="138">
        <v>16</v>
      </c>
      <c r="U353" s="136">
        <v>19.41</v>
      </c>
      <c r="V353" s="139">
        <v>19</v>
      </c>
      <c r="W353" s="138" t="s">
        <v>884</v>
      </c>
      <c r="Y353" s="136">
        <v>19.29</v>
      </c>
      <c r="Z353" s="139">
        <v>12</v>
      </c>
      <c r="AA353" s="138">
        <v>75</v>
      </c>
      <c r="AC353" s="136">
        <v>20.16</v>
      </c>
      <c r="AD353" s="139">
        <v>3</v>
      </c>
      <c r="AE353" s="138">
        <v>1</v>
      </c>
      <c r="AG353" s="136">
        <v>19.600000000000001</v>
      </c>
      <c r="AH353" s="137">
        <v>14</v>
      </c>
      <c r="AI353" s="138">
        <v>91</v>
      </c>
      <c r="AK353" s="136">
        <v>20.2</v>
      </c>
      <c r="AL353" s="139">
        <v>3</v>
      </c>
      <c r="AM353" s="138">
        <v>1</v>
      </c>
      <c r="AO353" s="136">
        <v>42.17</v>
      </c>
      <c r="AP353" s="139">
        <v>7</v>
      </c>
      <c r="AQ353" s="138">
        <v>16</v>
      </c>
      <c r="AS353" s="136">
        <v>19.350000000000001</v>
      </c>
      <c r="AT353" s="139">
        <v>13</v>
      </c>
      <c r="AU353" s="138">
        <v>85</v>
      </c>
      <c r="AW353" s="136">
        <v>42.18</v>
      </c>
      <c r="AX353" s="139">
        <v>7</v>
      </c>
      <c r="AY353" s="138">
        <v>16</v>
      </c>
      <c r="BA353" s="136">
        <v>20.16</v>
      </c>
      <c r="BB353" s="139">
        <v>12</v>
      </c>
      <c r="BC353" s="138">
        <v>75</v>
      </c>
    </row>
    <row r="354" spans="5:55" x14ac:dyDescent="0.3">
      <c r="E354" s="136">
        <v>20.310000000000002</v>
      </c>
      <c r="F354" s="137">
        <v>10</v>
      </c>
      <c r="G354" s="138" t="s">
        <v>866</v>
      </c>
      <c r="I354" s="136">
        <v>42.24</v>
      </c>
      <c r="J354" s="139">
        <v>14</v>
      </c>
      <c r="K354" s="138">
        <v>91</v>
      </c>
      <c r="M354" s="136">
        <v>19.41</v>
      </c>
      <c r="N354" s="139">
        <v>14</v>
      </c>
      <c r="O354" s="138">
        <v>91</v>
      </c>
      <c r="Q354" s="136">
        <v>42.26</v>
      </c>
      <c r="R354" s="139">
        <v>8</v>
      </c>
      <c r="S354" s="138">
        <v>25</v>
      </c>
      <c r="U354" s="136">
        <v>20</v>
      </c>
      <c r="V354" s="139">
        <v>1</v>
      </c>
      <c r="W354" s="138" t="s">
        <v>883</v>
      </c>
      <c r="Y354" s="136">
        <v>19.3</v>
      </c>
      <c r="Z354" s="139">
        <v>13</v>
      </c>
      <c r="AA354" s="138">
        <v>85</v>
      </c>
      <c r="AC354" s="136">
        <v>20.18</v>
      </c>
      <c r="AD354" s="139">
        <v>4</v>
      </c>
      <c r="AE354" s="138">
        <v>2</v>
      </c>
      <c r="AG354" s="136">
        <v>19.62</v>
      </c>
      <c r="AH354" s="137">
        <v>15</v>
      </c>
      <c r="AI354" s="138">
        <v>95</v>
      </c>
      <c r="AK354" s="136">
        <v>20.22</v>
      </c>
      <c r="AL354" s="139">
        <v>4</v>
      </c>
      <c r="AM354" s="138">
        <v>2</v>
      </c>
      <c r="AO354" s="136">
        <v>42.19</v>
      </c>
      <c r="AP354" s="139">
        <v>8</v>
      </c>
      <c r="AQ354" s="138">
        <v>25</v>
      </c>
      <c r="AS354" s="136">
        <v>19.37</v>
      </c>
      <c r="AT354" s="139">
        <v>14</v>
      </c>
      <c r="AU354" s="138">
        <v>91</v>
      </c>
      <c r="AW354" s="136">
        <v>42.2</v>
      </c>
      <c r="AX354" s="139">
        <v>8</v>
      </c>
      <c r="AY354" s="138">
        <v>25</v>
      </c>
      <c r="BA354" s="136">
        <v>20.170000000000002</v>
      </c>
      <c r="BB354" s="139">
        <v>13</v>
      </c>
      <c r="BC354" s="138">
        <v>85</v>
      </c>
    </row>
    <row r="355" spans="5:55" x14ac:dyDescent="0.3">
      <c r="E355" s="136">
        <v>20.329999999999998</v>
      </c>
      <c r="F355" s="137">
        <v>11</v>
      </c>
      <c r="G355" s="138" t="s">
        <v>867</v>
      </c>
      <c r="I355" s="136">
        <v>42.26</v>
      </c>
      <c r="J355" s="139">
        <v>15</v>
      </c>
      <c r="K355" s="138">
        <v>95</v>
      </c>
      <c r="M355" s="136">
        <v>19.43</v>
      </c>
      <c r="N355" s="139">
        <v>15</v>
      </c>
      <c r="O355" s="138">
        <v>95</v>
      </c>
      <c r="Q355" s="136">
        <v>42.28</v>
      </c>
      <c r="R355" s="139">
        <v>9</v>
      </c>
      <c r="S355" s="138">
        <v>37</v>
      </c>
      <c r="U355" s="136">
        <v>20.059999999999999</v>
      </c>
      <c r="V355" s="139">
        <v>2</v>
      </c>
      <c r="W355" s="138" t="s">
        <v>883</v>
      </c>
      <c r="Y355" s="136">
        <v>19.309999999999999</v>
      </c>
      <c r="Z355" s="139">
        <v>14</v>
      </c>
      <c r="AA355" s="138">
        <v>91</v>
      </c>
      <c r="AC355" s="136">
        <v>20.190000000000001</v>
      </c>
      <c r="AD355" s="139">
        <v>5</v>
      </c>
      <c r="AE355" s="138">
        <v>5</v>
      </c>
      <c r="AG355" s="136">
        <v>19.64</v>
      </c>
      <c r="AH355" s="137">
        <v>16</v>
      </c>
      <c r="AI355" s="138">
        <v>98</v>
      </c>
      <c r="AK355" s="136">
        <v>20.23</v>
      </c>
      <c r="AL355" s="139">
        <v>5</v>
      </c>
      <c r="AM355" s="138">
        <v>5</v>
      </c>
      <c r="AO355" s="136">
        <v>42.2</v>
      </c>
      <c r="AP355" s="139">
        <v>9</v>
      </c>
      <c r="AQ355" s="138">
        <v>37</v>
      </c>
      <c r="AS355" s="136">
        <v>19.39</v>
      </c>
      <c r="AT355" s="139">
        <v>15</v>
      </c>
      <c r="AU355" s="138">
        <v>95</v>
      </c>
      <c r="AW355" s="136">
        <v>42.22</v>
      </c>
      <c r="AX355" s="139">
        <v>9</v>
      </c>
      <c r="AY355" s="138">
        <v>37</v>
      </c>
      <c r="BA355" s="136">
        <v>20.18</v>
      </c>
      <c r="BB355" s="139">
        <v>14</v>
      </c>
      <c r="BC355" s="138">
        <v>91</v>
      </c>
    </row>
    <row r="356" spans="5:55" x14ac:dyDescent="0.3">
      <c r="E356" s="136">
        <v>20.350000000000001</v>
      </c>
      <c r="F356" s="137">
        <v>12</v>
      </c>
      <c r="G356" s="138" t="s">
        <v>868</v>
      </c>
      <c r="I356" s="136">
        <v>42.28</v>
      </c>
      <c r="J356" s="139">
        <v>16</v>
      </c>
      <c r="K356" s="138">
        <v>98</v>
      </c>
      <c r="M356" s="136">
        <v>19.45</v>
      </c>
      <c r="N356" s="139">
        <v>16</v>
      </c>
      <c r="O356" s="138">
        <v>98</v>
      </c>
      <c r="Q356" s="136">
        <v>42.3</v>
      </c>
      <c r="R356" s="139">
        <v>10</v>
      </c>
      <c r="S356" s="138">
        <v>50</v>
      </c>
      <c r="U356" s="136">
        <v>20.079999999999998</v>
      </c>
      <c r="V356" s="139">
        <v>3</v>
      </c>
      <c r="W356" s="138">
        <v>1</v>
      </c>
      <c r="Y356" s="136">
        <v>19.32</v>
      </c>
      <c r="Z356" s="139">
        <v>15</v>
      </c>
      <c r="AA356" s="138">
        <v>95</v>
      </c>
      <c r="AC356" s="136">
        <v>20.21</v>
      </c>
      <c r="AD356" s="139">
        <v>6</v>
      </c>
      <c r="AE356" s="138">
        <v>9</v>
      </c>
      <c r="AG356" s="136">
        <v>19.66</v>
      </c>
      <c r="AH356" s="137">
        <v>17</v>
      </c>
      <c r="AI356" s="138">
        <v>99</v>
      </c>
      <c r="AK356" s="136">
        <v>20.239999999999998</v>
      </c>
      <c r="AL356" s="139">
        <v>6</v>
      </c>
      <c r="AM356" s="138">
        <v>9</v>
      </c>
      <c r="AO356" s="136">
        <v>42.21</v>
      </c>
      <c r="AP356" s="139">
        <v>10</v>
      </c>
      <c r="AQ356" s="138">
        <v>50</v>
      </c>
      <c r="AS356" s="136">
        <v>19.399999999999999</v>
      </c>
      <c r="AT356" s="139">
        <v>16</v>
      </c>
      <c r="AU356" s="138">
        <v>98</v>
      </c>
      <c r="AW356" s="136">
        <v>42.25</v>
      </c>
      <c r="AX356" s="139">
        <v>10</v>
      </c>
      <c r="AY356" s="138">
        <v>50</v>
      </c>
      <c r="BA356" s="136">
        <v>20.190000000000001</v>
      </c>
      <c r="BB356" s="139">
        <v>15</v>
      </c>
      <c r="BC356" s="138">
        <v>95</v>
      </c>
    </row>
    <row r="357" spans="5:55" x14ac:dyDescent="0.3">
      <c r="E357" s="136">
        <v>20.360000000000003</v>
      </c>
      <c r="F357" s="137">
        <v>13</v>
      </c>
      <c r="G357" s="138" t="s">
        <v>869</v>
      </c>
      <c r="I357" s="136">
        <v>42.3</v>
      </c>
      <c r="J357" s="139">
        <v>17</v>
      </c>
      <c r="K357" s="138">
        <v>99</v>
      </c>
      <c r="M357" s="136">
        <v>19.47</v>
      </c>
      <c r="N357" s="139">
        <v>17</v>
      </c>
      <c r="O357" s="138">
        <v>99</v>
      </c>
      <c r="Q357" s="136">
        <v>42.32</v>
      </c>
      <c r="R357" s="139">
        <v>11</v>
      </c>
      <c r="S357" s="138">
        <v>63</v>
      </c>
      <c r="U357" s="136">
        <v>20.100000000000001</v>
      </c>
      <c r="V357" s="139">
        <v>4</v>
      </c>
      <c r="W357" s="138">
        <v>2</v>
      </c>
      <c r="Y357" s="136">
        <v>19.329999999999998</v>
      </c>
      <c r="Z357" s="139">
        <v>16</v>
      </c>
      <c r="AA357" s="138">
        <v>98</v>
      </c>
      <c r="AC357" s="136">
        <v>20.22</v>
      </c>
      <c r="AD357" s="139">
        <v>7</v>
      </c>
      <c r="AE357" s="138">
        <v>16</v>
      </c>
      <c r="AG357" s="136">
        <v>19.68</v>
      </c>
      <c r="AH357" s="137">
        <v>18</v>
      </c>
      <c r="AI357" s="138" t="s">
        <v>884</v>
      </c>
      <c r="AK357" s="136">
        <v>20.25</v>
      </c>
      <c r="AL357" s="139">
        <v>7</v>
      </c>
      <c r="AM357" s="138">
        <v>16</v>
      </c>
      <c r="AO357" s="136">
        <v>42.22</v>
      </c>
      <c r="AP357" s="139">
        <v>11</v>
      </c>
      <c r="AQ357" s="138">
        <v>63</v>
      </c>
      <c r="AS357" s="136">
        <v>19.420000000000002</v>
      </c>
      <c r="AT357" s="139">
        <v>17</v>
      </c>
      <c r="AU357" s="138">
        <v>99</v>
      </c>
      <c r="AW357" s="136">
        <v>42.27</v>
      </c>
      <c r="AX357" s="139">
        <v>11</v>
      </c>
      <c r="AY357" s="138">
        <v>63</v>
      </c>
      <c r="BA357" s="136">
        <v>20.2</v>
      </c>
      <c r="BB357" s="139">
        <v>16</v>
      </c>
      <c r="BC357" s="138">
        <v>98</v>
      </c>
    </row>
    <row r="358" spans="5:55" x14ac:dyDescent="0.3">
      <c r="E358" s="136">
        <v>20.38</v>
      </c>
      <c r="F358" s="137">
        <v>14</v>
      </c>
      <c r="G358" s="138" t="s">
        <v>870</v>
      </c>
      <c r="I358" s="136">
        <v>42.32</v>
      </c>
      <c r="J358" s="139">
        <v>18</v>
      </c>
      <c r="K358" s="138" t="s">
        <v>884</v>
      </c>
      <c r="M358" s="136">
        <v>19.489999999999998</v>
      </c>
      <c r="N358" s="139">
        <v>18</v>
      </c>
      <c r="O358" s="138" t="s">
        <v>884</v>
      </c>
      <c r="Q358" s="136">
        <v>42.33</v>
      </c>
      <c r="R358" s="139">
        <v>12</v>
      </c>
      <c r="S358" s="138">
        <v>75</v>
      </c>
      <c r="U358" s="136">
        <v>20.12</v>
      </c>
      <c r="V358" s="139">
        <v>5</v>
      </c>
      <c r="W358" s="138">
        <v>5</v>
      </c>
      <c r="Y358" s="136">
        <v>19.34</v>
      </c>
      <c r="Z358" s="139">
        <v>17</v>
      </c>
      <c r="AA358" s="138">
        <v>99</v>
      </c>
      <c r="AC358" s="136">
        <v>20.23</v>
      </c>
      <c r="AD358" s="139">
        <v>8</v>
      </c>
      <c r="AE358" s="138">
        <v>25</v>
      </c>
      <c r="AG358" s="136">
        <v>19.7</v>
      </c>
      <c r="AH358" s="137">
        <v>19</v>
      </c>
      <c r="AI358" s="138" t="s">
        <v>884</v>
      </c>
      <c r="AK358" s="136">
        <v>20.260000000000002</v>
      </c>
      <c r="AL358" s="139">
        <v>8</v>
      </c>
      <c r="AM358" s="138">
        <v>25</v>
      </c>
      <c r="AO358" s="136">
        <v>42.23</v>
      </c>
      <c r="AP358" s="139">
        <v>12</v>
      </c>
      <c r="AQ358" s="138">
        <v>75</v>
      </c>
      <c r="AS358" s="136">
        <v>19.440000000000001</v>
      </c>
      <c r="AT358" s="139">
        <v>18</v>
      </c>
      <c r="AU358" s="138" t="s">
        <v>884</v>
      </c>
      <c r="AW358" s="136">
        <v>42.29</v>
      </c>
      <c r="AX358" s="139">
        <v>12</v>
      </c>
      <c r="AY358" s="138">
        <v>75</v>
      </c>
      <c r="BA358" s="136">
        <v>20.21</v>
      </c>
      <c r="BB358" s="139">
        <v>17</v>
      </c>
      <c r="BC358" s="138">
        <v>99</v>
      </c>
    </row>
    <row r="359" spans="5:55" x14ac:dyDescent="0.3">
      <c r="E359" s="136">
        <v>20.39</v>
      </c>
      <c r="F359" s="137">
        <v>15</v>
      </c>
      <c r="G359" s="138" t="s">
        <v>871</v>
      </c>
      <c r="I359" s="136">
        <v>42.34</v>
      </c>
      <c r="J359" s="139">
        <v>19</v>
      </c>
      <c r="K359" s="138" t="s">
        <v>884</v>
      </c>
      <c r="M359" s="136">
        <v>19.510000000000002</v>
      </c>
      <c r="N359" s="139">
        <v>19</v>
      </c>
      <c r="O359" s="138" t="s">
        <v>884</v>
      </c>
      <c r="Q359" s="136">
        <v>42.35</v>
      </c>
      <c r="R359" s="139">
        <v>13</v>
      </c>
      <c r="S359" s="138">
        <v>85</v>
      </c>
      <c r="U359" s="136">
        <v>20.14</v>
      </c>
      <c r="V359" s="139">
        <v>6</v>
      </c>
      <c r="W359" s="138">
        <v>9</v>
      </c>
      <c r="Y359" s="136">
        <v>19.350000000000001</v>
      </c>
      <c r="Z359" s="139">
        <v>18</v>
      </c>
      <c r="AA359" s="138" t="s">
        <v>884</v>
      </c>
      <c r="AC359" s="136">
        <v>20.25</v>
      </c>
      <c r="AD359" s="139">
        <v>9</v>
      </c>
      <c r="AE359" s="138">
        <v>37</v>
      </c>
      <c r="AG359" s="136">
        <v>20</v>
      </c>
      <c r="AH359" s="137">
        <v>1</v>
      </c>
      <c r="AI359" s="138" t="s">
        <v>883</v>
      </c>
      <c r="AK359" s="136">
        <v>20.27</v>
      </c>
      <c r="AL359" s="139">
        <v>9</v>
      </c>
      <c r="AM359" s="138">
        <v>37</v>
      </c>
      <c r="AO359" s="136">
        <v>42.24</v>
      </c>
      <c r="AP359" s="139">
        <v>13</v>
      </c>
      <c r="AQ359" s="138">
        <v>85</v>
      </c>
      <c r="AS359" s="136">
        <v>19.45</v>
      </c>
      <c r="AT359" s="139">
        <v>19</v>
      </c>
      <c r="AU359" s="138" t="s">
        <v>884</v>
      </c>
      <c r="AW359" s="136">
        <v>42.31</v>
      </c>
      <c r="AX359" s="139">
        <v>13</v>
      </c>
      <c r="AY359" s="138">
        <v>85</v>
      </c>
      <c r="BA359" s="136">
        <v>20.22</v>
      </c>
      <c r="BB359" s="139">
        <v>18</v>
      </c>
      <c r="BC359" s="138" t="s">
        <v>884</v>
      </c>
    </row>
    <row r="360" spans="5:55" x14ac:dyDescent="0.3">
      <c r="E360" s="136">
        <v>20.41</v>
      </c>
      <c r="F360" s="137">
        <v>16</v>
      </c>
      <c r="G360" s="138" t="s">
        <v>872</v>
      </c>
      <c r="I360" s="136">
        <v>43</v>
      </c>
      <c r="J360" s="139">
        <v>1</v>
      </c>
      <c r="K360" s="138" t="s">
        <v>883</v>
      </c>
      <c r="M360" s="136">
        <v>20</v>
      </c>
      <c r="N360" s="139">
        <v>1</v>
      </c>
      <c r="O360" s="138" t="s">
        <v>883</v>
      </c>
      <c r="Q360" s="136">
        <v>42.37</v>
      </c>
      <c r="R360" s="139">
        <v>14</v>
      </c>
      <c r="S360" s="138">
        <v>91</v>
      </c>
      <c r="U360" s="136">
        <v>20.170000000000002</v>
      </c>
      <c r="V360" s="139">
        <v>7</v>
      </c>
      <c r="W360" s="138">
        <v>16</v>
      </c>
      <c r="Y360" s="136">
        <v>19.36</v>
      </c>
      <c r="Z360" s="139">
        <v>19</v>
      </c>
      <c r="AA360" s="138" t="s">
        <v>884</v>
      </c>
      <c r="AC360" s="136">
        <v>20.260000000000002</v>
      </c>
      <c r="AD360" s="139">
        <v>10</v>
      </c>
      <c r="AE360" s="138">
        <v>50</v>
      </c>
      <c r="AG360" s="136">
        <v>20.38</v>
      </c>
      <c r="AH360" s="137">
        <v>2</v>
      </c>
      <c r="AI360" s="138" t="s">
        <v>883</v>
      </c>
      <c r="AK360" s="136">
        <v>20.28</v>
      </c>
      <c r="AL360" s="139">
        <v>10</v>
      </c>
      <c r="AM360" s="138">
        <v>50</v>
      </c>
      <c r="AO360" s="136">
        <v>42.25</v>
      </c>
      <c r="AP360" s="139">
        <v>14</v>
      </c>
      <c r="AQ360" s="138">
        <v>91</v>
      </c>
      <c r="AS360" s="136">
        <v>20</v>
      </c>
      <c r="AT360" s="139">
        <v>1</v>
      </c>
      <c r="AU360" s="138" t="s">
        <v>883</v>
      </c>
      <c r="AW360" s="136">
        <v>42.33</v>
      </c>
      <c r="AX360" s="139">
        <v>14</v>
      </c>
      <c r="AY360" s="138">
        <v>91</v>
      </c>
      <c r="BA360" s="136">
        <v>20.23</v>
      </c>
      <c r="BB360" s="139">
        <v>19</v>
      </c>
      <c r="BC360" s="138" t="s">
        <v>884</v>
      </c>
    </row>
    <row r="361" spans="5:55" x14ac:dyDescent="0.3">
      <c r="E361" s="136">
        <v>20.43</v>
      </c>
      <c r="F361" s="137">
        <v>17</v>
      </c>
      <c r="G361" s="138" t="s">
        <v>873</v>
      </c>
      <c r="I361" s="136">
        <v>43.03</v>
      </c>
      <c r="J361" s="139">
        <v>2</v>
      </c>
      <c r="K361" s="138" t="s">
        <v>883</v>
      </c>
      <c r="M361" s="136">
        <v>20.170000000000002</v>
      </c>
      <c r="N361" s="139">
        <v>2</v>
      </c>
      <c r="O361" s="138" t="s">
        <v>883</v>
      </c>
      <c r="Q361" s="136">
        <v>42.39</v>
      </c>
      <c r="R361" s="139">
        <v>15</v>
      </c>
      <c r="S361" s="138">
        <v>95</v>
      </c>
      <c r="U361" s="136">
        <v>20.190000000000001</v>
      </c>
      <c r="V361" s="139">
        <v>8</v>
      </c>
      <c r="W361" s="138">
        <v>25</v>
      </c>
      <c r="Y361" s="136">
        <v>20</v>
      </c>
      <c r="Z361" s="139">
        <v>1</v>
      </c>
      <c r="AA361" s="138" t="s">
        <v>883</v>
      </c>
      <c r="AC361" s="136">
        <v>20.27</v>
      </c>
      <c r="AD361" s="139">
        <v>11</v>
      </c>
      <c r="AE361" s="138">
        <v>63</v>
      </c>
      <c r="AG361" s="136">
        <v>20.399999999999999</v>
      </c>
      <c r="AH361" s="137">
        <v>3</v>
      </c>
      <c r="AI361" s="138">
        <v>1</v>
      </c>
      <c r="AK361" s="136">
        <v>20.29</v>
      </c>
      <c r="AL361" s="139">
        <v>11</v>
      </c>
      <c r="AM361" s="138">
        <v>63</v>
      </c>
      <c r="AO361" s="136">
        <v>42.26</v>
      </c>
      <c r="AP361" s="139">
        <v>15</v>
      </c>
      <c r="AQ361" s="138">
        <v>95</v>
      </c>
      <c r="AS361" s="136">
        <v>20.170000000000002</v>
      </c>
      <c r="AT361" s="139">
        <v>2</v>
      </c>
      <c r="AU361" s="138" t="s">
        <v>883</v>
      </c>
      <c r="AW361" s="136">
        <v>42.35</v>
      </c>
      <c r="AX361" s="139">
        <v>15</v>
      </c>
      <c r="AY361" s="138">
        <v>95</v>
      </c>
      <c r="BA361" s="136">
        <v>21</v>
      </c>
      <c r="BB361" s="139">
        <v>1</v>
      </c>
      <c r="BC361" s="138" t="s">
        <v>883</v>
      </c>
    </row>
    <row r="362" spans="5:55" x14ac:dyDescent="0.3">
      <c r="E362" s="136">
        <v>20.440000000000001</v>
      </c>
      <c r="F362" s="137">
        <v>18</v>
      </c>
      <c r="G362" s="138" t="s">
        <v>874</v>
      </c>
      <c r="I362" s="136">
        <v>43.05</v>
      </c>
      <c r="J362" s="139">
        <v>3</v>
      </c>
      <c r="K362" s="138">
        <v>1</v>
      </c>
      <c r="M362" s="136">
        <v>20.2</v>
      </c>
      <c r="N362" s="139">
        <v>3</v>
      </c>
      <c r="O362" s="138">
        <v>1</v>
      </c>
      <c r="Q362" s="136">
        <v>42.4</v>
      </c>
      <c r="R362" s="139">
        <v>16</v>
      </c>
      <c r="S362" s="138">
        <v>98</v>
      </c>
      <c r="U362" s="136">
        <v>20.21</v>
      </c>
      <c r="V362" s="139">
        <v>9</v>
      </c>
      <c r="W362" s="138">
        <v>37</v>
      </c>
      <c r="Y362" s="136">
        <v>20.18</v>
      </c>
      <c r="Z362" s="139">
        <v>2</v>
      </c>
      <c r="AA362" s="138" t="s">
        <v>883</v>
      </c>
      <c r="AC362" s="136">
        <v>20.28</v>
      </c>
      <c r="AD362" s="139">
        <v>12</v>
      </c>
      <c r="AE362" s="138">
        <v>75</v>
      </c>
      <c r="AG362" s="136">
        <v>20.420000000000002</v>
      </c>
      <c r="AH362" s="137">
        <v>4</v>
      </c>
      <c r="AI362" s="138">
        <v>2</v>
      </c>
      <c r="AK362" s="136">
        <v>20.3</v>
      </c>
      <c r="AL362" s="139">
        <v>12</v>
      </c>
      <c r="AM362" s="138">
        <v>75</v>
      </c>
      <c r="AO362" s="136">
        <v>42.27</v>
      </c>
      <c r="AP362" s="139">
        <v>16</v>
      </c>
      <c r="AQ362" s="138">
        <v>98</v>
      </c>
      <c r="AS362" s="136">
        <v>20.190000000000001</v>
      </c>
      <c r="AT362" s="139">
        <v>3</v>
      </c>
      <c r="AU362" s="138">
        <v>1</v>
      </c>
      <c r="AW362" s="136">
        <v>42.37</v>
      </c>
      <c r="AX362" s="139">
        <v>16</v>
      </c>
      <c r="AY362" s="138">
        <v>98</v>
      </c>
      <c r="BA362" s="136">
        <v>21.07</v>
      </c>
      <c r="BB362" s="139">
        <v>2</v>
      </c>
      <c r="BC362" s="138" t="s">
        <v>883</v>
      </c>
    </row>
    <row r="363" spans="5:55" x14ac:dyDescent="0.3">
      <c r="E363" s="136">
        <v>20.47</v>
      </c>
      <c r="F363" s="137">
        <v>19</v>
      </c>
      <c r="G363" s="138" t="s">
        <v>874</v>
      </c>
      <c r="I363" s="136">
        <v>43.06</v>
      </c>
      <c r="J363" s="139">
        <v>4</v>
      </c>
      <c r="K363" s="138">
        <v>2</v>
      </c>
      <c r="M363" s="136">
        <v>20.239999999999998</v>
      </c>
      <c r="N363" s="139">
        <v>4</v>
      </c>
      <c r="O363" s="138">
        <v>2</v>
      </c>
      <c r="Q363" s="136">
        <v>42.42</v>
      </c>
      <c r="R363" s="139">
        <v>17</v>
      </c>
      <c r="S363" s="138">
        <v>99</v>
      </c>
      <c r="U363" s="136">
        <v>20.23</v>
      </c>
      <c r="V363" s="139">
        <v>10</v>
      </c>
      <c r="W363" s="138">
        <v>50</v>
      </c>
      <c r="Y363" s="136">
        <v>20.190000000000001</v>
      </c>
      <c r="Z363" s="139">
        <v>3</v>
      </c>
      <c r="AA363" s="138">
        <v>1</v>
      </c>
      <c r="AC363" s="136">
        <v>20.29</v>
      </c>
      <c r="AD363" s="139">
        <v>13</v>
      </c>
      <c r="AE363" s="138">
        <v>85</v>
      </c>
      <c r="AG363" s="136">
        <v>20.440000000000001</v>
      </c>
      <c r="AH363" s="137">
        <v>5</v>
      </c>
      <c r="AI363" s="138">
        <v>5</v>
      </c>
      <c r="AK363" s="136">
        <v>20.309999999999999</v>
      </c>
      <c r="AL363" s="139">
        <v>13</v>
      </c>
      <c r="AM363" s="138">
        <v>85</v>
      </c>
      <c r="AO363" s="136">
        <v>42.28</v>
      </c>
      <c r="AP363" s="139">
        <v>17</v>
      </c>
      <c r="AQ363" s="138">
        <v>99</v>
      </c>
      <c r="AS363" s="136">
        <v>20.2</v>
      </c>
      <c r="AT363" s="139">
        <v>4</v>
      </c>
      <c r="AU363" s="138">
        <v>2</v>
      </c>
      <c r="AW363" s="136">
        <v>42.39</v>
      </c>
      <c r="AX363" s="139">
        <v>17</v>
      </c>
      <c r="AY363" s="138">
        <v>99</v>
      </c>
      <c r="BA363" s="136">
        <v>21.08</v>
      </c>
      <c r="BB363" s="139">
        <v>3</v>
      </c>
      <c r="BC363" s="138">
        <v>1</v>
      </c>
    </row>
    <row r="364" spans="5:55" x14ac:dyDescent="0.3">
      <c r="E364" s="136">
        <v>21</v>
      </c>
      <c r="F364" s="137">
        <v>1</v>
      </c>
      <c r="G364" s="138" t="s">
        <v>862</v>
      </c>
      <c r="I364" s="136">
        <v>43.08</v>
      </c>
      <c r="J364" s="139">
        <v>5</v>
      </c>
      <c r="K364" s="138">
        <v>5</v>
      </c>
      <c r="M364" s="136">
        <v>20.260000000000002</v>
      </c>
      <c r="N364" s="139">
        <v>5</v>
      </c>
      <c r="O364" s="138">
        <v>5</v>
      </c>
      <c r="Q364" s="136">
        <v>42.44</v>
      </c>
      <c r="R364" s="139">
        <v>18</v>
      </c>
      <c r="S364" s="138" t="s">
        <v>884</v>
      </c>
      <c r="U364" s="136">
        <v>20.25</v>
      </c>
      <c r="V364" s="139">
        <v>11</v>
      </c>
      <c r="W364" s="138">
        <v>63</v>
      </c>
      <c r="Y364" s="136">
        <v>20.2</v>
      </c>
      <c r="Z364" s="139">
        <v>4</v>
      </c>
      <c r="AA364" s="138">
        <v>2</v>
      </c>
      <c r="AC364" s="136">
        <v>20.309999999999999</v>
      </c>
      <c r="AD364" s="139">
        <v>14</v>
      </c>
      <c r="AE364" s="138">
        <v>91</v>
      </c>
      <c r="AG364" s="136">
        <v>20.45</v>
      </c>
      <c r="AH364" s="137">
        <v>6</v>
      </c>
      <c r="AI364" s="138">
        <v>9</v>
      </c>
      <c r="AK364" s="136">
        <v>20.32</v>
      </c>
      <c r="AL364" s="139">
        <v>14</v>
      </c>
      <c r="AM364" s="138">
        <v>91</v>
      </c>
      <c r="AO364" s="136">
        <v>42.3</v>
      </c>
      <c r="AP364" s="139">
        <v>18</v>
      </c>
      <c r="AQ364" s="138" t="s">
        <v>884</v>
      </c>
      <c r="AS364" s="136">
        <v>20.22</v>
      </c>
      <c r="AT364" s="139">
        <v>5</v>
      </c>
      <c r="AU364" s="138">
        <v>5</v>
      </c>
      <c r="AW364" s="136">
        <v>42.41</v>
      </c>
      <c r="AX364" s="139">
        <v>18</v>
      </c>
      <c r="AY364" s="138" t="s">
        <v>884</v>
      </c>
      <c r="BA364" s="136">
        <v>21.09</v>
      </c>
      <c r="BB364" s="139">
        <v>4</v>
      </c>
      <c r="BC364" s="138">
        <v>2</v>
      </c>
    </row>
    <row r="365" spans="5:55" x14ac:dyDescent="0.3">
      <c r="E365" s="136">
        <v>21.19</v>
      </c>
      <c r="F365" s="137">
        <v>2</v>
      </c>
      <c r="G365" s="138" t="s">
        <v>862</v>
      </c>
      <c r="I365" s="136">
        <v>43.1</v>
      </c>
      <c r="J365" s="139">
        <v>6</v>
      </c>
      <c r="K365" s="138">
        <v>9</v>
      </c>
      <c r="M365" s="136">
        <v>20.28</v>
      </c>
      <c r="N365" s="139">
        <v>6</v>
      </c>
      <c r="O365" s="138">
        <v>9</v>
      </c>
      <c r="Q365" s="136">
        <v>42.45</v>
      </c>
      <c r="R365" s="139">
        <v>19</v>
      </c>
      <c r="S365" s="138" t="s">
        <v>884</v>
      </c>
      <c r="U365" s="136">
        <v>20.27</v>
      </c>
      <c r="V365" s="139">
        <v>12</v>
      </c>
      <c r="W365" s="138">
        <v>75</v>
      </c>
      <c r="Y365" s="136">
        <v>20.21</v>
      </c>
      <c r="Z365" s="139">
        <v>5</v>
      </c>
      <c r="AA365" s="138">
        <v>5</v>
      </c>
      <c r="AC365" s="136">
        <v>20.32</v>
      </c>
      <c r="AD365" s="139">
        <v>15</v>
      </c>
      <c r="AE365" s="138">
        <v>95</v>
      </c>
      <c r="AG365" s="136">
        <v>20.47</v>
      </c>
      <c r="AH365" s="137">
        <v>7</v>
      </c>
      <c r="AI365" s="138">
        <v>16</v>
      </c>
      <c r="AK365" s="136">
        <v>20.329999999999998</v>
      </c>
      <c r="AL365" s="139">
        <v>15</v>
      </c>
      <c r="AM365" s="138">
        <v>95</v>
      </c>
      <c r="AO365" s="136">
        <v>42.32</v>
      </c>
      <c r="AP365" s="139">
        <v>19</v>
      </c>
      <c r="AQ365" s="138" t="s">
        <v>884</v>
      </c>
      <c r="AS365" s="136">
        <v>20.239999999999998</v>
      </c>
      <c r="AT365" s="139">
        <v>6</v>
      </c>
      <c r="AU365" s="138">
        <v>9</v>
      </c>
      <c r="AW365" s="136">
        <v>42.45</v>
      </c>
      <c r="AX365" s="139">
        <v>19</v>
      </c>
      <c r="AY365" s="138" t="s">
        <v>884</v>
      </c>
      <c r="BA365" s="136">
        <v>21.1</v>
      </c>
      <c r="BB365" s="139">
        <v>5</v>
      </c>
      <c r="BC365" s="138">
        <v>5</v>
      </c>
    </row>
    <row r="366" spans="5:55" x14ac:dyDescent="0.3">
      <c r="E366" s="136">
        <v>21.21</v>
      </c>
      <c r="F366" s="137">
        <v>3</v>
      </c>
      <c r="G366" s="138" t="s">
        <v>876</v>
      </c>
      <c r="I366" s="136">
        <v>43.11</v>
      </c>
      <c r="J366" s="139">
        <v>7</v>
      </c>
      <c r="K366" s="138">
        <v>16</v>
      </c>
      <c r="M366" s="136">
        <v>20.3</v>
      </c>
      <c r="N366" s="139">
        <v>7</v>
      </c>
      <c r="O366" s="138">
        <v>16</v>
      </c>
      <c r="Q366" s="136">
        <v>43</v>
      </c>
      <c r="R366" s="139">
        <v>1</v>
      </c>
      <c r="S366" s="138" t="s">
        <v>883</v>
      </c>
      <c r="U366" s="136">
        <v>20.3</v>
      </c>
      <c r="V366" s="139">
        <v>13</v>
      </c>
      <c r="W366" s="138">
        <v>85</v>
      </c>
      <c r="Y366" s="136">
        <v>20.22</v>
      </c>
      <c r="Z366" s="139">
        <v>6</v>
      </c>
      <c r="AA366" s="138">
        <v>9</v>
      </c>
      <c r="AC366" s="136">
        <v>20.329999999999998</v>
      </c>
      <c r="AD366" s="139">
        <v>16</v>
      </c>
      <c r="AE366" s="138">
        <v>98</v>
      </c>
      <c r="AG366" s="136">
        <v>20.49</v>
      </c>
      <c r="AH366" s="137">
        <v>8</v>
      </c>
      <c r="AI366" s="138">
        <v>25</v>
      </c>
      <c r="AK366" s="136">
        <v>20.34</v>
      </c>
      <c r="AL366" s="139">
        <v>16</v>
      </c>
      <c r="AM366" s="138">
        <v>98</v>
      </c>
      <c r="AO366" s="136">
        <v>43</v>
      </c>
      <c r="AP366" s="139">
        <v>1</v>
      </c>
      <c r="AQ366" s="138" t="s">
        <v>883</v>
      </c>
      <c r="AS366" s="136">
        <v>20.25</v>
      </c>
      <c r="AT366" s="139">
        <v>7</v>
      </c>
      <c r="AU366" s="138">
        <v>16</v>
      </c>
      <c r="AW366" s="136">
        <v>43</v>
      </c>
      <c r="AX366" s="139">
        <v>1</v>
      </c>
      <c r="AY366" s="138" t="s">
        <v>883</v>
      </c>
      <c r="BA366" s="136">
        <v>21.11</v>
      </c>
      <c r="BB366" s="139">
        <v>6</v>
      </c>
      <c r="BC366" s="138">
        <v>9</v>
      </c>
    </row>
    <row r="367" spans="5:55" x14ac:dyDescent="0.3">
      <c r="E367" s="136">
        <v>21.23</v>
      </c>
      <c r="F367" s="137">
        <v>4</v>
      </c>
      <c r="G367" s="138" t="s">
        <v>863</v>
      </c>
      <c r="I367" s="136">
        <v>43.13</v>
      </c>
      <c r="J367" s="139">
        <v>8</v>
      </c>
      <c r="K367" s="138">
        <v>25</v>
      </c>
      <c r="M367" s="136">
        <v>20.32</v>
      </c>
      <c r="N367" s="139">
        <v>8</v>
      </c>
      <c r="O367" s="138">
        <v>25</v>
      </c>
      <c r="Q367" s="136">
        <v>43.07</v>
      </c>
      <c r="R367" s="139">
        <v>2</v>
      </c>
      <c r="S367" s="138" t="s">
        <v>883</v>
      </c>
      <c r="U367" s="136">
        <v>20.32</v>
      </c>
      <c r="V367" s="139">
        <v>14</v>
      </c>
      <c r="W367" s="138">
        <v>91</v>
      </c>
      <c r="Y367" s="136">
        <v>20.23</v>
      </c>
      <c r="Z367" s="139">
        <v>7</v>
      </c>
      <c r="AA367" s="138">
        <v>16</v>
      </c>
      <c r="AC367" s="136">
        <v>20.34</v>
      </c>
      <c r="AD367" s="139">
        <v>17</v>
      </c>
      <c r="AE367" s="138">
        <v>99</v>
      </c>
      <c r="AG367" s="136">
        <v>20.51</v>
      </c>
      <c r="AH367" s="137">
        <v>9</v>
      </c>
      <c r="AI367" s="138">
        <v>37</v>
      </c>
      <c r="AK367" s="136">
        <v>20.350000000000001</v>
      </c>
      <c r="AL367" s="139">
        <v>17</v>
      </c>
      <c r="AM367" s="138">
        <v>99</v>
      </c>
      <c r="AO367" s="136">
        <v>43.11</v>
      </c>
      <c r="AP367" s="139">
        <v>2</v>
      </c>
      <c r="AQ367" s="138" t="s">
        <v>883</v>
      </c>
      <c r="AS367" s="136">
        <v>20.27</v>
      </c>
      <c r="AT367" s="139">
        <v>8</v>
      </c>
      <c r="AU367" s="138">
        <v>25</v>
      </c>
      <c r="AW367" s="136">
        <v>43.08</v>
      </c>
      <c r="AX367" s="139">
        <v>2</v>
      </c>
      <c r="AY367" s="138" t="s">
        <v>883</v>
      </c>
      <c r="BA367" s="136">
        <v>21.12</v>
      </c>
      <c r="BB367" s="139">
        <v>7</v>
      </c>
      <c r="BC367" s="138">
        <v>16</v>
      </c>
    </row>
    <row r="368" spans="5:55" x14ac:dyDescent="0.3">
      <c r="E368" s="136">
        <v>21.25</v>
      </c>
      <c r="F368" s="137">
        <v>5</v>
      </c>
      <c r="G368" s="138" t="s">
        <v>877</v>
      </c>
      <c r="I368" s="136">
        <v>43.15</v>
      </c>
      <c r="J368" s="139">
        <v>9</v>
      </c>
      <c r="K368" s="138">
        <v>37</v>
      </c>
      <c r="M368" s="136">
        <v>20.34</v>
      </c>
      <c r="N368" s="139">
        <v>9</v>
      </c>
      <c r="O368" s="138">
        <v>37</v>
      </c>
      <c r="Q368" s="136">
        <v>43.15</v>
      </c>
      <c r="R368" s="139">
        <v>3</v>
      </c>
      <c r="S368" s="138">
        <v>1</v>
      </c>
      <c r="U368" s="136">
        <v>20.34</v>
      </c>
      <c r="V368" s="139">
        <v>15</v>
      </c>
      <c r="W368" s="138">
        <v>95</v>
      </c>
      <c r="Y368" s="136">
        <v>20.239999999999998</v>
      </c>
      <c r="Z368" s="139">
        <v>8</v>
      </c>
      <c r="AA368" s="138">
        <v>25</v>
      </c>
      <c r="AC368" s="136">
        <v>20.350000000000001</v>
      </c>
      <c r="AD368" s="139">
        <v>18</v>
      </c>
      <c r="AE368" s="138" t="s">
        <v>884</v>
      </c>
      <c r="AG368" s="136">
        <v>20.53</v>
      </c>
      <c r="AH368" s="137">
        <v>10</v>
      </c>
      <c r="AI368" s="138">
        <v>50</v>
      </c>
      <c r="AK368" s="136">
        <v>20.37</v>
      </c>
      <c r="AL368" s="139">
        <v>18</v>
      </c>
      <c r="AM368" s="138" t="s">
        <v>884</v>
      </c>
      <c r="AO368" s="136">
        <v>43.12</v>
      </c>
      <c r="AP368" s="139">
        <v>3</v>
      </c>
      <c r="AQ368" s="138">
        <v>1</v>
      </c>
      <c r="AS368" s="136">
        <v>20.29</v>
      </c>
      <c r="AT368" s="139">
        <v>9</v>
      </c>
      <c r="AU368" s="138">
        <v>37</v>
      </c>
      <c r="AW368" s="136">
        <v>43.1</v>
      </c>
      <c r="AX368" s="139">
        <v>3</v>
      </c>
      <c r="AY368" s="138">
        <v>1</v>
      </c>
      <c r="BA368" s="136">
        <v>21.13</v>
      </c>
      <c r="BB368" s="139">
        <v>8</v>
      </c>
      <c r="BC368" s="138">
        <v>25</v>
      </c>
    </row>
    <row r="369" spans="5:55" x14ac:dyDescent="0.3">
      <c r="E369" s="136">
        <v>21.26</v>
      </c>
      <c r="F369" s="137">
        <v>6</v>
      </c>
      <c r="G369" s="138" t="s">
        <v>864</v>
      </c>
      <c r="I369" s="136">
        <v>43.16</v>
      </c>
      <c r="J369" s="139">
        <v>10</v>
      </c>
      <c r="K369" s="138">
        <v>50</v>
      </c>
      <c r="M369" s="136">
        <v>20.350000000000001</v>
      </c>
      <c r="N369" s="139">
        <v>10</v>
      </c>
      <c r="O369" s="138">
        <v>50</v>
      </c>
      <c r="Q369" s="136">
        <v>43.17</v>
      </c>
      <c r="R369" s="139">
        <v>4</v>
      </c>
      <c r="S369" s="138">
        <v>2</v>
      </c>
      <c r="U369" s="136">
        <v>20.36</v>
      </c>
      <c r="V369" s="139">
        <v>16</v>
      </c>
      <c r="W369" s="138">
        <v>98</v>
      </c>
      <c r="Y369" s="136">
        <v>20.260000000000002</v>
      </c>
      <c r="Z369" s="139">
        <v>9</v>
      </c>
      <c r="AA369" s="138">
        <v>37</v>
      </c>
      <c r="AC369" s="136">
        <v>20.38</v>
      </c>
      <c r="AD369" s="139">
        <v>19</v>
      </c>
      <c r="AE369" s="138" t="s">
        <v>884</v>
      </c>
      <c r="AG369" s="136">
        <v>20.55</v>
      </c>
      <c r="AH369" s="137">
        <v>11</v>
      </c>
      <c r="AI369" s="138">
        <v>63</v>
      </c>
      <c r="AK369" s="136">
        <v>20.38</v>
      </c>
      <c r="AL369" s="139">
        <v>19</v>
      </c>
      <c r="AM369" s="138" t="s">
        <v>884</v>
      </c>
      <c r="AO369" s="136">
        <v>43.14</v>
      </c>
      <c r="AP369" s="139">
        <v>4</v>
      </c>
      <c r="AQ369" s="138">
        <v>2</v>
      </c>
      <c r="AS369" s="136">
        <v>20.3</v>
      </c>
      <c r="AT369" s="139">
        <v>10</v>
      </c>
      <c r="AU369" s="138">
        <v>50</v>
      </c>
      <c r="AW369" s="136">
        <v>43.12</v>
      </c>
      <c r="AX369" s="139">
        <v>4</v>
      </c>
      <c r="AY369" s="138">
        <v>2</v>
      </c>
      <c r="BA369" s="136">
        <v>21.14</v>
      </c>
      <c r="BB369" s="139">
        <v>9</v>
      </c>
      <c r="BC369" s="138">
        <v>37</v>
      </c>
    </row>
    <row r="370" spans="5:55" x14ac:dyDescent="0.3">
      <c r="E370" s="136">
        <v>21.28</v>
      </c>
      <c r="F370" s="137">
        <v>7</v>
      </c>
      <c r="G370" s="138" t="s">
        <v>878</v>
      </c>
      <c r="I370" s="136">
        <v>43.18</v>
      </c>
      <c r="J370" s="139">
        <v>11</v>
      </c>
      <c r="K370" s="138">
        <v>63</v>
      </c>
      <c r="M370" s="136">
        <v>20.37</v>
      </c>
      <c r="N370" s="139">
        <v>11</v>
      </c>
      <c r="O370" s="138">
        <v>63</v>
      </c>
      <c r="Q370" s="136">
        <v>43.2</v>
      </c>
      <c r="R370" s="139">
        <v>5</v>
      </c>
      <c r="S370" s="138">
        <v>5</v>
      </c>
      <c r="U370" s="136">
        <v>20.38</v>
      </c>
      <c r="V370" s="139">
        <v>17</v>
      </c>
      <c r="W370" s="138">
        <v>99</v>
      </c>
      <c r="Y370" s="136">
        <v>20.27</v>
      </c>
      <c r="Z370" s="139">
        <v>10</v>
      </c>
      <c r="AA370" s="138">
        <v>50</v>
      </c>
      <c r="AC370" s="136">
        <v>21</v>
      </c>
      <c r="AD370" s="139">
        <v>1</v>
      </c>
      <c r="AE370" s="138" t="s">
        <v>883</v>
      </c>
      <c r="AG370" s="136">
        <v>20.57</v>
      </c>
      <c r="AH370" s="137">
        <v>12</v>
      </c>
      <c r="AI370" s="138">
        <v>75</v>
      </c>
      <c r="AK370" s="136">
        <v>21</v>
      </c>
      <c r="AL370" s="139">
        <v>1</v>
      </c>
      <c r="AM370" s="138" t="s">
        <v>883</v>
      </c>
      <c r="AO370" s="136">
        <v>43.15</v>
      </c>
      <c r="AP370" s="139">
        <v>5</v>
      </c>
      <c r="AQ370" s="138">
        <v>5</v>
      </c>
      <c r="AS370" s="136">
        <v>20.32</v>
      </c>
      <c r="AT370" s="139">
        <v>11</v>
      </c>
      <c r="AU370" s="138">
        <v>63</v>
      </c>
      <c r="AW370" s="136">
        <v>43.14</v>
      </c>
      <c r="AX370" s="139">
        <v>5</v>
      </c>
      <c r="AY370" s="138">
        <v>5</v>
      </c>
      <c r="BA370" s="136">
        <v>21.15</v>
      </c>
      <c r="BB370" s="139">
        <v>10</v>
      </c>
      <c r="BC370" s="138">
        <v>50</v>
      </c>
    </row>
    <row r="371" spans="5:55" x14ac:dyDescent="0.3">
      <c r="E371" s="136">
        <v>21.290000000000003</v>
      </c>
      <c r="F371" s="137">
        <v>8</v>
      </c>
      <c r="G371" s="138" t="s">
        <v>865</v>
      </c>
      <c r="I371" s="136">
        <v>43.2</v>
      </c>
      <c r="J371" s="139">
        <v>12</v>
      </c>
      <c r="K371" s="138">
        <v>75</v>
      </c>
      <c r="M371" s="136">
        <v>20.39</v>
      </c>
      <c r="N371" s="139">
        <v>12</v>
      </c>
      <c r="O371" s="138">
        <v>75</v>
      </c>
      <c r="Q371" s="136">
        <v>43.22</v>
      </c>
      <c r="R371" s="139">
        <v>6</v>
      </c>
      <c r="S371" s="138">
        <v>9</v>
      </c>
      <c r="U371" s="136">
        <v>20.399999999999999</v>
      </c>
      <c r="V371" s="139">
        <v>18</v>
      </c>
      <c r="W371" s="138" t="s">
        <v>884</v>
      </c>
      <c r="Y371" s="136">
        <v>20.28</v>
      </c>
      <c r="Z371" s="139">
        <v>11</v>
      </c>
      <c r="AA371" s="138">
        <v>63</v>
      </c>
      <c r="AC371" s="136">
        <v>21.16</v>
      </c>
      <c r="AD371" s="139">
        <v>2</v>
      </c>
      <c r="AE371" s="138" t="s">
        <v>883</v>
      </c>
      <c r="AG371" s="136">
        <v>20.59</v>
      </c>
      <c r="AH371" s="137">
        <v>13</v>
      </c>
      <c r="AI371" s="138">
        <v>85</v>
      </c>
      <c r="AK371" s="136">
        <v>21.2</v>
      </c>
      <c r="AL371" s="139">
        <v>2</v>
      </c>
      <c r="AM371" s="138" t="s">
        <v>883</v>
      </c>
      <c r="AO371" s="136">
        <v>43.16</v>
      </c>
      <c r="AP371" s="139">
        <v>6</v>
      </c>
      <c r="AQ371" s="138">
        <v>9</v>
      </c>
      <c r="AS371" s="136">
        <v>20.34</v>
      </c>
      <c r="AT371" s="139">
        <v>12</v>
      </c>
      <c r="AU371" s="138">
        <v>75</v>
      </c>
      <c r="AW371" s="136">
        <v>43.16</v>
      </c>
      <c r="AX371" s="139">
        <v>6</v>
      </c>
      <c r="AY371" s="138">
        <v>9</v>
      </c>
      <c r="BA371" s="136">
        <v>21.16</v>
      </c>
      <c r="BB371" s="139">
        <v>11</v>
      </c>
      <c r="BC371" s="138">
        <v>63</v>
      </c>
    </row>
    <row r="372" spans="5:55" x14ac:dyDescent="0.3">
      <c r="E372" s="136">
        <v>21.31</v>
      </c>
      <c r="F372" s="137">
        <v>9</v>
      </c>
      <c r="G372" s="138" t="s">
        <v>879</v>
      </c>
      <c r="I372" s="136">
        <v>43.22</v>
      </c>
      <c r="J372" s="139">
        <v>13</v>
      </c>
      <c r="K372" s="138">
        <v>85</v>
      </c>
      <c r="M372" s="136">
        <v>20.399999999999999</v>
      </c>
      <c r="N372" s="139">
        <v>13</v>
      </c>
      <c r="O372" s="138">
        <v>85</v>
      </c>
      <c r="Q372" s="136">
        <v>43.24</v>
      </c>
      <c r="R372" s="139">
        <v>7</v>
      </c>
      <c r="S372" s="138">
        <v>16</v>
      </c>
      <c r="U372" s="136">
        <v>20.43</v>
      </c>
      <c r="V372" s="139">
        <v>19</v>
      </c>
      <c r="W372" s="138" t="s">
        <v>884</v>
      </c>
      <c r="Y372" s="136">
        <v>20.29</v>
      </c>
      <c r="Z372" s="139">
        <v>12</v>
      </c>
      <c r="AA372" s="138">
        <v>75</v>
      </c>
      <c r="AC372" s="136">
        <v>21.17</v>
      </c>
      <c r="AD372" s="139">
        <v>3</v>
      </c>
      <c r="AE372" s="138">
        <v>1</v>
      </c>
      <c r="AG372" s="136">
        <v>20.61</v>
      </c>
      <c r="AH372" s="137">
        <v>14</v>
      </c>
      <c r="AI372" s="138">
        <v>91</v>
      </c>
      <c r="AK372" s="136">
        <v>21.21</v>
      </c>
      <c r="AL372" s="139">
        <v>3</v>
      </c>
      <c r="AM372" s="138">
        <v>1</v>
      </c>
      <c r="AO372" s="136">
        <v>43.17</v>
      </c>
      <c r="AP372" s="139">
        <v>7</v>
      </c>
      <c r="AQ372" s="138">
        <v>16</v>
      </c>
      <c r="AS372" s="136">
        <v>20.350000000000001</v>
      </c>
      <c r="AT372" s="139">
        <v>13</v>
      </c>
      <c r="AU372" s="138">
        <v>85</v>
      </c>
      <c r="AW372" s="136">
        <v>43.18</v>
      </c>
      <c r="AX372" s="139">
        <v>7</v>
      </c>
      <c r="AY372" s="138">
        <v>16</v>
      </c>
      <c r="BA372" s="136">
        <v>21.17</v>
      </c>
      <c r="BB372" s="139">
        <v>12</v>
      </c>
      <c r="BC372" s="138">
        <v>75</v>
      </c>
    </row>
    <row r="373" spans="5:55" x14ac:dyDescent="0.3">
      <c r="E373" s="136">
        <v>21.33</v>
      </c>
      <c r="F373" s="137">
        <v>10</v>
      </c>
      <c r="G373" s="138" t="s">
        <v>866</v>
      </c>
      <c r="I373" s="136">
        <v>43.24</v>
      </c>
      <c r="J373" s="139">
        <v>14</v>
      </c>
      <c r="K373" s="138">
        <v>91</v>
      </c>
      <c r="M373" s="136">
        <v>20.420000000000002</v>
      </c>
      <c r="N373" s="139">
        <v>14</v>
      </c>
      <c r="O373" s="138">
        <v>91</v>
      </c>
      <c r="Q373" s="136">
        <v>43.26</v>
      </c>
      <c r="R373" s="139">
        <v>8</v>
      </c>
      <c r="S373" s="138">
        <v>25</v>
      </c>
      <c r="U373" s="136">
        <v>21</v>
      </c>
      <c r="V373" s="139">
        <v>1</v>
      </c>
      <c r="W373" s="138" t="s">
        <v>883</v>
      </c>
      <c r="Y373" s="136">
        <v>20.3</v>
      </c>
      <c r="Z373" s="139">
        <v>13</v>
      </c>
      <c r="AA373" s="138">
        <v>85</v>
      </c>
      <c r="AC373" s="136">
        <v>21.19</v>
      </c>
      <c r="AD373" s="139">
        <v>4</v>
      </c>
      <c r="AE373" s="138">
        <v>2</v>
      </c>
      <c r="AG373" s="136">
        <v>20.63</v>
      </c>
      <c r="AH373" s="137">
        <v>15</v>
      </c>
      <c r="AI373" s="138">
        <v>95</v>
      </c>
      <c r="AK373" s="136">
        <v>21.22</v>
      </c>
      <c r="AL373" s="139">
        <v>4</v>
      </c>
      <c r="AM373" s="138">
        <v>2</v>
      </c>
      <c r="AO373" s="136">
        <v>43.19</v>
      </c>
      <c r="AP373" s="139">
        <v>8</v>
      </c>
      <c r="AQ373" s="138">
        <v>25</v>
      </c>
      <c r="AS373" s="136">
        <v>20.37</v>
      </c>
      <c r="AT373" s="139">
        <v>14</v>
      </c>
      <c r="AU373" s="138">
        <v>91</v>
      </c>
      <c r="AW373" s="136">
        <v>43.2</v>
      </c>
      <c r="AX373" s="139">
        <v>8</v>
      </c>
      <c r="AY373" s="138">
        <v>25</v>
      </c>
      <c r="BA373" s="136">
        <v>21.18</v>
      </c>
      <c r="BB373" s="139">
        <v>13</v>
      </c>
      <c r="BC373" s="138">
        <v>85</v>
      </c>
    </row>
    <row r="374" spans="5:55" x14ac:dyDescent="0.3">
      <c r="E374" s="136">
        <v>21.34</v>
      </c>
      <c r="F374" s="137">
        <v>11</v>
      </c>
      <c r="G374" s="138" t="s">
        <v>867</v>
      </c>
      <c r="I374" s="136">
        <v>43.26</v>
      </c>
      <c r="J374" s="139">
        <v>15</v>
      </c>
      <c r="K374" s="138">
        <v>95</v>
      </c>
      <c r="M374" s="136">
        <v>20.440000000000001</v>
      </c>
      <c r="N374" s="139">
        <v>15</v>
      </c>
      <c r="O374" s="138">
        <v>95</v>
      </c>
      <c r="Q374" s="136">
        <v>43.28</v>
      </c>
      <c r="R374" s="139">
        <v>9</v>
      </c>
      <c r="S374" s="138">
        <v>37</v>
      </c>
      <c r="U374" s="136">
        <v>21.08</v>
      </c>
      <c r="V374" s="139">
        <v>2</v>
      </c>
      <c r="W374" s="138" t="s">
        <v>883</v>
      </c>
      <c r="Y374" s="136">
        <v>20.309999999999999</v>
      </c>
      <c r="Z374" s="139">
        <v>14</v>
      </c>
      <c r="AA374" s="138">
        <v>91</v>
      </c>
      <c r="AC374" s="136">
        <v>21.2</v>
      </c>
      <c r="AD374" s="139">
        <v>5</v>
      </c>
      <c r="AE374" s="138">
        <v>5</v>
      </c>
      <c r="AG374" s="136">
        <v>20.65</v>
      </c>
      <c r="AH374" s="137">
        <v>16</v>
      </c>
      <c r="AI374" s="138">
        <v>98</v>
      </c>
      <c r="AK374" s="136">
        <v>21.23</v>
      </c>
      <c r="AL374" s="139">
        <v>5</v>
      </c>
      <c r="AM374" s="138">
        <v>5</v>
      </c>
      <c r="AO374" s="136">
        <v>43.2</v>
      </c>
      <c r="AP374" s="139">
        <v>9</v>
      </c>
      <c r="AQ374" s="138">
        <v>37</v>
      </c>
      <c r="AS374" s="136">
        <v>20.39</v>
      </c>
      <c r="AT374" s="139">
        <v>15</v>
      </c>
      <c r="AU374" s="138">
        <v>95</v>
      </c>
      <c r="AW374" s="136">
        <v>43.22</v>
      </c>
      <c r="AX374" s="139">
        <v>9</v>
      </c>
      <c r="AY374" s="138">
        <v>37</v>
      </c>
      <c r="BA374" s="136">
        <v>21.19</v>
      </c>
      <c r="BB374" s="139">
        <v>14</v>
      </c>
      <c r="BC374" s="138">
        <v>91</v>
      </c>
    </row>
    <row r="375" spans="5:55" x14ac:dyDescent="0.3">
      <c r="E375" s="136">
        <v>21.35</v>
      </c>
      <c r="F375" s="137">
        <v>12</v>
      </c>
      <c r="G375" s="138" t="s">
        <v>868</v>
      </c>
      <c r="I375" s="136">
        <v>43.28</v>
      </c>
      <c r="J375" s="139">
        <v>16</v>
      </c>
      <c r="K375" s="138">
        <v>98</v>
      </c>
      <c r="M375" s="136">
        <v>20.46</v>
      </c>
      <c r="N375" s="139">
        <v>16</v>
      </c>
      <c r="O375" s="138">
        <v>98</v>
      </c>
      <c r="Q375" s="136">
        <v>43.3</v>
      </c>
      <c r="R375" s="139">
        <v>10</v>
      </c>
      <c r="S375" s="138">
        <v>50</v>
      </c>
      <c r="U375" s="136">
        <v>21.1</v>
      </c>
      <c r="V375" s="139">
        <v>3</v>
      </c>
      <c r="W375" s="138">
        <v>1</v>
      </c>
      <c r="Y375" s="136">
        <v>20.32</v>
      </c>
      <c r="Z375" s="139">
        <v>15</v>
      </c>
      <c r="AA375" s="138">
        <v>95</v>
      </c>
      <c r="AC375" s="136">
        <v>21.21</v>
      </c>
      <c r="AD375" s="139">
        <v>6</v>
      </c>
      <c r="AE375" s="138">
        <v>9</v>
      </c>
      <c r="AG375" s="136">
        <v>20.67</v>
      </c>
      <c r="AH375" s="137">
        <v>17</v>
      </c>
      <c r="AI375" s="138">
        <v>99</v>
      </c>
      <c r="AK375" s="136">
        <v>21.24</v>
      </c>
      <c r="AL375" s="139">
        <v>6</v>
      </c>
      <c r="AM375" s="138">
        <v>9</v>
      </c>
      <c r="AO375" s="136">
        <v>43.21</v>
      </c>
      <c r="AP375" s="139">
        <v>10</v>
      </c>
      <c r="AQ375" s="138">
        <v>50</v>
      </c>
      <c r="AS375" s="136">
        <v>20.41</v>
      </c>
      <c r="AT375" s="139">
        <v>16</v>
      </c>
      <c r="AU375" s="138">
        <v>98</v>
      </c>
      <c r="AW375" s="136">
        <v>43.25</v>
      </c>
      <c r="AX375" s="139">
        <v>10</v>
      </c>
      <c r="AY375" s="138">
        <v>50</v>
      </c>
      <c r="BA375" s="136">
        <v>21.2</v>
      </c>
      <c r="BB375" s="139">
        <v>15</v>
      </c>
      <c r="BC375" s="138">
        <v>95</v>
      </c>
    </row>
    <row r="376" spans="5:55" x14ac:dyDescent="0.3">
      <c r="E376" s="136">
        <v>21.37</v>
      </c>
      <c r="F376" s="137">
        <v>13</v>
      </c>
      <c r="G376" s="138" t="s">
        <v>869</v>
      </c>
      <c r="I376" s="136">
        <v>43.3</v>
      </c>
      <c r="J376" s="139">
        <v>17</v>
      </c>
      <c r="K376" s="138">
        <v>99</v>
      </c>
      <c r="M376" s="136">
        <v>20.47</v>
      </c>
      <c r="N376" s="139">
        <v>17</v>
      </c>
      <c r="O376" s="138">
        <v>99</v>
      </c>
      <c r="Q376" s="136">
        <v>43.32</v>
      </c>
      <c r="R376" s="139">
        <v>11</v>
      </c>
      <c r="S376" s="138">
        <v>63</v>
      </c>
      <c r="U376" s="136">
        <v>21.12</v>
      </c>
      <c r="V376" s="139">
        <v>4</v>
      </c>
      <c r="W376" s="138">
        <v>2</v>
      </c>
      <c r="Y376" s="136">
        <v>20.329999999999998</v>
      </c>
      <c r="Z376" s="139">
        <v>16</v>
      </c>
      <c r="AA376" s="138">
        <v>98</v>
      </c>
      <c r="AC376" s="136">
        <v>21.22</v>
      </c>
      <c r="AD376" s="139">
        <v>7</v>
      </c>
      <c r="AE376" s="138">
        <v>16</v>
      </c>
      <c r="AG376" s="136">
        <v>20.69</v>
      </c>
      <c r="AH376" s="137">
        <v>18</v>
      </c>
      <c r="AI376" s="138" t="s">
        <v>884</v>
      </c>
      <c r="AK376" s="136">
        <v>21.26</v>
      </c>
      <c r="AL376" s="139">
        <v>7</v>
      </c>
      <c r="AM376" s="138">
        <v>16</v>
      </c>
      <c r="AO376" s="136">
        <v>43.22</v>
      </c>
      <c r="AP376" s="139">
        <v>11</v>
      </c>
      <c r="AQ376" s="138">
        <v>63</v>
      </c>
      <c r="AS376" s="136">
        <v>20.420000000000002</v>
      </c>
      <c r="AT376" s="139">
        <v>17</v>
      </c>
      <c r="AU376" s="138">
        <v>99</v>
      </c>
      <c r="AW376" s="136">
        <v>43.27</v>
      </c>
      <c r="AX376" s="139">
        <v>11</v>
      </c>
      <c r="AY376" s="138">
        <v>63</v>
      </c>
      <c r="BA376" s="136">
        <v>21.21</v>
      </c>
      <c r="BB376" s="139">
        <v>16</v>
      </c>
      <c r="BC376" s="138">
        <v>98</v>
      </c>
    </row>
    <row r="377" spans="5:55" x14ac:dyDescent="0.3">
      <c r="E377" s="136">
        <v>21.39</v>
      </c>
      <c r="F377" s="137">
        <v>14</v>
      </c>
      <c r="G377" s="138" t="s">
        <v>870</v>
      </c>
      <c r="I377" s="136">
        <v>43.32</v>
      </c>
      <c r="J377" s="139">
        <v>18</v>
      </c>
      <c r="K377" s="138" t="s">
        <v>884</v>
      </c>
      <c r="M377" s="136">
        <v>20.49</v>
      </c>
      <c r="N377" s="139">
        <v>18</v>
      </c>
      <c r="O377" s="138" t="s">
        <v>884</v>
      </c>
      <c r="Q377" s="136">
        <v>43.33</v>
      </c>
      <c r="R377" s="139">
        <v>12</v>
      </c>
      <c r="S377" s="138">
        <v>75</v>
      </c>
      <c r="U377" s="136">
        <v>21.14</v>
      </c>
      <c r="V377" s="139">
        <v>5</v>
      </c>
      <c r="W377" s="138">
        <v>5</v>
      </c>
      <c r="Y377" s="136">
        <v>20.34</v>
      </c>
      <c r="Z377" s="139">
        <v>17</v>
      </c>
      <c r="AA377" s="138">
        <v>99</v>
      </c>
      <c r="AC377" s="136">
        <v>21.23</v>
      </c>
      <c r="AD377" s="139">
        <v>8</v>
      </c>
      <c r="AE377" s="138">
        <v>25</v>
      </c>
      <c r="AG377" s="136">
        <v>20.71</v>
      </c>
      <c r="AH377" s="137">
        <v>19</v>
      </c>
      <c r="AI377" s="138" t="s">
        <v>884</v>
      </c>
      <c r="AK377" s="136">
        <v>21.27</v>
      </c>
      <c r="AL377" s="139">
        <v>8</v>
      </c>
      <c r="AM377" s="138">
        <v>25</v>
      </c>
      <c r="AO377" s="136">
        <v>43.23</v>
      </c>
      <c r="AP377" s="139">
        <v>12</v>
      </c>
      <c r="AQ377" s="138">
        <v>75</v>
      </c>
      <c r="AS377" s="136">
        <v>20.440000000000001</v>
      </c>
      <c r="AT377" s="139">
        <v>18</v>
      </c>
      <c r="AU377" s="138" t="s">
        <v>884</v>
      </c>
      <c r="AW377" s="136">
        <v>43.29</v>
      </c>
      <c r="AX377" s="139">
        <v>12</v>
      </c>
      <c r="AY377" s="138">
        <v>75</v>
      </c>
      <c r="BA377" s="136">
        <v>21.22</v>
      </c>
      <c r="BB377" s="139">
        <v>17</v>
      </c>
      <c r="BC377" s="138">
        <v>99</v>
      </c>
    </row>
    <row r="378" spans="5:55" x14ac:dyDescent="0.3">
      <c r="E378" s="136">
        <v>21.400000000000002</v>
      </c>
      <c r="F378" s="137">
        <v>15</v>
      </c>
      <c r="G378" s="138" t="s">
        <v>871</v>
      </c>
      <c r="I378" s="136">
        <v>43.34</v>
      </c>
      <c r="J378" s="139">
        <v>19</v>
      </c>
      <c r="K378" s="138" t="s">
        <v>884</v>
      </c>
      <c r="M378" s="136">
        <v>20.51</v>
      </c>
      <c r="N378" s="139">
        <v>19</v>
      </c>
      <c r="O378" s="138" t="s">
        <v>884</v>
      </c>
      <c r="Q378" s="136">
        <v>43.35</v>
      </c>
      <c r="R378" s="139">
        <v>13</v>
      </c>
      <c r="S378" s="138">
        <v>85</v>
      </c>
      <c r="U378" s="136">
        <v>21.16</v>
      </c>
      <c r="V378" s="139">
        <v>6</v>
      </c>
      <c r="W378" s="138">
        <v>9</v>
      </c>
      <c r="Y378" s="136">
        <v>20.36</v>
      </c>
      <c r="Z378" s="139">
        <v>18</v>
      </c>
      <c r="AA378" s="138" t="s">
        <v>884</v>
      </c>
      <c r="AC378" s="136">
        <v>21.25</v>
      </c>
      <c r="AD378" s="139">
        <v>9</v>
      </c>
      <c r="AE378" s="138">
        <v>37</v>
      </c>
      <c r="AG378" s="136">
        <v>21</v>
      </c>
      <c r="AH378" s="137">
        <v>1</v>
      </c>
      <c r="AI378" s="138" t="s">
        <v>883</v>
      </c>
      <c r="AK378" s="136">
        <v>21.28</v>
      </c>
      <c r="AL378" s="139">
        <v>9</v>
      </c>
      <c r="AM378" s="138">
        <v>37</v>
      </c>
      <c r="AO378" s="136">
        <v>43.24</v>
      </c>
      <c r="AP378" s="139">
        <v>13</v>
      </c>
      <c r="AQ378" s="138">
        <v>85</v>
      </c>
      <c r="AS378" s="136">
        <v>20.46</v>
      </c>
      <c r="AT378" s="139">
        <v>19</v>
      </c>
      <c r="AU378" s="138" t="s">
        <v>884</v>
      </c>
      <c r="AW378" s="136">
        <v>43.31</v>
      </c>
      <c r="AX378" s="139">
        <v>13</v>
      </c>
      <c r="AY378" s="138">
        <v>85</v>
      </c>
      <c r="BA378" s="136">
        <v>21.23</v>
      </c>
      <c r="BB378" s="139">
        <v>18</v>
      </c>
      <c r="BC378" s="138" t="s">
        <v>884</v>
      </c>
    </row>
    <row r="379" spans="5:55" x14ac:dyDescent="0.3">
      <c r="E379" s="136">
        <v>21.42</v>
      </c>
      <c r="F379" s="137">
        <v>16</v>
      </c>
      <c r="G379" s="138" t="s">
        <v>872</v>
      </c>
      <c r="I379" s="136">
        <v>44</v>
      </c>
      <c r="J379" s="139">
        <v>1</v>
      </c>
      <c r="K379" s="138" t="s">
        <v>883</v>
      </c>
      <c r="M379" s="136">
        <v>21</v>
      </c>
      <c r="N379" s="139">
        <v>1</v>
      </c>
      <c r="O379" s="138" t="s">
        <v>883</v>
      </c>
      <c r="Q379" s="136">
        <v>43.37</v>
      </c>
      <c r="R379" s="139">
        <v>14</v>
      </c>
      <c r="S379" s="138">
        <v>91</v>
      </c>
      <c r="U379" s="136">
        <v>21.18</v>
      </c>
      <c r="V379" s="139">
        <v>7</v>
      </c>
      <c r="W379" s="138">
        <v>16</v>
      </c>
      <c r="Y379" s="136">
        <v>20.37</v>
      </c>
      <c r="Z379" s="139">
        <v>19</v>
      </c>
      <c r="AA379" s="138" t="s">
        <v>884</v>
      </c>
      <c r="AC379" s="136">
        <v>21.26</v>
      </c>
      <c r="AD379" s="139">
        <v>10</v>
      </c>
      <c r="AE379" s="138">
        <v>50</v>
      </c>
      <c r="AG379" s="136">
        <v>21.39</v>
      </c>
      <c r="AH379" s="137">
        <v>2</v>
      </c>
      <c r="AI379" s="138" t="s">
        <v>883</v>
      </c>
      <c r="AK379" s="136">
        <v>21.29</v>
      </c>
      <c r="AL379" s="139">
        <v>10</v>
      </c>
      <c r="AM379" s="138">
        <v>50</v>
      </c>
      <c r="AO379" s="136">
        <v>43.25</v>
      </c>
      <c r="AP379" s="139">
        <v>14</v>
      </c>
      <c r="AQ379" s="138">
        <v>91</v>
      </c>
      <c r="AS379" s="136">
        <v>21</v>
      </c>
      <c r="AT379" s="139">
        <v>1</v>
      </c>
      <c r="AU379" s="138" t="s">
        <v>883</v>
      </c>
      <c r="AW379" s="136">
        <v>43.33</v>
      </c>
      <c r="AX379" s="139">
        <v>14</v>
      </c>
      <c r="AY379" s="138">
        <v>91</v>
      </c>
      <c r="BA379" s="136">
        <v>21.24</v>
      </c>
      <c r="BB379" s="139">
        <v>19</v>
      </c>
      <c r="BC379" s="138" t="s">
        <v>884</v>
      </c>
    </row>
    <row r="380" spans="5:55" x14ac:dyDescent="0.3">
      <c r="E380" s="136">
        <v>21.430000000000003</v>
      </c>
      <c r="F380" s="137">
        <v>17</v>
      </c>
      <c r="G380" s="138" t="s">
        <v>873</v>
      </c>
      <c r="I380" s="136">
        <v>44.03</v>
      </c>
      <c r="J380" s="139">
        <v>2</v>
      </c>
      <c r="K380" s="138" t="s">
        <v>883</v>
      </c>
      <c r="M380" s="136">
        <v>21.18</v>
      </c>
      <c r="N380" s="139">
        <v>2</v>
      </c>
      <c r="O380" s="138" t="s">
        <v>883</v>
      </c>
      <c r="Q380" s="136">
        <v>43.39</v>
      </c>
      <c r="R380" s="139">
        <v>15</v>
      </c>
      <c r="S380" s="138">
        <v>95</v>
      </c>
      <c r="U380" s="136">
        <v>21.2</v>
      </c>
      <c r="V380" s="139">
        <v>8</v>
      </c>
      <c r="W380" s="138">
        <v>25</v>
      </c>
      <c r="Y380" s="136">
        <v>21</v>
      </c>
      <c r="Z380" s="139">
        <v>1</v>
      </c>
      <c r="AA380" s="138" t="s">
        <v>883</v>
      </c>
      <c r="AC380" s="136">
        <v>21.28</v>
      </c>
      <c r="AD380" s="139">
        <v>11</v>
      </c>
      <c r="AE380" s="138">
        <v>63</v>
      </c>
      <c r="AG380" s="136">
        <v>21.41</v>
      </c>
      <c r="AH380" s="137">
        <v>3</v>
      </c>
      <c r="AI380" s="138">
        <v>1</v>
      </c>
      <c r="AK380" s="136">
        <v>21.3</v>
      </c>
      <c r="AL380" s="139">
        <v>11</v>
      </c>
      <c r="AM380" s="138">
        <v>63</v>
      </c>
      <c r="AO380" s="136">
        <v>43.26</v>
      </c>
      <c r="AP380" s="139">
        <v>15</v>
      </c>
      <c r="AQ380" s="138">
        <v>95</v>
      </c>
      <c r="AS380" s="136">
        <v>21.18</v>
      </c>
      <c r="AT380" s="139">
        <v>2</v>
      </c>
      <c r="AU380" s="138" t="s">
        <v>883</v>
      </c>
      <c r="AW380" s="136">
        <v>43.35</v>
      </c>
      <c r="AX380" s="139">
        <v>15</v>
      </c>
      <c r="AY380" s="138">
        <v>95</v>
      </c>
      <c r="BA380" s="136">
        <v>22</v>
      </c>
      <c r="BB380" s="139">
        <v>1</v>
      </c>
      <c r="BC380" s="138" t="s">
        <v>883</v>
      </c>
    </row>
    <row r="381" spans="5:55" x14ac:dyDescent="0.3">
      <c r="E381" s="136">
        <v>21.45</v>
      </c>
      <c r="F381" s="137">
        <v>18</v>
      </c>
      <c r="G381" s="138" t="s">
        <v>874</v>
      </c>
      <c r="I381" s="136">
        <v>44.05</v>
      </c>
      <c r="J381" s="139">
        <v>3</v>
      </c>
      <c r="K381" s="138">
        <v>1</v>
      </c>
      <c r="M381" s="136">
        <v>21.22</v>
      </c>
      <c r="N381" s="139">
        <v>3</v>
      </c>
      <c r="O381" s="138">
        <v>1</v>
      </c>
      <c r="Q381" s="136">
        <v>43.4</v>
      </c>
      <c r="R381" s="139">
        <v>16</v>
      </c>
      <c r="S381" s="138">
        <v>98</v>
      </c>
      <c r="U381" s="136">
        <v>21.22</v>
      </c>
      <c r="V381" s="139">
        <v>9</v>
      </c>
      <c r="W381" s="138">
        <v>37</v>
      </c>
      <c r="Y381" s="136">
        <v>21.19</v>
      </c>
      <c r="Z381" s="139">
        <v>2</v>
      </c>
      <c r="AA381" s="138" t="s">
        <v>883</v>
      </c>
      <c r="AC381" s="136">
        <v>21.29</v>
      </c>
      <c r="AD381" s="139">
        <v>12</v>
      </c>
      <c r="AE381" s="138">
        <v>75</v>
      </c>
      <c r="AG381" s="136">
        <v>21.43</v>
      </c>
      <c r="AH381" s="137">
        <v>4</v>
      </c>
      <c r="AI381" s="138">
        <v>2</v>
      </c>
      <c r="AK381" s="136">
        <v>21.31</v>
      </c>
      <c r="AL381" s="139">
        <v>12</v>
      </c>
      <c r="AM381" s="138">
        <v>75</v>
      </c>
      <c r="AO381" s="136">
        <v>43.27</v>
      </c>
      <c r="AP381" s="139">
        <v>16</v>
      </c>
      <c r="AQ381" s="138">
        <v>98</v>
      </c>
      <c r="AS381" s="136">
        <v>21.2</v>
      </c>
      <c r="AT381" s="139">
        <v>3</v>
      </c>
      <c r="AU381" s="138">
        <v>1</v>
      </c>
      <c r="AW381" s="136">
        <v>43.37</v>
      </c>
      <c r="AX381" s="139">
        <v>16</v>
      </c>
      <c r="AY381" s="138">
        <v>98</v>
      </c>
      <c r="BA381" s="136">
        <v>22.07</v>
      </c>
      <c r="BB381" s="139">
        <v>2</v>
      </c>
      <c r="BC381" s="138" t="s">
        <v>883</v>
      </c>
    </row>
    <row r="382" spans="5:55" x14ac:dyDescent="0.3">
      <c r="E382" s="136">
        <v>21.48</v>
      </c>
      <c r="F382" s="137">
        <v>19</v>
      </c>
      <c r="G382" s="138" t="s">
        <v>874</v>
      </c>
      <c r="I382" s="136">
        <v>44.06</v>
      </c>
      <c r="J382" s="139">
        <v>4</v>
      </c>
      <c r="K382" s="138">
        <v>2</v>
      </c>
      <c r="M382" s="136">
        <v>21.25</v>
      </c>
      <c r="N382" s="139">
        <v>4</v>
      </c>
      <c r="O382" s="138">
        <v>2</v>
      </c>
      <c r="Q382" s="136">
        <v>43.42</v>
      </c>
      <c r="R382" s="139">
        <v>17</v>
      </c>
      <c r="S382" s="138">
        <v>99</v>
      </c>
      <c r="U382" s="136">
        <v>21.25</v>
      </c>
      <c r="V382" s="139">
        <v>10</v>
      </c>
      <c r="W382" s="138">
        <v>50</v>
      </c>
      <c r="Y382" s="136">
        <v>21.2</v>
      </c>
      <c r="Z382" s="139">
        <v>3</v>
      </c>
      <c r="AA382" s="138">
        <v>1</v>
      </c>
      <c r="AC382" s="136">
        <v>21.3</v>
      </c>
      <c r="AD382" s="139">
        <v>13</v>
      </c>
      <c r="AE382" s="138">
        <v>85</v>
      </c>
      <c r="AG382" s="136">
        <v>21.45</v>
      </c>
      <c r="AH382" s="137">
        <v>5</v>
      </c>
      <c r="AI382" s="138">
        <v>5</v>
      </c>
      <c r="AK382" s="136">
        <v>21.32</v>
      </c>
      <c r="AL382" s="139">
        <v>13</v>
      </c>
      <c r="AM382" s="138">
        <v>85</v>
      </c>
      <c r="AO382" s="136">
        <v>43.28</v>
      </c>
      <c r="AP382" s="139">
        <v>17</v>
      </c>
      <c r="AQ382" s="138">
        <v>99</v>
      </c>
      <c r="AS382" s="136">
        <v>21.22</v>
      </c>
      <c r="AT382" s="139">
        <v>4</v>
      </c>
      <c r="AU382" s="138">
        <v>2</v>
      </c>
      <c r="AW382" s="136">
        <v>43.39</v>
      </c>
      <c r="AX382" s="139">
        <v>17</v>
      </c>
      <c r="AY382" s="138">
        <v>99</v>
      </c>
      <c r="BA382" s="136">
        <v>22.08</v>
      </c>
      <c r="BB382" s="139">
        <v>3</v>
      </c>
      <c r="BC382" s="138">
        <v>1</v>
      </c>
    </row>
    <row r="383" spans="5:55" x14ac:dyDescent="0.3">
      <c r="E383" s="136">
        <v>22</v>
      </c>
      <c r="F383" s="137">
        <v>1</v>
      </c>
      <c r="G383" s="138" t="s">
        <v>862</v>
      </c>
      <c r="I383" s="136">
        <v>44.08</v>
      </c>
      <c r="J383" s="139">
        <v>5</v>
      </c>
      <c r="K383" s="138">
        <v>5</v>
      </c>
      <c r="M383" s="136">
        <v>21.27</v>
      </c>
      <c r="N383" s="139">
        <v>5</v>
      </c>
      <c r="O383" s="138">
        <v>5</v>
      </c>
      <c r="Q383" s="136">
        <v>43.44</v>
      </c>
      <c r="R383" s="139">
        <v>18</v>
      </c>
      <c r="S383" s="138" t="s">
        <v>884</v>
      </c>
      <c r="U383" s="136">
        <v>21.27</v>
      </c>
      <c r="V383" s="139">
        <v>11</v>
      </c>
      <c r="W383" s="138">
        <v>63</v>
      </c>
      <c r="Y383" s="136">
        <v>21.21</v>
      </c>
      <c r="Z383" s="139">
        <v>4</v>
      </c>
      <c r="AA383" s="138">
        <v>2</v>
      </c>
      <c r="AC383" s="136">
        <v>21.32</v>
      </c>
      <c r="AD383" s="139">
        <v>14</v>
      </c>
      <c r="AE383" s="138">
        <v>91</v>
      </c>
      <c r="AG383" s="136">
        <v>21.47</v>
      </c>
      <c r="AH383" s="137">
        <v>6</v>
      </c>
      <c r="AI383" s="138">
        <v>9</v>
      </c>
      <c r="AK383" s="136">
        <v>21.33</v>
      </c>
      <c r="AL383" s="139">
        <v>14</v>
      </c>
      <c r="AM383" s="138">
        <v>91</v>
      </c>
      <c r="AO383" s="136">
        <v>43.3</v>
      </c>
      <c r="AP383" s="139">
        <v>18</v>
      </c>
      <c r="AQ383" s="138" t="s">
        <v>884</v>
      </c>
      <c r="AS383" s="136">
        <v>21.23</v>
      </c>
      <c r="AT383" s="139">
        <v>5</v>
      </c>
      <c r="AU383" s="138">
        <v>5</v>
      </c>
      <c r="AW383" s="136">
        <v>43.41</v>
      </c>
      <c r="AX383" s="139">
        <v>18</v>
      </c>
      <c r="AY383" s="138" t="s">
        <v>884</v>
      </c>
      <c r="BA383" s="136">
        <v>22.09</v>
      </c>
      <c r="BB383" s="139">
        <v>4</v>
      </c>
      <c r="BC383" s="138">
        <v>2</v>
      </c>
    </row>
    <row r="384" spans="5:55" x14ac:dyDescent="0.3">
      <c r="E384" s="136">
        <v>22.2</v>
      </c>
      <c r="F384" s="137">
        <v>2</v>
      </c>
      <c r="G384" s="138" t="s">
        <v>862</v>
      </c>
      <c r="I384" s="136">
        <v>44.1</v>
      </c>
      <c r="J384" s="139">
        <v>6</v>
      </c>
      <c r="K384" s="138">
        <v>9</v>
      </c>
      <c r="M384" s="136">
        <v>21.28</v>
      </c>
      <c r="N384" s="139">
        <v>6</v>
      </c>
      <c r="O384" s="138">
        <v>9</v>
      </c>
      <c r="Q384" s="136">
        <v>43.45</v>
      </c>
      <c r="R384" s="139">
        <v>19</v>
      </c>
      <c r="S384" s="138" t="s">
        <v>884</v>
      </c>
      <c r="U384" s="136">
        <v>21.29</v>
      </c>
      <c r="V384" s="139">
        <v>12</v>
      </c>
      <c r="W384" s="138">
        <v>75</v>
      </c>
      <c r="Y384" s="136">
        <v>21.22</v>
      </c>
      <c r="Z384" s="139">
        <v>5</v>
      </c>
      <c r="AA384" s="138">
        <v>5</v>
      </c>
      <c r="AC384" s="136">
        <v>21.33</v>
      </c>
      <c r="AD384" s="139">
        <v>15</v>
      </c>
      <c r="AE384" s="138">
        <v>95</v>
      </c>
      <c r="AG384" s="136">
        <v>21.49</v>
      </c>
      <c r="AH384" s="137">
        <v>7</v>
      </c>
      <c r="AI384" s="138">
        <v>16</v>
      </c>
      <c r="AK384" s="136">
        <v>21.34</v>
      </c>
      <c r="AL384" s="139">
        <v>15</v>
      </c>
      <c r="AM384" s="138">
        <v>95</v>
      </c>
      <c r="AO384" s="136">
        <v>43.32</v>
      </c>
      <c r="AP384" s="139">
        <v>19</v>
      </c>
      <c r="AQ384" s="138" t="s">
        <v>884</v>
      </c>
      <c r="AS384" s="136">
        <v>21.25</v>
      </c>
      <c r="AT384" s="139">
        <v>6</v>
      </c>
      <c r="AU384" s="138">
        <v>9</v>
      </c>
      <c r="AW384" s="136">
        <v>43.45</v>
      </c>
      <c r="AX384" s="139">
        <v>19</v>
      </c>
      <c r="AY384" s="138" t="s">
        <v>884</v>
      </c>
      <c r="BA384" s="136">
        <v>22.1</v>
      </c>
      <c r="BB384" s="139">
        <v>5</v>
      </c>
      <c r="BC384" s="138">
        <v>5</v>
      </c>
    </row>
    <row r="385" spans="5:55" x14ac:dyDescent="0.3">
      <c r="E385" s="136">
        <v>22.21</v>
      </c>
      <c r="F385" s="137">
        <v>3</v>
      </c>
      <c r="G385" s="138" t="s">
        <v>876</v>
      </c>
      <c r="I385" s="136">
        <v>44.11</v>
      </c>
      <c r="J385" s="139">
        <v>7</v>
      </c>
      <c r="K385" s="138">
        <v>16</v>
      </c>
      <c r="M385" s="136">
        <v>21.3</v>
      </c>
      <c r="N385" s="139">
        <v>7</v>
      </c>
      <c r="O385" s="138">
        <v>16</v>
      </c>
      <c r="Q385" s="136">
        <v>44</v>
      </c>
      <c r="R385" s="139">
        <v>1</v>
      </c>
      <c r="S385" s="138" t="s">
        <v>883</v>
      </c>
      <c r="U385" s="136">
        <v>21.31</v>
      </c>
      <c r="V385" s="139">
        <v>13</v>
      </c>
      <c r="W385" s="138">
        <v>85</v>
      </c>
      <c r="Y385" s="136">
        <v>21.23</v>
      </c>
      <c r="Z385" s="139">
        <v>6</v>
      </c>
      <c r="AA385" s="138">
        <v>9</v>
      </c>
      <c r="AC385" s="136">
        <v>21.35</v>
      </c>
      <c r="AD385" s="139">
        <v>16</v>
      </c>
      <c r="AE385" s="138">
        <v>98</v>
      </c>
      <c r="AG385" s="136">
        <v>21.51</v>
      </c>
      <c r="AH385" s="137">
        <v>8</v>
      </c>
      <c r="AI385" s="138">
        <v>25</v>
      </c>
      <c r="AK385" s="136">
        <v>21.35</v>
      </c>
      <c r="AL385" s="139">
        <v>16</v>
      </c>
      <c r="AM385" s="138">
        <v>98</v>
      </c>
      <c r="AO385" s="136">
        <v>44</v>
      </c>
      <c r="AP385" s="139">
        <v>1</v>
      </c>
      <c r="AQ385" s="138" t="s">
        <v>883</v>
      </c>
      <c r="AS385" s="136">
        <v>21.27</v>
      </c>
      <c r="AT385" s="139">
        <v>7</v>
      </c>
      <c r="AU385" s="138">
        <v>16</v>
      </c>
      <c r="AW385" s="136">
        <v>44</v>
      </c>
      <c r="AX385" s="139">
        <v>1</v>
      </c>
      <c r="AY385" s="138" t="s">
        <v>883</v>
      </c>
      <c r="BA385" s="136">
        <v>22.11</v>
      </c>
      <c r="BB385" s="139">
        <v>6</v>
      </c>
      <c r="BC385" s="138">
        <v>9</v>
      </c>
    </row>
    <row r="386" spans="5:55" x14ac:dyDescent="0.3">
      <c r="E386" s="136">
        <v>22.23</v>
      </c>
      <c r="F386" s="137">
        <v>4</v>
      </c>
      <c r="G386" s="138" t="s">
        <v>863</v>
      </c>
      <c r="I386" s="136">
        <v>44.13</v>
      </c>
      <c r="J386" s="139">
        <v>8</v>
      </c>
      <c r="K386" s="138">
        <v>25</v>
      </c>
      <c r="M386" s="136">
        <v>21.32</v>
      </c>
      <c r="N386" s="139">
        <v>8</v>
      </c>
      <c r="O386" s="138">
        <v>25</v>
      </c>
      <c r="Q386" s="136">
        <v>44.07</v>
      </c>
      <c r="R386" s="139">
        <v>2</v>
      </c>
      <c r="S386" s="138" t="s">
        <v>883</v>
      </c>
      <c r="U386" s="136">
        <v>21.33</v>
      </c>
      <c r="V386" s="139">
        <v>14</v>
      </c>
      <c r="W386" s="138">
        <v>91</v>
      </c>
      <c r="Y386" s="136">
        <v>21.24</v>
      </c>
      <c r="Z386" s="139">
        <v>7</v>
      </c>
      <c r="AA386" s="138">
        <v>16</v>
      </c>
      <c r="AC386" s="136">
        <v>21.36</v>
      </c>
      <c r="AD386" s="139">
        <v>17</v>
      </c>
      <c r="AE386" s="138">
        <v>99</v>
      </c>
      <c r="AG386" s="136">
        <v>21.53</v>
      </c>
      <c r="AH386" s="137">
        <v>9</v>
      </c>
      <c r="AI386" s="138">
        <v>37</v>
      </c>
      <c r="AK386" s="136">
        <v>21.36</v>
      </c>
      <c r="AL386" s="139">
        <v>17</v>
      </c>
      <c r="AM386" s="138">
        <v>99</v>
      </c>
      <c r="AO386" s="136">
        <v>44.11</v>
      </c>
      <c r="AP386" s="139">
        <v>2</v>
      </c>
      <c r="AQ386" s="138" t="s">
        <v>883</v>
      </c>
      <c r="AS386" s="136">
        <v>21.29</v>
      </c>
      <c r="AT386" s="139">
        <v>8</v>
      </c>
      <c r="AU386" s="138">
        <v>25</v>
      </c>
      <c r="AW386" s="136">
        <v>44.08</v>
      </c>
      <c r="AX386" s="139">
        <v>2</v>
      </c>
      <c r="AY386" s="138" t="s">
        <v>883</v>
      </c>
      <c r="BA386" s="136">
        <v>22.12</v>
      </c>
      <c r="BB386" s="139">
        <v>7</v>
      </c>
      <c r="BC386" s="138">
        <v>16</v>
      </c>
    </row>
    <row r="387" spans="5:55" x14ac:dyDescent="0.3">
      <c r="E387" s="136">
        <v>22.25</v>
      </c>
      <c r="F387" s="137">
        <v>5</v>
      </c>
      <c r="G387" s="138" t="s">
        <v>877</v>
      </c>
      <c r="I387" s="136">
        <v>44.15</v>
      </c>
      <c r="J387" s="139">
        <v>9</v>
      </c>
      <c r="K387" s="138">
        <v>37</v>
      </c>
      <c r="M387" s="136">
        <v>21.34</v>
      </c>
      <c r="N387" s="139">
        <v>9</v>
      </c>
      <c r="O387" s="138">
        <v>37</v>
      </c>
      <c r="Q387" s="136">
        <v>44.15</v>
      </c>
      <c r="R387" s="139">
        <v>3</v>
      </c>
      <c r="S387" s="138">
        <v>1</v>
      </c>
      <c r="U387" s="136">
        <v>21.35</v>
      </c>
      <c r="V387" s="139">
        <v>15</v>
      </c>
      <c r="W387" s="138">
        <v>95</v>
      </c>
      <c r="Y387" s="136">
        <v>21.25</v>
      </c>
      <c r="Z387" s="139">
        <v>8</v>
      </c>
      <c r="AA387" s="138">
        <v>25</v>
      </c>
      <c r="AC387" s="136">
        <v>21.37</v>
      </c>
      <c r="AD387" s="139">
        <v>18</v>
      </c>
      <c r="AE387" s="138" t="s">
        <v>884</v>
      </c>
      <c r="AG387" s="136">
        <v>21.55</v>
      </c>
      <c r="AH387" s="137">
        <v>10</v>
      </c>
      <c r="AI387" s="138">
        <v>50</v>
      </c>
      <c r="AK387" s="136">
        <v>21.38</v>
      </c>
      <c r="AL387" s="139">
        <v>18</v>
      </c>
      <c r="AM387" s="138" t="s">
        <v>884</v>
      </c>
      <c r="AO387" s="136">
        <v>44.12</v>
      </c>
      <c r="AP387" s="139">
        <v>3</v>
      </c>
      <c r="AQ387" s="138">
        <v>1</v>
      </c>
      <c r="AS387" s="136">
        <v>21.3</v>
      </c>
      <c r="AT387" s="139">
        <v>9</v>
      </c>
      <c r="AU387" s="138">
        <v>37</v>
      </c>
      <c r="AW387" s="136">
        <v>44.1</v>
      </c>
      <c r="AX387" s="139">
        <v>3</v>
      </c>
      <c r="AY387" s="138">
        <v>1</v>
      </c>
      <c r="BA387" s="136">
        <v>22.13</v>
      </c>
      <c r="BB387" s="139">
        <v>8</v>
      </c>
      <c r="BC387" s="138">
        <v>25</v>
      </c>
    </row>
    <row r="388" spans="5:55" x14ac:dyDescent="0.3">
      <c r="E388" s="136">
        <v>22.27</v>
      </c>
      <c r="F388" s="137">
        <v>6</v>
      </c>
      <c r="G388" s="138" t="s">
        <v>864</v>
      </c>
      <c r="I388" s="136">
        <v>44.16</v>
      </c>
      <c r="J388" s="139">
        <v>10</v>
      </c>
      <c r="K388" s="138">
        <v>50</v>
      </c>
      <c r="M388" s="136">
        <v>21.36</v>
      </c>
      <c r="N388" s="139">
        <v>10</v>
      </c>
      <c r="O388" s="138">
        <v>50</v>
      </c>
      <c r="Q388" s="136">
        <v>44.17</v>
      </c>
      <c r="R388" s="139">
        <v>4</v>
      </c>
      <c r="S388" s="138">
        <v>2</v>
      </c>
      <c r="U388" s="136">
        <v>21.37</v>
      </c>
      <c r="V388" s="139">
        <v>16</v>
      </c>
      <c r="W388" s="138">
        <v>98</v>
      </c>
      <c r="Y388" s="136">
        <v>21.26</v>
      </c>
      <c r="Z388" s="139">
        <v>9</v>
      </c>
      <c r="AA388" s="138">
        <v>37</v>
      </c>
      <c r="AC388" s="136">
        <v>21.4</v>
      </c>
      <c r="AD388" s="139">
        <v>19</v>
      </c>
      <c r="AE388" s="138" t="s">
        <v>884</v>
      </c>
      <c r="AG388" s="136">
        <v>21.57</v>
      </c>
      <c r="AH388" s="137">
        <v>11</v>
      </c>
      <c r="AI388" s="138">
        <v>63</v>
      </c>
      <c r="AK388" s="136">
        <v>21.39</v>
      </c>
      <c r="AL388" s="139">
        <v>19</v>
      </c>
      <c r="AM388" s="138" t="s">
        <v>884</v>
      </c>
      <c r="AO388" s="136">
        <v>44.14</v>
      </c>
      <c r="AP388" s="139">
        <v>4</v>
      </c>
      <c r="AQ388" s="138">
        <v>2</v>
      </c>
      <c r="AS388" s="136">
        <v>21.32</v>
      </c>
      <c r="AT388" s="139">
        <v>10</v>
      </c>
      <c r="AU388" s="138">
        <v>50</v>
      </c>
      <c r="AW388" s="136">
        <v>44.12</v>
      </c>
      <c r="AX388" s="139">
        <v>4</v>
      </c>
      <c r="AY388" s="138">
        <v>2</v>
      </c>
      <c r="BA388" s="136">
        <v>22.14</v>
      </c>
      <c r="BB388" s="139">
        <v>9</v>
      </c>
      <c r="BC388" s="138">
        <v>37</v>
      </c>
    </row>
    <row r="389" spans="5:55" x14ac:dyDescent="0.3">
      <c r="E389" s="136">
        <v>22.28</v>
      </c>
      <c r="F389" s="137">
        <v>7</v>
      </c>
      <c r="G389" s="138" t="s">
        <v>878</v>
      </c>
      <c r="I389" s="136">
        <v>44.18</v>
      </c>
      <c r="J389" s="139">
        <v>11</v>
      </c>
      <c r="K389" s="138">
        <v>63</v>
      </c>
      <c r="M389" s="136">
        <v>21.38</v>
      </c>
      <c r="N389" s="139">
        <v>11</v>
      </c>
      <c r="O389" s="138">
        <v>63</v>
      </c>
      <c r="Q389" s="136">
        <v>44.2</v>
      </c>
      <c r="R389" s="139">
        <v>5</v>
      </c>
      <c r="S389" s="138">
        <v>5</v>
      </c>
      <c r="U389" s="136">
        <v>21.39</v>
      </c>
      <c r="V389" s="139">
        <v>17</v>
      </c>
      <c r="W389" s="138">
        <v>99</v>
      </c>
      <c r="Y389" s="136">
        <v>21.27</v>
      </c>
      <c r="Z389" s="139">
        <v>10</v>
      </c>
      <c r="AA389" s="138">
        <v>50</v>
      </c>
      <c r="AC389" s="136">
        <v>22</v>
      </c>
      <c r="AD389" s="139">
        <v>1</v>
      </c>
      <c r="AE389" s="138" t="s">
        <v>883</v>
      </c>
      <c r="AG389" s="136">
        <v>21.58</v>
      </c>
      <c r="AH389" s="137">
        <v>12</v>
      </c>
      <c r="AI389" s="138">
        <v>75</v>
      </c>
      <c r="AK389" s="136">
        <v>22</v>
      </c>
      <c r="AL389" s="139">
        <v>1</v>
      </c>
      <c r="AM389" s="138" t="s">
        <v>883</v>
      </c>
      <c r="AO389" s="136">
        <v>44.15</v>
      </c>
      <c r="AP389" s="139">
        <v>5</v>
      </c>
      <c r="AQ389" s="138">
        <v>5</v>
      </c>
      <c r="AS389" s="136">
        <v>21.34</v>
      </c>
      <c r="AT389" s="139">
        <v>11</v>
      </c>
      <c r="AU389" s="138">
        <v>63</v>
      </c>
      <c r="AW389" s="136">
        <v>44.14</v>
      </c>
      <c r="AX389" s="139">
        <v>5</v>
      </c>
      <c r="AY389" s="138">
        <v>5</v>
      </c>
      <c r="BA389" s="136">
        <v>22.15</v>
      </c>
      <c r="BB389" s="139">
        <v>10</v>
      </c>
      <c r="BC389" s="138">
        <v>50</v>
      </c>
    </row>
    <row r="390" spans="5:55" x14ac:dyDescent="0.3">
      <c r="E390" s="136">
        <v>22.3</v>
      </c>
      <c r="F390" s="137">
        <v>8</v>
      </c>
      <c r="G390" s="138" t="s">
        <v>865</v>
      </c>
      <c r="I390" s="136">
        <v>44.2</v>
      </c>
      <c r="J390" s="139">
        <v>12</v>
      </c>
      <c r="K390" s="138">
        <v>75</v>
      </c>
      <c r="M390" s="136">
        <v>21.39</v>
      </c>
      <c r="N390" s="139">
        <v>12</v>
      </c>
      <c r="O390" s="138">
        <v>75</v>
      </c>
      <c r="Q390" s="136">
        <v>44.22</v>
      </c>
      <c r="R390" s="139">
        <v>6</v>
      </c>
      <c r="S390" s="138">
        <v>9</v>
      </c>
      <c r="U390" s="136">
        <v>21.41</v>
      </c>
      <c r="V390" s="139">
        <v>18</v>
      </c>
      <c r="W390" s="138" t="s">
        <v>884</v>
      </c>
      <c r="Y390" s="136">
        <v>21.28</v>
      </c>
      <c r="Z390" s="139">
        <v>11</v>
      </c>
      <c r="AA390" s="138">
        <v>63</v>
      </c>
      <c r="AC390" s="136">
        <v>22.16</v>
      </c>
      <c r="AD390" s="139">
        <v>2</v>
      </c>
      <c r="AE390" s="138" t="s">
        <v>883</v>
      </c>
      <c r="AG390" s="136">
        <v>21.6</v>
      </c>
      <c r="AH390" s="137">
        <v>13</v>
      </c>
      <c r="AI390" s="138">
        <v>85</v>
      </c>
      <c r="AK390" s="136">
        <v>22.2</v>
      </c>
      <c r="AL390" s="139">
        <v>2</v>
      </c>
      <c r="AM390" s="138" t="s">
        <v>883</v>
      </c>
      <c r="AO390" s="136">
        <v>44.16</v>
      </c>
      <c r="AP390" s="139">
        <v>6</v>
      </c>
      <c r="AQ390" s="138">
        <v>9</v>
      </c>
      <c r="AS390" s="136">
        <v>21.35</v>
      </c>
      <c r="AT390" s="139">
        <v>12</v>
      </c>
      <c r="AU390" s="138">
        <v>75</v>
      </c>
      <c r="AW390" s="136">
        <v>44.16</v>
      </c>
      <c r="AX390" s="139">
        <v>6</v>
      </c>
      <c r="AY390" s="138">
        <v>9</v>
      </c>
      <c r="BA390" s="136">
        <v>22.16</v>
      </c>
      <c r="BB390" s="139">
        <v>11</v>
      </c>
      <c r="BC390" s="138">
        <v>63</v>
      </c>
    </row>
    <row r="391" spans="5:55" x14ac:dyDescent="0.3">
      <c r="E391" s="136">
        <v>22.31</v>
      </c>
      <c r="F391" s="137">
        <v>9</v>
      </c>
      <c r="G391" s="138" t="s">
        <v>879</v>
      </c>
      <c r="I391" s="136">
        <v>44.22</v>
      </c>
      <c r="J391" s="139">
        <v>13</v>
      </c>
      <c r="K391" s="138">
        <v>85</v>
      </c>
      <c r="M391" s="136">
        <v>21.41</v>
      </c>
      <c r="N391" s="139">
        <v>13</v>
      </c>
      <c r="O391" s="138">
        <v>85</v>
      </c>
      <c r="Q391" s="136">
        <v>44.24</v>
      </c>
      <c r="R391" s="139">
        <v>7</v>
      </c>
      <c r="S391" s="138">
        <v>16</v>
      </c>
      <c r="U391" s="136">
        <v>21.45</v>
      </c>
      <c r="V391" s="139">
        <v>19</v>
      </c>
      <c r="W391" s="138" t="s">
        <v>884</v>
      </c>
      <c r="Y391" s="136">
        <v>21.29</v>
      </c>
      <c r="Z391" s="139">
        <v>12</v>
      </c>
      <c r="AA391" s="138">
        <v>75</v>
      </c>
      <c r="AC391" s="136">
        <v>22.18</v>
      </c>
      <c r="AD391" s="139">
        <v>3</v>
      </c>
      <c r="AE391" s="138">
        <v>1</v>
      </c>
      <c r="AG391" s="136">
        <v>21.62</v>
      </c>
      <c r="AH391" s="137">
        <v>14</v>
      </c>
      <c r="AI391" s="138">
        <v>91</v>
      </c>
      <c r="AK391" s="136">
        <v>22.21</v>
      </c>
      <c r="AL391" s="139">
        <v>3</v>
      </c>
      <c r="AM391" s="138">
        <v>1</v>
      </c>
      <c r="AO391" s="136">
        <v>44.17</v>
      </c>
      <c r="AP391" s="139">
        <v>7</v>
      </c>
      <c r="AQ391" s="138">
        <v>16</v>
      </c>
      <c r="AS391" s="136">
        <v>21.37</v>
      </c>
      <c r="AT391" s="139">
        <v>13</v>
      </c>
      <c r="AU391" s="138">
        <v>85</v>
      </c>
      <c r="AW391" s="136">
        <v>44.18</v>
      </c>
      <c r="AX391" s="139">
        <v>7</v>
      </c>
      <c r="AY391" s="138">
        <v>16</v>
      </c>
      <c r="BA391" s="136">
        <v>22.17</v>
      </c>
      <c r="BB391" s="139">
        <v>12</v>
      </c>
      <c r="BC391" s="138">
        <v>75</v>
      </c>
    </row>
    <row r="392" spans="5:55" x14ac:dyDescent="0.3">
      <c r="E392" s="136">
        <v>22.33</v>
      </c>
      <c r="F392" s="137">
        <v>10</v>
      </c>
      <c r="G392" s="138" t="s">
        <v>866</v>
      </c>
      <c r="I392" s="136">
        <v>44.24</v>
      </c>
      <c r="J392" s="139">
        <v>14</v>
      </c>
      <c r="K392" s="138">
        <v>91</v>
      </c>
      <c r="M392" s="136">
        <v>21.43</v>
      </c>
      <c r="N392" s="139">
        <v>14</v>
      </c>
      <c r="O392" s="138">
        <v>91</v>
      </c>
      <c r="Q392" s="136">
        <v>44.26</v>
      </c>
      <c r="R392" s="139">
        <v>8</v>
      </c>
      <c r="S392" s="138">
        <v>25</v>
      </c>
      <c r="U392" s="136">
        <v>22</v>
      </c>
      <c r="V392" s="139">
        <v>1</v>
      </c>
      <c r="W392" s="138" t="s">
        <v>883</v>
      </c>
      <c r="Y392" s="136">
        <v>21.3</v>
      </c>
      <c r="Z392" s="139">
        <v>13</v>
      </c>
      <c r="AA392" s="138">
        <v>85</v>
      </c>
      <c r="AC392" s="136">
        <v>22.19</v>
      </c>
      <c r="AD392" s="139">
        <v>4</v>
      </c>
      <c r="AE392" s="138">
        <v>2</v>
      </c>
      <c r="AG392" s="136">
        <v>21.64</v>
      </c>
      <c r="AH392" s="137">
        <v>15</v>
      </c>
      <c r="AI392" s="138">
        <v>95</v>
      </c>
      <c r="AK392" s="136">
        <v>22.22</v>
      </c>
      <c r="AL392" s="139">
        <v>4</v>
      </c>
      <c r="AM392" s="138">
        <v>2</v>
      </c>
      <c r="AO392" s="136">
        <v>44.19</v>
      </c>
      <c r="AP392" s="139">
        <v>8</v>
      </c>
      <c r="AQ392" s="138">
        <v>25</v>
      </c>
      <c r="AS392" s="136">
        <v>21.39</v>
      </c>
      <c r="AT392" s="139">
        <v>14</v>
      </c>
      <c r="AU392" s="138">
        <v>91</v>
      </c>
      <c r="AW392" s="136">
        <v>44.2</v>
      </c>
      <c r="AX392" s="139">
        <v>8</v>
      </c>
      <c r="AY392" s="138">
        <v>25</v>
      </c>
      <c r="BA392" s="136">
        <v>22.18</v>
      </c>
      <c r="BB392" s="139">
        <v>13</v>
      </c>
      <c r="BC392" s="138">
        <v>85</v>
      </c>
    </row>
    <row r="393" spans="5:55" x14ac:dyDescent="0.3">
      <c r="E393" s="136">
        <v>22.35</v>
      </c>
      <c r="F393" s="137">
        <v>11</v>
      </c>
      <c r="G393" s="138" t="s">
        <v>867</v>
      </c>
      <c r="I393" s="136">
        <v>44.25</v>
      </c>
      <c r="J393" s="139">
        <v>15</v>
      </c>
      <c r="K393" s="138">
        <v>95</v>
      </c>
      <c r="M393" s="136">
        <v>21.45</v>
      </c>
      <c r="N393" s="139">
        <v>15</v>
      </c>
      <c r="O393" s="138">
        <v>95</v>
      </c>
      <c r="Q393" s="136">
        <v>44.28</v>
      </c>
      <c r="R393" s="139">
        <v>9</v>
      </c>
      <c r="S393" s="138">
        <v>37</v>
      </c>
      <c r="U393" s="136">
        <v>22.08</v>
      </c>
      <c r="V393" s="139">
        <v>2</v>
      </c>
      <c r="W393" s="138" t="s">
        <v>883</v>
      </c>
      <c r="Y393" s="136">
        <v>21.32</v>
      </c>
      <c r="Z393" s="139">
        <v>14</v>
      </c>
      <c r="AA393" s="138">
        <v>91</v>
      </c>
      <c r="AC393" s="136">
        <v>22.21</v>
      </c>
      <c r="AD393" s="139">
        <v>5</v>
      </c>
      <c r="AE393" s="138">
        <v>5</v>
      </c>
      <c r="AG393" s="136">
        <v>21.66</v>
      </c>
      <c r="AH393" s="137">
        <v>16</v>
      </c>
      <c r="AI393" s="138">
        <v>98</v>
      </c>
      <c r="AK393" s="136">
        <v>22.23</v>
      </c>
      <c r="AL393" s="139">
        <v>5</v>
      </c>
      <c r="AM393" s="138">
        <v>5</v>
      </c>
      <c r="AO393" s="136">
        <v>44.2</v>
      </c>
      <c r="AP393" s="139">
        <v>9</v>
      </c>
      <c r="AQ393" s="138">
        <v>37</v>
      </c>
      <c r="AS393" s="136">
        <v>21.4</v>
      </c>
      <c r="AT393" s="139">
        <v>15</v>
      </c>
      <c r="AU393" s="138">
        <v>95</v>
      </c>
      <c r="AW393" s="136">
        <v>44.22</v>
      </c>
      <c r="AX393" s="139">
        <v>9</v>
      </c>
      <c r="AY393" s="138">
        <v>37</v>
      </c>
      <c r="BA393" s="136">
        <v>22.19</v>
      </c>
      <c r="BB393" s="139">
        <v>14</v>
      </c>
      <c r="BC393" s="138">
        <v>91</v>
      </c>
    </row>
    <row r="394" spans="5:55" x14ac:dyDescent="0.3">
      <c r="E394" s="136">
        <v>22.36</v>
      </c>
      <c r="F394" s="137">
        <v>12</v>
      </c>
      <c r="G394" s="138" t="s">
        <v>868</v>
      </c>
      <c r="I394" s="136">
        <v>44.28</v>
      </c>
      <c r="J394" s="139">
        <v>16</v>
      </c>
      <c r="K394" s="138">
        <v>98</v>
      </c>
      <c r="M394" s="136">
        <v>21.47</v>
      </c>
      <c r="N394" s="139">
        <v>16</v>
      </c>
      <c r="O394" s="138">
        <v>98</v>
      </c>
      <c r="Q394" s="136">
        <v>44.3</v>
      </c>
      <c r="R394" s="139">
        <v>10</v>
      </c>
      <c r="S394" s="138">
        <v>50</v>
      </c>
      <c r="U394" s="136">
        <v>22.1</v>
      </c>
      <c r="V394" s="139">
        <v>3</v>
      </c>
      <c r="W394" s="138">
        <v>1</v>
      </c>
      <c r="Y394" s="136">
        <v>21.33</v>
      </c>
      <c r="Z394" s="139">
        <v>15</v>
      </c>
      <c r="AA394" s="138">
        <v>95</v>
      </c>
      <c r="AC394" s="136">
        <v>22.22</v>
      </c>
      <c r="AD394" s="139">
        <v>6</v>
      </c>
      <c r="AE394" s="138">
        <v>9</v>
      </c>
      <c r="AG394" s="136">
        <v>21.68</v>
      </c>
      <c r="AH394" s="137">
        <v>17</v>
      </c>
      <c r="AI394" s="138">
        <v>99</v>
      </c>
      <c r="AK394" s="136">
        <v>22.24</v>
      </c>
      <c r="AL394" s="139">
        <v>6</v>
      </c>
      <c r="AM394" s="138">
        <v>9</v>
      </c>
      <c r="AO394" s="136">
        <v>44.21</v>
      </c>
      <c r="AP394" s="139">
        <v>10</v>
      </c>
      <c r="AQ394" s="138">
        <v>50</v>
      </c>
      <c r="AS394" s="136">
        <v>21.42</v>
      </c>
      <c r="AT394" s="139">
        <v>16</v>
      </c>
      <c r="AU394" s="138">
        <v>98</v>
      </c>
      <c r="AW394" s="136">
        <v>44.25</v>
      </c>
      <c r="AX394" s="139">
        <v>10</v>
      </c>
      <c r="AY394" s="138">
        <v>50</v>
      </c>
      <c r="BA394" s="136">
        <v>22.2</v>
      </c>
      <c r="BB394" s="139">
        <v>15</v>
      </c>
      <c r="BC394" s="138">
        <v>95</v>
      </c>
    </row>
    <row r="395" spans="5:55" x14ac:dyDescent="0.3">
      <c r="E395" s="136">
        <v>22.38</v>
      </c>
      <c r="F395" s="137">
        <v>13</v>
      </c>
      <c r="G395" s="138" t="s">
        <v>869</v>
      </c>
      <c r="I395" s="136">
        <v>44.3</v>
      </c>
      <c r="J395" s="139">
        <v>17</v>
      </c>
      <c r="K395" s="138">
        <v>99</v>
      </c>
      <c r="M395" s="136">
        <v>21.49</v>
      </c>
      <c r="N395" s="139">
        <v>17</v>
      </c>
      <c r="O395" s="138">
        <v>99</v>
      </c>
      <c r="Q395" s="136">
        <v>44.32</v>
      </c>
      <c r="R395" s="139">
        <v>11</v>
      </c>
      <c r="S395" s="138">
        <v>63</v>
      </c>
      <c r="U395" s="136">
        <v>22.12</v>
      </c>
      <c r="V395" s="139">
        <v>4</v>
      </c>
      <c r="W395" s="138">
        <v>2</v>
      </c>
      <c r="Y395" s="136">
        <v>21.34</v>
      </c>
      <c r="Z395" s="139">
        <v>16</v>
      </c>
      <c r="AA395" s="138">
        <v>98</v>
      </c>
      <c r="AC395" s="136">
        <v>22.23</v>
      </c>
      <c r="AD395" s="139">
        <v>7</v>
      </c>
      <c r="AE395" s="138">
        <v>16</v>
      </c>
      <c r="AG395" s="136">
        <v>21.7</v>
      </c>
      <c r="AH395" s="137">
        <v>18</v>
      </c>
      <c r="AI395" s="138" t="s">
        <v>884</v>
      </c>
      <c r="AK395" s="136">
        <v>22.26</v>
      </c>
      <c r="AL395" s="139">
        <v>7</v>
      </c>
      <c r="AM395" s="138">
        <v>16</v>
      </c>
      <c r="AO395" s="136">
        <v>44.22</v>
      </c>
      <c r="AP395" s="139">
        <v>11</v>
      </c>
      <c r="AQ395" s="138">
        <v>63</v>
      </c>
      <c r="AS395" s="136">
        <v>21.44</v>
      </c>
      <c r="AT395" s="139">
        <v>17</v>
      </c>
      <c r="AU395" s="138">
        <v>99</v>
      </c>
      <c r="AW395" s="136">
        <v>44.27</v>
      </c>
      <c r="AX395" s="139">
        <v>11</v>
      </c>
      <c r="AY395" s="138">
        <v>63</v>
      </c>
      <c r="BA395" s="136">
        <v>22.21</v>
      </c>
      <c r="BB395" s="139">
        <v>16</v>
      </c>
      <c r="BC395" s="138">
        <v>98</v>
      </c>
    </row>
    <row r="396" spans="5:55" x14ac:dyDescent="0.3">
      <c r="E396" s="136">
        <v>22.39</v>
      </c>
      <c r="F396" s="137">
        <v>14</v>
      </c>
      <c r="G396" s="138" t="s">
        <v>870</v>
      </c>
      <c r="I396" s="136">
        <v>44.32</v>
      </c>
      <c r="J396" s="139">
        <v>18</v>
      </c>
      <c r="K396" s="138" t="s">
        <v>884</v>
      </c>
      <c r="M396" s="136">
        <v>21.51</v>
      </c>
      <c r="N396" s="139">
        <v>18</v>
      </c>
      <c r="O396" s="138" t="s">
        <v>884</v>
      </c>
      <c r="Q396" s="136">
        <v>44.33</v>
      </c>
      <c r="R396" s="139">
        <v>12</v>
      </c>
      <c r="S396" s="138">
        <v>75</v>
      </c>
      <c r="U396" s="136">
        <v>22.14</v>
      </c>
      <c r="V396" s="139">
        <v>5</v>
      </c>
      <c r="W396" s="138">
        <v>5</v>
      </c>
      <c r="Y396" s="136">
        <v>21.35</v>
      </c>
      <c r="Z396" s="139">
        <v>17</v>
      </c>
      <c r="AA396" s="138">
        <v>99</v>
      </c>
      <c r="AC396" s="136">
        <v>22.25</v>
      </c>
      <c r="AD396" s="139">
        <v>8</v>
      </c>
      <c r="AE396" s="138">
        <v>25</v>
      </c>
      <c r="AG396" s="136">
        <v>21.72</v>
      </c>
      <c r="AH396" s="137">
        <v>19</v>
      </c>
      <c r="AI396" s="138" t="s">
        <v>884</v>
      </c>
      <c r="AK396" s="136">
        <v>22.27</v>
      </c>
      <c r="AL396" s="139">
        <v>8</v>
      </c>
      <c r="AM396" s="138">
        <v>25</v>
      </c>
      <c r="AO396" s="136">
        <v>44.23</v>
      </c>
      <c r="AP396" s="139">
        <v>12</v>
      </c>
      <c r="AQ396" s="138">
        <v>75</v>
      </c>
      <c r="AS396" s="136">
        <v>21.45</v>
      </c>
      <c r="AT396" s="139">
        <v>18</v>
      </c>
      <c r="AU396" s="138" t="s">
        <v>884</v>
      </c>
      <c r="AW396" s="136">
        <v>44.29</v>
      </c>
      <c r="AX396" s="139">
        <v>12</v>
      </c>
      <c r="AY396" s="138">
        <v>75</v>
      </c>
      <c r="BA396" s="136">
        <v>22.22</v>
      </c>
      <c r="BB396" s="139">
        <v>17</v>
      </c>
      <c r="BC396" s="138">
        <v>99</v>
      </c>
    </row>
    <row r="397" spans="5:55" x14ac:dyDescent="0.3">
      <c r="E397" s="136">
        <v>22.41</v>
      </c>
      <c r="F397" s="137">
        <v>15</v>
      </c>
      <c r="G397" s="138" t="s">
        <v>871</v>
      </c>
      <c r="I397" s="136">
        <v>44.34</v>
      </c>
      <c r="J397" s="139">
        <v>19</v>
      </c>
      <c r="K397" s="138" t="s">
        <v>884</v>
      </c>
      <c r="M397" s="136">
        <v>21.52</v>
      </c>
      <c r="N397" s="139">
        <v>19</v>
      </c>
      <c r="O397" s="138" t="s">
        <v>884</v>
      </c>
      <c r="Q397" s="136">
        <v>44.35</v>
      </c>
      <c r="R397" s="139">
        <v>13</v>
      </c>
      <c r="S397" s="138">
        <v>85</v>
      </c>
      <c r="U397" s="136">
        <v>22.17</v>
      </c>
      <c r="V397" s="139">
        <v>6</v>
      </c>
      <c r="W397" s="138">
        <v>9</v>
      </c>
      <c r="Y397" s="136">
        <v>21.36</v>
      </c>
      <c r="Z397" s="139">
        <v>18</v>
      </c>
      <c r="AA397" s="138" t="s">
        <v>884</v>
      </c>
      <c r="AC397" s="136">
        <v>22.26</v>
      </c>
      <c r="AD397" s="139">
        <v>9</v>
      </c>
      <c r="AE397" s="138">
        <v>37</v>
      </c>
      <c r="AG397" s="136">
        <v>22</v>
      </c>
      <c r="AH397" s="137">
        <v>1</v>
      </c>
      <c r="AI397" s="138" t="s">
        <v>883</v>
      </c>
      <c r="AK397" s="136">
        <v>22.28</v>
      </c>
      <c r="AL397" s="139">
        <v>9</v>
      </c>
      <c r="AM397" s="138">
        <v>37</v>
      </c>
      <c r="AO397" s="136">
        <v>44.24</v>
      </c>
      <c r="AP397" s="139">
        <v>13</v>
      </c>
      <c r="AQ397" s="138">
        <v>85</v>
      </c>
      <c r="AS397" s="136">
        <v>21.47</v>
      </c>
      <c r="AT397" s="139">
        <v>19</v>
      </c>
      <c r="AU397" s="138" t="s">
        <v>884</v>
      </c>
      <c r="AW397" s="136">
        <v>44.31</v>
      </c>
      <c r="AX397" s="139">
        <v>13</v>
      </c>
      <c r="AY397" s="138">
        <v>85</v>
      </c>
      <c r="BA397" s="136">
        <v>22.23</v>
      </c>
      <c r="BB397" s="139">
        <v>18</v>
      </c>
      <c r="BC397" s="138" t="s">
        <v>884</v>
      </c>
    </row>
    <row r="398" spans="5:55" x14ac:dyDescent="0.3">
      <c r="E398" s="136">
        <v>22.43</v>
      </c>
      <c r="F398" s="137">
        <v>16</v>
      </c>
      <c r="G398" s="138" t="s">
        <v>872</v>
      </c>
      <c r="I398" s="136">
        <v>45</v>
      </c>
      <c r="J398" s="139">
        <v>1</v>
      </c>
      <c r="K398" s="138" t="s">
        <v>883</v>
      </c>
      <c r="M398" s="136">
        <v>22</v>
      </c>
      <c r="N398" s="139">
        <v>1</v>
      </c>
      <c r="O398" s="138" t="s">
        <v>883</v>
      </c>
      <c r="Q398" s="136">
        <v>44.37</v>
      </c>
      <c r="R398" s="139">
        <v>14</v>
      </c>
      <c r="S398" s="138">
        <v>91</v>
      </c>
      <c r="U398" s="136">
        <v>22.19</v>
      </c>
      <c r="V398" s="139">
        <v>7</v>
      </c>
      <c r="W398" s="138">
        <v>16</v>
      </c>
      <c r="Y398" s="136">
        <v>21.38</v>
      </c>
      <c r="Z398" s="139">
        <v>19</v>
      </c>
      <c r="AA398" s="138" t="s">
        <v>884</v>
      </c>
      <c r="AC398" s="136">
        <v>22.28</v>
      </c>
      <c r="AD398" s="139">
        <v>10</v>
      </c>
      <c r="AE398" s="138">
        <v>50</v>
      </c>
      <c r="AG398" s="136">
        <v>22.39</v>
      </c>
      <c r="AH398" s="137">
        <v>2</v>
      </c>
      <c r="AI398" s="138" t="s">
        <v>883</v>
      </c>
      <c r="AK398" s="136">
        <v>22.29</v>
      </c>
      <c r="AL398" s="139">
        <v>10</v>
      </c>
      <c r="AM398" s="138">
        <v>50</v>
      </c>
      <c r="AO398" s="136">
        <v>44.25</v>
      </c>
      <c r="AP398" s="139">
        <v>14</v>
      </c>
      <c r="AQ398" s="138">
        <v>91</v>
      </c>
      <c r="AS398" s="136">
        <v>22</v>
      </c>
      <c r="AT398" s="139">
        <v>1</v>
      </c>
      <c r="AU398" s="138" t="s">
        <v>883</v>
      </c>
      <c r="AW398" s="136">
        <v>44.33</v>
      </c>
      <c r="AX398" s="139">
        <v>14</v>
      </c>
      <c r="AY398" s="138">
        <v>91</v>
      </c>
      <c r="BA398" s="136">
        <v>22.24</v>
      </c>
      <c r="BB398" s="139">
        <v>19</v>
      </c>
      <c r="BC398" s="138" t="s">
        <v>884</v>
      </c>
    </row>
    <row r="399" spans="5:55" x14ac:dyDescent="0.3">
      <c r="E399" s="136">
        <v>22.44</v>
      </c>
      <c r="F399" s="137">
        <v>17</v>
      </c>
      <c r="G399" s="138" t="s">
        <v>873</v>
      </c>
      <c r="I399" s="136">
        <v>45.04</v>
      </c>
      <c r="J399" s="139">
        <v>2</v>
      </c>
      <c r="K399" s="138" t="s">
        <v>883</v>
      </c>
      <c r="M399" s="136">
        <v>22.19</v>
      </c>
      <c r="N399" s="139">
        <v>2</v>
      </c>
      <c r="O399" s="138" t="s">
        <v>883</v>
      </c>
      <c r="Q399" s="136">
        <v>44.39</v>
      </c>
      <c r="R399" s="139">
        <v>15</v>
      </c>
      <c r="S399" s="138">
        <v>95</v>
      </c>
      <c r="U399" s="136">
        <v>22.21</v>
      </c>
      <c r="V399" s="139">
        <v>8</v>
      </c>
      <c r="W399" s="138">
        <v>25</v>
      </c>
      <c r="Y399" s="136">
        <v>22</v>
      </c>
      <c r="Z399" s="139">
        <v>1</v>
      </c>
      <c r="AA399" s="138" t="s">
        <v>883</v>
      </c>
      <c r="AC399" s="136">
        <v>22.29</v>
      </c>
      <c r="AD399" s="139">
        <v>11</v>
      </c>
      <c r="AE399" s="138">
        <v>63</v>
      </c>
      <c r="AG399" s="136">
        <v>22.41</v>
      </c>
      <c r="AH399" s="137">
        <v>3</v>
      </c>
      <c r="AI399" s="138">
        <v>1</v>
      </c>
      <c r="AK399" s="136">
        <v>22.3</v>
      </c>
      <c r="AL399" s="139">
        <v>11</v>
      </c>
      <c r="AM399" s="138">
        <v>63</v>
      </c>
      <c r="AO399" s="136">
        <v>44.26</v>
      </c>
      <c r="AP399" s="139">
        <v>15</v>
      </c>
      <c r="AQ399" s="138">
        <v>95</v>
      </c>
      <c r="AS399" s="136">
        <v>22.18</v>
      </c>
      <c r="AT399" s="139">
        <v>2</v>
      </c>
      <c r="AU399" s="138" t="s">
        <v>883</v>
      </c>
      <c r="AW399" s="136">
        <v>44.35</v>
      </c>
      <c r="AX399" s="139">
        <v>15</v>
      </c>
      <c r="AY399" s="138">
        <v>95</v>
      </c>
      <c r="BA399" s="136">
        <v>23</v>
      </c>
      <c r="BB399" s="139">
        <v>1</v>
      </c>
      <c r="BC399" s="138" t="s">
        <v>883</v>
      </c>
    </row>
    <row r="400" spans="5:55" x14ac:dyDescent="0.3">
      <c r="E400" s="136">
        <v>22.46</v>
      </c>
      <c r="F400" s="137">
        <v>18</v>
      </c>
      <c r="G400" s="138" t="s">
        <v>874</v>
      </c>
      <c r="I400" s="136">
        <v>45.05</v>
      </c>
      <c r="J400" s="139">
        <v>3</v>
      </c>
      <c r="K400" s="138">
        <v>1</v>
      </c>
      <c r="M400" s="136">
        <v>22.25</v>
      </c>
      <c r="N400" s="139">
        <v>3</v>
      </c>
      <c r="O400" s="138">
        <v>1</v>
      </c>
      <c r="Q400" s="136">
        <v>44.4</v>
      </c>
      <c r="R400" s="139">
        <v>16</v>
      </c>
      <c r="S400" s="138">
        <v>98</v>
      </c>
      <c r="U400" s="136">
        <v>22.23</v>
      </c>
      <c r="V400" s="139">
        <v>9</v>
      </c>
      <c r="W400" s="138">
        <v>37</v>
      </c>
      <c r="Y400" s="136">
        <v>22.19</v>
      </c>
      <c r="Z400" s="139">
        <v>2</v>
      </c>
      <c r="AA400" s="138" t="s">
        <v>883</v>
      </c>
      <c r="AC400" s="136">
        <v>22.3</v>
      </c>
      <c r="AD400" s="139">
        <v>12</v>
      </c>
      <c r="AE400" s="138">
        <v>75</v>
      </c>
      <c r="AG400" s="136">
        <v>22.43</v>
      </c>
      <c r="AH400" s="137">
        <v>4</v>
      </c>
      <c r="AI400" s="138">
        <v>2</v>
      </c>
      <c r="AK400" s="136">
        <v>22.31</v>
      </c>
      <c r="AL400" s="139">
        <v>12</v>
      </c>
      <c r="AM400" s="138">
        <v>75</v>
      </c>
      <c r="AO400" s="136">
        <v>44.27</v>
      </c>
      <c r="AP400" s="139">
        <v>16</v>
      </c>
      <c r="AQ400" s="138">
        <v>98</v>
      </c>
      <c r="AS400" s="136">
        <v>22.2</v>
      </c>
      <c r="AT400" s="139">
        <v>3</v>
      </c>
      <c r="AU400" s="138">
        <v>1</v>
      </c>
      <c r="AW400" s="136">
        <v>44.37</v>
      </c>
      <c r="AX400" s="139">
        <v>16</v>
      </c>
      <c r="AY400" s="138">
        <v>98</v>
      </c>
      <c r="BA400" s="136">
        <v>23.07</v>
      </c>
      <c r="BB400" s="139">
        <v>2</v>
      </c>
      <c r="BC400" s="138" t="s">
        <v>883</v>
      </c>
    </row>
    <row r="401" spans="5:55" x14ac:dyDescent="0.3">
      <c r="E401" s="136">
        <v>22.49</v>
      </c>
      <c r="F401" s="137">
        <v>19</v>
      </c>
      <c r="G401" s="138" t="s">
        <v>874</v>
      </c>
      <c r="I401" s="136">
        <v>45.07</v>
      </c>
      <c r="J401" s="139">
        <v>4</v>
      </c>
      <c r="K401" s="138">
        <v>2</v>
      </c>
      <c r="M401" s="136">
        <v>22.27</v>
      </c>
      <c r="N401" s="139">
        <v>4</v>
      </c>
      <c r="O401" s="138">
        <v>2</v>
      </c>
      <c r="Q401" s="136">
        <v>44.42</v>
      </c>
      <c r="R401" s="139">
        <v>17</v>
      </c>
      <c r="S401" s="138">
        <v>99</v>
      </c>
      <c r="U401" s="136">
        <v>22.25</v>
      </c>
      <c r="V401" s="139">
        <v>10</v>
      </c>
      <c r="W401" s="138">
        <v>50</v>
      </c>
      <c r="Y401" s="136">
        <v>22.2</v>
      </c>
      <c r="Z401" s="139">
        <v>3</v>
      </c>
      <c r="AA401" s="138">
        <v>1</v>
      </c>
      <c r="AC401" s="136">
        <v>22.32</v>
      </c>
      <c r="AD401" s="139">
        <v>13</v>
      </c>
      <c r="AE401" s="138">
        <v>85</v>
      </c>
      <c r="AG401" s="136">
        <v>22.45</v>
      </c>
      <c r="AH401" s="137">
        <v>5</v>
      </c>
      <c r="AI401" s="138">
        <v>5</v>
      </c>
      <c r="AK401" s="136">
        <v>22.32</v>
      </c>
      <c r="AL401" s="139">
        <v>13</v>
      </c>
      <c r="AM401" s="138">
        <v>85</v>
      </c>
      <c r="AO401" s="136">
        <v>44.28</v>
      </c>
      <c r="AP401" s="139">
        <v>17</v>
      </c>
      <c r="AQ401" s="138">
        <v>99</v>
      </c>
      <c r="AS401" s="136">
        <v>22.22</v>
      </c>
      <c r="AT401" s="139">
        <v>4</v>
      </c>
      <c r="AU401" s="138">
        <v>2</v>
      </c>
      <c r="AW401" s="136">
        <v>44.39</v>
      </c>
      <c r="AX401" s="139">
        <v>17</v>
      </c>
      <c r="AY401" s="138">
        <v>99</v>
      </c>
      <c r="BA401" s="136">
        <v>23.08</v>
      </c>
      <c r="BB401" s="139">
        <v>3</v>
      </c>
      <c r="BC401" s="138">
        <v>1</v>
      </c>
    </row>
    <row r="402" spans="5:55" x14ac:dyDescent="0.3">
      <c r="E402" s="136">
        <v>23</v>
      </c>
      <c r="F402" s="137">
        <v>1</v>
      </c>
      <c r="G402" s="138" t="s">
        <v>862</v>
      </c>
      <c r="I402" s="136">
        <v>45.08</v>
      </c>
      <c r="J402" s="139">
        <v>5</v>
      </c>
      <c r="K402" s="138">
        <v>5</v>
      </c>
      <c r="M402" s="136">
        <v>22.28</v>
      </c>
      <c r="N402" s="139">
        <v>5</v>
      </c>
      <c r="O402" s="138">
        <v>5</v>
      </c>
      <c r="Q402" s="136">
        <v>44.44</v>
      </c>
      <c r="R402" s="139">
        <v>18</v>
      </c>
      <c r="S402" s="138" t="s">
        <v>884</v>
      </c>
      <c r="U402" s="136">
        <v>22.27</v>
      </c>
      <c r="V402" s="139">
        <v>11</v>
      </c>
      <c r="W402" s="138">
        <v>63</v>
      </c>
      <c r="Y402" s="136">
        <v>22.21</v>
      </c>
      <c r="Z402" s="139">
        <v>4</v>
      </c>
      <c r="AA402" s="138">
        <v>2</v>
      </c>
      <c r="AC402" s="136">
        <v>22.33</v>
      </c>
      <c r="AD402" s="139">
        <v>14</v>
      </c>
      <c r="AE402" s="138">
        <v>91</v>
      </c>
      <c r="AG402" s="136">
        <v>22.47</v>
      </c>
      <c r="AH402" s="137">
        <v>6</v>
      </c>
      <c r="AI402" s="138">
        <v>9</v>
      </c>
      <c r="AK402" s="136">
        <v>22.33</v>
      </c>
      <c r="AL402" s="139">
        <v>14</v>
      </c>
      <c r="AM402" s="138">
        <v>91</v>
      </c>
      <c r="AO402" s="136">
        <v>44.3</v>
      </c>
      <c r="AP402" s="139">
        <v>18</v>
      </c>
      <c r="AQ402" s="138" t="s">
        <v>884</v>
      </c>
      <c r="AS402" s="136">
        <v>22.23</v>
      </c>
      <c r="AT402" s="139">
        <v>5</v>
      </c>
      <c r="AU402" s="138">
        <v>5</v>
      </c>
      <c r="AW402" s="136">
        <v>44.41</v>
      </c>
      <c r="AX402" s="139">
        <v>18</v>
      </c>
      <c r="AY402" s="138" t="s">
        <v>884</v>
      </c>
      <c r="BA402" s="136">
        <v>23.1</v>
      </c>
      <c r="BB402" s="139">
        <v>4</v>
      </c>
      <c r="BC402" s="138">
        <v>2</v>
      </c>
    </row>
    <row r="403" spans="5:55" x14ac:dyDescent="0.3">
      <c r="E403" s="136">
        <v>23.2</v>
      </c>
      <c r="F403" s="137">
        <v>2</v>
      </c>
      <c r="G403" s="138" t="s">
        <v>862</v>
      </c>
      <c r="I403" s="136">
        <v>45.11</v>
      </c>
      <c r="J403" s="139">
        <v>6</v>
      </c>
      <c r="K403" s="138">
        <v>9</v>
      </c>
      <c r="M403" s="136">
        <v>22.3</v>
      </c>
      <c r="N403" s="139">
        <v>6</v>
      </c>
      <c r="O403" s="138">
        <v>9</v>
      </c>
      <c r="Q403" s="136">
        <v>44.45</v>
      </c>
      <c r="R403" s="139">
        <v>19</v>
      </c>
      <c r="S403" s="138" t="s">
        <v>884</v>
      </c>
      <c r="U403" s="136">
        <v>22.3</v>
      </c>
      <c r="V403" s="139">
        <v>12</v>
      </c>
      <c r="W403" s="138">
        <v>75</v>
      </c>
      <c r="Y403" s="136">
        <v>22.22</v>
      </c>
      <c r="Z403" s="139">
        <v>5</v>
      </c>
      <c r="AA403" s="138">
        <v>5</v>
      </c>
      <c r="AC403" s="136">
        <v>22.35</v>
      </c>
      <c r="AD403" s="139">
        <v>15</v>
      </c>
      <c r="AE403" s="138">
        <v>95</v>
      </c>
      <c r="AG403" s="136">
        <v>22.49</v>
      </c>
      <c r="AH403" s="137">
        <v>7</v>
      </c>
      <c r="AI403" s="138">
        <v>16</v>
      </c>
      <c r="AK403" s="136">
        <v>22.34</v>
      </c>
      <c r="AL403" s="139">
        <v>15</v>
      </c>
      <c r="AM403" s="138">
        <v>95</v>
      </c>
      <c r="AO403" s="136">
        <v>44.32</v>
      </c>
      <c r="AP403" s="139">
        <v>19</v>
      </c>
      <c r="AQ403" s="138" t="s">
        <v>884</v>
      </c>
      <c r="AS403" s="136">
        <v>22.25</v>
      </c>
      <c r="AT403" s="139">
        <v>6</v>
      </c>
      <c r="AU403" s="138">
        <v>9</v>
      </c>
      <c r="AW403" s="136">
        <v>44.45</v>
      </c>
      <c r="AX403" s="139">
        <v>19</v>
      </c>
      <c r="AY403" s="138" t="s">
        <v>884</v>
      </c>
      <c r="BA403" s="136">
        <v>23.11</v>
      </c>
      <c r="BB403" s="139">
        <v>5</v>
      </c>
      <c r="BC403" s="138">
        <v>5</v>
      </c>
    </row>
    <row r="404" spans="5:55" x14ac:dyDescent="0.3">
      <c r="E404" s="136">
        <v>23.21</v>
      </c>
      <c r="F404" s="137">
        <v>3</v>
      </c>
      <c r="G404" s="138" t="s">
        <v>876</v>
      </c>
      <c r="I404" s="136">
        <v>45.12</v>
      </c>
      <c r="J404" s="139">
        <v>7</v>
      </c>
      <c r="K404" s="138">
        <v>16</v>
      </c>
      <c r="M404" s="136">
        <v>22.32</v>
      </c>
      <c r="N404" s="139">
        <v>7</v>
      </c>
      <c r="O404" s="138">
        <v>16</v>
      </c>
      <c r="Q404" s="136">
        <v>45</v>
      </c>
      <c r="R404" s="139">
        <v>1</v>
      </c>
      <c r="S404" s="138" t="s">
        <v>883</v>
      </c>
      <c r="U404" s="136">
        <v>22.32</v>
      </c>
      <c r="V404" s="139">
        <v>13</v>
      </c>
      <c r="W404" s="138">
        <v>85</v>
      </c>
      <c r="Y404" s="136">
        <v>22.23</v>
      </c>
      <c r="Z404" s="139">
        <v>6</v>
      </c>
      <c r="AA404" s="138">
        <v>9</v>
      </c>
      <c r="AC404" s="136">
        <v>22.36</v>
      </c>
      <c r="AD404" s="139">
        <v>16</v>
      </c>
      <c r="AE404" s="138">
        <v>98</v>
      </c>
      <c r="AG404" s="136">
        <v>22.51</v>
      </c>
      <c r="AH404" s="137">
        <v>8</v>
      </c>
      <c r="AI404" s="138">
        <v>25</v>
      </c>
      <c r="AK404" s="136">
        <v>22.35</v>
      </c>
      <c r="AL404" s="139">
        <v>16</v>
      </c>
      <c r="AM404" s="138">
        <v>98</v>
      </c>
      <c r="AO404" s="136">
        <v>45</v>
      </c>
      <c r="AP404" s="139">
        <v>1</v>
      </c>
      <c r="AQ404" s="138" t="s">
        <v>883</v>
      </c>
      <c r="AS404" s="136">
        <v>22.27</v>
      </c>
      <c r="AT404" s="139">
        <v>7</v>
      </c>
      <c r="AU404" s="138">
        <v>16</v>
      </c>
      <c r="AW404" s="136">
        <v>45</v>
      </c>
      <c r="AX404" s="139">
        <v>1</v>
      </c>
      <c r="AY404" s="138" t="s">
        <v>883</v>
      </c>
      <c r="BA404" s="136">
        <v>23.12</v>
      </c>
      <c r="BB404" s="139">
        <v>6</v>
      </c>
      <c r="BC404" s="138">
        <v>9</v>
      </c>
    </row>
    <row r="405" spans="5:55" x14ac:dyDescent="0.3">
      <c r="E405" s="136">
        <v>23.23</v>
      </c>
      <c r="F405" s="137">
        <v>4</v>
      </c>
      <c r="G405" s="138" t="s">
        <v>863</v>
      </c>
      <c r="I405" s="136">
        <v>45.14</v>
      </c>
      <c r="J405" s="139">
        <v>8</v>
      </c>
      <c r="K405" s="138">
        <v>25</v>
      </c>
      <c r="M405" s="136">
        <v>22.34</v>
      </c>
      <c r="N405" s="139">
        <v>8</v>
      </c>
      <c r="O405" s="138">
        <v>25</v>
      </c>
      <c r="Q405" s="136">
        <v>45.09</v>
      </c>
      <c r="R405" s="139">
        <v>2</v>
      </c>
      <c r="S405" s="138" t="s">
        <v>883</v>
      </c>
      <c r="U405" s="136">
        <v>22.34</v>
      </c>
      <c r="V405" s="139">
        <v>14</v>
      </c>
      <c r="W405" s="138">
        <v>91</v>
      </c>
      <c r="Y405" s="136">
        <v>22.24</v>
      </c>
      <c r="Z405" s="139">
        <v>7</v>
      </c>
      <c r="AA405" s="138">
        <v>16</v>
      </c>
      <c r="AC405" s="136">
        <v>22.37</v>
      </c>
      <c r="AD405" s="139">
        <v>17</v>
      </c>
      <c r="AE405" s="138">
        <v>99</v>
      </c>
      <c r="AG405" s="136">
        <v>22.53</v>
      </c>
      <c r="AH405" s="137">
        <v>9</v>
      </c>
      <c r="AI405" s="138">
        <v>37</v>
      </c>
      <c r="AK405" s="136">
        <v>22.37</v>
      </c>
      <c r="AL405" s="139">
        <v>17</v>
      </c>
      <c r="AM405" s="138">
        <v>99</v>
      </c>
      <c r="AO405" s="136">
        <v>45.12</v>
      </c>
      <c r="AP405" s="139">
        <v>2</v>
      </c>
      <c r="AQ405" s="138" t="s">
        <v>883</v>
      </c>
      <c r="AS405" s="136">
        <v>22.29</v>
      </c>
      <c r="AT405" s="139">
        <v>8</v>
      </c>
      <c r="AU405" s="138">
        <v>25</v>
      </c>
      <c r="AW405" s="136">
        <v>45.1</v>
      </c>
      <c r="AX405" s="139">
        <v>2</v>
      </c>
      <c r="AY405" s="138" t="s">
        <v>883</v>
      </c>
      <c r="BA405" s="136">
        <v>23.13</v>
      </c>
      <c r="BB405" s="139">
        <v>7</v>
      </c>
      <c r="BC405" s="138">
        <v>16</v>
      </c>
    </row>
    <row r="406" spans="5:55" x14ac:dyDescent="0.3">
      <c r="E406" s="136">
        <v>23.25</v>
      </c>
      <c r="F406" s="137">
        <v>5</v>
      </c>
      <c r="G406" s="138" t="s">
        <v>877</v>
      </c>
      <c r="I406" s="136">
        <v>45.16</v>
      </c>
      <c r="J406" s="139">
        <v>9</v>
      </c>
      <c r="K406" s="138">
        <v>37</v>
      </c>
      <c r="M406" s="136">
        <v>22.35</v>
      </c>
      <c r="N406" s="139">
        <v>9</v>
      </c>
      <c r="O406" s="138">
        <v>37</v>
      </c>
      <c r="Q406" s="136">
        <v>45.15</v>
      </c>
      <c r="R406" s="139">
        <v>3</v>
      </c>
      <c r="S406" s="138">
        <v>1</v>
      </c>
      <c r="U406" s="136">
        <v>22.36</v>
      </c>
      <c r="V406" s="139">
        <v>15</v>
      </c>
      <c r="W406" s="138">
        <v>95</v>
      </c>
      <c r="Y406" s="136">
        <v>22.25</v>
      </c>
      <c r="Z406" s="139">
        <v>8</v>
      </c>
      <c r="AA406" s="138">
        <v>25</v>
      </c>
      <c r="AC406" s="136">
        <v>22.39</v>
      </c>
      <c r="AD406" s="139">
        <v>18</v>
      </c>
      <c r="AE406" s="138" t="s">
        <v>884</v>
      </c>
      <c r="AG406" s="136">
        <v>22.55</v>
      </c>
      <c r="AH406" s="137">
        <v>10</v>
      </c>
      <c r="AI406" s="138">
        <v>50</v>
      </c>
      <c r="AK406" s="136">
        <v>22.38</v>
      </c>
      <c r="AL406" s="139">
        <v>18</v>
      </c>
      <c r="AM406" s="138" t="s">
        <v>884</v>
      </c>
      <c r="AO406" s="136">
        <v>45.14</v>
      </c>
      <c r="AP406" s="139">
        <v>3</v>
      </c>
      <c r="AQ406" s="138">
        <v>1</v>
      </c>
      <c r="AS406" s="136">
        <v>22.3</v>
      </c>
      <c r="AT406" s="139">
        <v>9</v>
      </c>
      <c r="AU406" s="138">
        <v>37</v>
      </c>
      <c r="AW406" s="136">
        <v>45.12</v>
      </c>
      <c r="AX406" s="139">
        <v>3</v>
      </c>
      <c r="AY406" s="138">
        <v>1</v>
      </c>
      <c r="BA406" s="136">
        <v>23.14</v>
      </c>
      <c r="BB406" s="139">
        <v>8</v>
      </c>
      <c r="BC406" s="138">
        <v>25</v>
      </c>
    </row>
    <row r="407" spans="5:55" ht="19.5" thickBot="1" x14ac:dyDescent="0.35">
      <c r="E407" s="136">
        <v>23.27</v>
      </c>
      <c r="F407" s="137">
        <v>6</v>
      </c>
      <c r="G407" s="138" t="s">
        <v>864</v>
      </c>
      <c r="I407" s="136">
        <v>45.18</v>
      </c>
      <c r="J407" s="139">
        <v>10</v>
      </c>
      <c r="K407" s="138">
        <v>50</v>
      </c>
      <c r="M407" s="136">
        <v>22.37</v>
      </c>
      <c r="N407" s="139">
        <v>10</v>
      </c>
      <c r="O407" s="138">
        <v>50</v>
      </c>
      <c r="Q407" s="136">
        <v>45.2</v>
      </c>
      <c r="R407" s="139">
        <v>4</v>
      </c>
      <c r="S407" s="138">
        <v>2</v>
      </c>
      <c r="U407" s="136">
        <v>22.38</v>
      </c>
      <c r="V407" s="139">
        <v>16</v>
      </c>
      <c r="W407" s="138">
        <v>98</v>
      </c>
      <c r="Y407" s="136">
        <v>22.26</v>
      </c>
      <c r="Z407" s="139">
        <v>9</v>
      </c>
      <c r="AA407" s="138">
        <v>37</v>
      </c>
      <c r="AC407" s="136">
        <v>22.43</v>
      </c>
      <c r="AD407" s="139">
        <v>19</v>
      </c>
      <c r="AE407" s="138" t="s">
        <v>884</v>
      </c>
      <c r="AG407" s="136">
        <v>22.57</v>
      </c>
      <c r="AH407" s="137">
        <v>11</v>
      </c>
      <c r="AI407" s="138">
        <v>63</v>
      </c>
      <c r="AK407" s="136">
        <v>22.39</v>
      </c>
      <c r="AL407" s="139">
        <v>19</v>
      </c>
      <c r="AM407" s="138" t="s">
        <v>884</v>
      </c>
      <c r="AO407" s="136">
        <v>45.15</v>
      </c>
      <c r="AP407" s="139">
        <v>4</v>
      </c>
      <c r="AQ407" s="138">
        <v>2</v>
      </c>
      <c r="AS407" s="136">
        <v>22.32</v>
      </c>
      <c r="AT407" s="139">
        <v>10</v>
      </c>
      <c r="AU407" s="138">
        <v>50</v>
      </c>
      <c r="AW407" s="136">
        <v>45.14</v>
      </c>
      <c r="AX407" s="139">
        <v>4</v>
      </c>
      <c r="AY407" s="138">
        <v>2</v>
      </c>
      <c r="BA407" s="136">
        <v>23.15</v>
      </c>
      <c r="BB407" s="139">
        <v>9</v>
      </c>
      <c r="BC407" s="138">
        <v>37</v>
      </c>
    </row>
    <row r="408" spans="5:55" x14ac:dyDescent="0.3">
      <c r="E408" s="164">
        <v>23.28</v>
      </c>
      <c r="F408" s="165">
        <v>7</v>
      </c>
      <c r="G408" s="162" t="s">
        <v>878</v>
      </c>
      <c r="I408" s="136">
        <v>45.2</v>
      </c>
      <c r="J408" s="139">
        <v>11</v>
      </c>
      <c r="K408" s="138">
        <v>63</v>
      </c>
      <c r="M408" s="136">
        <v>22.39</v>
      </c>
      <c r="N408" s="139">
        <v>11</v>
      </c>
      <c r="O408" s="138">
        <v>63</v>
      </c>
      <c r="Q408" s="136">
        <v>45.22</v>
      </c>
      <c r="R408" s="139">
        <v>5</v>
      </c>
      <c r="S408" s="138">
        <v>5</v>
      </c>
      <c r="U408" s="136">
        <v>22.4</v>
      </c>
      <c r="V408" s="139">
        <v>17</v>
      </c>
      <c r="W408" s="138">
        <v>99</v>
      </c>
      <c r="Y408" s="136">
        <v>22.27</v>
      </c>
      <c r="Z408" s="139">
        <v>10</v>
      </c>
      <c r="AA408" s="138">
        <v>50</v>
      </c>
      <c r="AC408" s="136">
        <v>23</v>
      </c>
      <c r="AD408" s="139">
        <v>1</v>
      </c>
      <c r="AE408" s="138" t="s">
        <v>883</v>
      </c>
      <c r="AG408" s="136">
        <v>22.59</v>
      </c>
      <c r="AH408" s="137">
        <v>12</v>
      </c>
      <c r="AI408" s="138">
        <v>75</v>
      </c>
      <c r="AK408" s="136">
        <v>23</v>
      </c>
      <c r="AL408" s="139">
        <v>1</v>
      </c>
      <c r="AM408" s="138" t="s">
        <v>883</v>
      </c>
      <c r="AO408" s="136">
        <v>45.16</v>
      </c>
      <c r="AP408" s="139">
        <v>5</v>
      </c>
      <c r="AQ408" s="138">
        <v>5</v>
      </c>
      <c r="AS408" s="136">
        <v>22.34</v>
      </c>
      <c r="AT408" s="139">
        <v>11</v>
      </c>
      <c r="AU408" s="138">
        <v>63</v>
      </c>
      <c r="AW408" s="136">
        <v>45.16</v>
      </c>
      <c r="AX408" s="139">
        <v>5</v>
      </c>
      <c r="AY408" s="138">
        <v>5</v>
      </c>
      <c r="BA408" s="136">
        <v>23.16</v>
      </c>
      <c r="BB408" s="139">
        <v>10</v>
      </c>
      <c r="BC408" s="138">
        <v>50</v>
      </c>
    </row>
    <row r="409" spans="5:55" x14ac:dyDescent="0.3">
      <c r="E409" s="166">
        <v>23.3</v>
      </c>
      <c r="F409" s="167">
        <v>8</v>
      </c>
      <c r="G409" s="155" t="s">
        <v>865</v>
      </c>
      <c r="I409" s="136">
        <v>45.22</v>
      </c>
      <c r="J409" s="139">
        <v>12</v>
      </c>
      <c r="K409" s="138">
        <v>75</v>
      </c>
      <c r="M409" s="136">
        <v>22.4</v>
      </c>
      <c r="N409" s="139">
        <v>12</v>
      </c>
      <c r="O409" s="138">
        <v>75</v>
      </c>
      <c r="Q409" s="136">
        <v>45.24</v>
      </c>
      <c r="R409" s="139">
        <v>6</v>
      </c>
      <c r="S409" s="138">
        <v>9</v>
      </c>
      <c r="U409" s="136">
        <v>22.43</v>
      </c>
      <c r="V409" s="139">
        <v>18</v>
      </c>
      <c r="W409" s="138" t="s">
        <v>884</v>
      </c>
      <c r="Y409" s="136">
        <v>22.28</v>
      </c>
      <c r="Z409" s="139">
        <v>11</v>
      </c>
      <c r="AA409" s="138">
        <v>63</v>
      </c>
      <c r="AC409" s="136">
        <v>23.16</v>
      </c>
      <c r="AD409" s="139">
        <v>2</v>
      </c>
      <c r="AE409" s="138" t="s">
        <v>883</v>
      </c>
      <c r="AG409" s="136">
        <v>22.61</v>
      </c>
      <c r="AH409" s="137">
        <v>13</v>
      </c>
      <c r="AI409" s="138">
        <v>85</v>
      </c>
      <c r="AK409" s="136">
        <v>23.2</v>
      </c>
      <c r="AL409" s="139">
        <v>2</v>
      </c>
      <c r="AM409" s="138" t="s">
        <v>883</v>
      </c>
      <c r="AO409" s="136">
        <v>45.17</v>
      </c>
      <c r="AP409" s="139">
        <v>6</v>
      </c>
      <c r="AQ409" s="138">
        <v>9</v>
      </c>
      <c r="AS409" s="136">
        <v>22.35</v>
      </c>
      <c r="AT409" s="139">
        <v>12</v>
      </c>
      <c r="AU409" s="138">
        <v>75</v>
      </c>
      <c r="AW409" s="136">
        <v>45.18</v>
      </c>
      <c r="AX409" s="139">
        <v>6</v>
      </c>
      <c r="AY409" s="138">
        <v>9</v>
      </c>
      <c r="BA409" s="136">
        <v>23.17</v>
      </c>
      <c r="BB409" s="139">
        <v>11</v>
      </c>
      <c r="BC409" s="138">
        <v>63</v>
      </c>
    </row>
    <row r="410" spans="5:55" x14ac:dyDescent="0.3">
      <c r="E410" s="166">
        <v>23.32</v>
      </c>
      <c r="F410" s="167">
        <v>9</v>
      </c>
      <c r="G410" s="155" t="s">
        <v>879</v>
      </c>
      <c r="I410" s="136">
        <v>45.24</v>
      </c>
      <c r="J410" s="139">
        <v>13</v>
      </c>
      <c r="K410" s="138">
        <v>85</v>
      </c>
      <c r="M410" s="136">
        <v>22.42</v>
      </c>
      <c r="N410" s="139">
        <v>13</v>
      </c>
      <c r="O410" s="138">
        <v>85</v>
      </c>
      <c r="Q410" s="136">
        <v>45.26</v>
      </c>
      <c r="R410" s="139">
        <v>7</v>
      </c>
      <c r="S410" s="138">
        <v>16</v>
      </c>
      <c r="U410" s="136">
        <v>22.47</v>
      </c>
      <c r="V410" s="139">
        <v>19</v>
      </c>
      <c r="W410" s="138" t="s">
        <v>884</v>
      </c>
      <c r="Y410" s="136">
        <v>22.29</v>
      </c>
      <c r="Z410" s="139">
        <v>12</v>
      </c>
      <c r="AA410" s="138">
        <v>75</v>
      </c>
      <c r="AC410" s="136">
        <v>23.18</v>
      </c>
      <c r="AD410" s="139">
        <v>3</v>
      </c>
      <c r="AE410" s="138">
        <v>1</v>
      </c>
      <c r="AG410" s="136">
        <v>22.63</v>
      </c>
      <c r="AH410" s="137">
        <v>14</v>
      </c>
      <c r="AI410" s="138">
        <v>91</v>
      </c>
      <c r="AK410" s="136">
        <v>23.21</v>
      </c>
      <c r="AL410" s="139">
        <v>3</v>
      </c>
      <c r="AM410" s="138">
        <v>1</v>
      </c>
      <c r="AO410" s="136">
        <v>45.19</v>
      </c>
      <c r="AP410" s="139">
        <v>7</v>
      </c>
      <c r="AQ410" s="138">
        <v>16</v>
      </c>
      <c r="AS410" s="136">
        <v>22.37</v>
      </c>
      <c r="AT410" s="139">
        <v>13</v>
      </c>
      <c r="AU410" s="138">
        <v>85</v>
      </c>
      <c r="AW410" s="136">
        <v>45.2</v>
      </c>
      <c r="AX410" s="139">
        <v>7</v>
      </c>
      <c r="AY410" s="138">
        <v>16</v>
      </c>
      <c r="BA410" s="136">
        <v>23.18</v>
      </c>
      <c r="BB410" s="139">
        <v>12</v>
      </c>
      <c r="BC410" s="138">
        <v>75</v>
      </c>
    </row>
    <row r="411" spans="5:55" x14ac:dyDescent="0.3">
      <c r="E411" s="166">
        <v>23.34</v>
      </c>
      <c r="F411" s="167">
        <v>10</v>
      </c>
      <c r="G411" s="155" t="s">
        <v>866</v>
      </c>
      <c r="I411" s="136">
        <v>45.26</v>
      </c>
      <c r="J411" s="139">
        <v>14</v>
      </c>
      <c r="K411" s="138">
        <v>91</v>
      </c>
      <c r="M411" s="136">
        <v>22.44</v>
      </c>
      <c r="N411" s="139">
        <v>14</v>
      </c>
      <c r="O411" s="138">
        <v>91</v>
      </c>
      <c r="Q411" s="136">
        <v>45.28</v>
      </c>
      <c r="R411" s="139">
        <v>8</v>
      </c>
      <c r="S411" s="138">
        <v>25</v>
      </c>
      <c r="U411" s="136">
        <v>23</v>
      </c>
      <c r="V411" s="139">
        <v>1</v>
      </c>
      <c r="W411" s="138" t="s">
        <v>883</v>
      </c>
      <c r="Y411" s="136">
        <v>22.3</v>
      </c>
      <c r="Z411" s="139">
        <v>13</v>
      </c>
      <c r="AA411" s="138">
        <v>85</v>
      </c>
      <c r="AC411" s="136">
        <v>23.19</v>
      </c>
      <c r="AD411" s="139">
        <v>4</v>
      </c>
      <c r="AE411" s="138">
        <v>2</v>
      </c>
      <c r="AG411" s="136">
        <v>22.65</v>
      </c>
      <c r="AH411" s="137">
        <v>15</v>
      </c>
      <c r="AI411" s="138">
        <v>95</v>
      </c>
      <c r="AK411" s="136">
        <v>23.23</v>
      </c>
      <c r="AL411" s="139">
        <v>4</v>
      </c>
      <c r="AM411" s="138">
        <v>2</v>
      </c>
      <c r="AO411" s="136">
        <v>45.2</v>
      </c>
      <c r="AP411" s="139">
        <v>8</v>
      </c>
      <c r="AQ411" s="138">
        <v>25</v>
      </c>
      <c r="AS411" s="136">
        <v>22.39</v>
      </c>
      <c r="AT411" s="139">
        <v>14</v>
      </c>
      <c r="AU411" s="138">
        <v>91</v>
      </c>
      <c r="AW411" s="136">
        <v>45.22</v>
      </c>
      <c r="AX411" s="139">
        <v>8</v>
      </c>
      <c r="AY411" s="138">
        <v>25</v>
      </c>
      <c r="BA411" s="136">
        <v>23.19</v>
      </c>
      <c r="BB411" s="139">
        <v>13</v>
      </c>
      <c r="BC411" s="138">
        <v>85</v>
      </c>
    </row>
    <row r="412" spans="5:55" x14ac:dyDescent="0.3">
      <c r="E412" s="166">
        <v>23.36</v>
      </c>
      <c r="F412" s="167">
        <v>11</v>
      </c>
      <c r="G412" s="155" t="s">
        <v>867</v>
      </c>
      <c r="I412" s="136">
        <v>45.28</v>
      </c>
      <c r="J412" s="139">
        <v>15</v>
      </c>
      <c r="K412" s="138">
        <v>95</v>
      </c>
      <c r="M412" s="136">
        <v>22.46</v>
      </c>
      <c r="N412" s="139">
        <v>15</v>
      </c>
      <c r="O412" s="138">
        <v>95</v>
      </c>
      <c r="Q412" s="136">
        <v>45.3</v>
      </c>
      <c r="R412" s="139">
        <v>9</v>
      </c>
      <c r="S412" s="138">
        <v>37</v>
      </c>
      <c r="U412" s="136">
        <v>23.08</v>
      </c>
      <c r="V412" s="139">
        <v>2</v>
      </c>
      <c r="W412" s="138" t="s">
        <v>883</v>
      </c>
      <c r="Y412" s="136">
        <v>22.32</v>
      </c>
      <c r="Z412" s="139">
        <v>14</v>
      </c>
      <c r="AA412" s="138">
        <v>91</v>
      </c>
      <c r="AC412" s="136">
        <v>23.21</v>
      </c>
      <c r="AD412" s="139">
        <v>5</v>
      </c>
      <c r="AE412" s="138">
        <v>5</v>
      </c>
      <c r="AG412" s="136">
        <v>22.67</v>
      </c>
      <c r="AH412" s="137">
        <v>16</v>
      </c>
      <c r="AI412" s="138">
        <v>98</v>
      </c>
      <c r="AK412" s="136">
        <v>23.24</v>
      </c>
      <c r="AL412" s="139">
        <v>5</v>
      </c>
      <c r="AM412" s="138">
        <v>5</v>
      </c>
      <c r="AO412" s="136">
        <v>45.21</v>
      </c>
      <c r="AP412" s="139">
        <v>9</v>
      </c>
      <c r="AQ412" s="138">
        <v>37</v>
      </c>
      <c r="AS412" s="136">
        <v>22.41</v>
      </c>
      <c r="AT412" s="139">
        <v>15</v>
      </c>
      <c r="AU412" s="138">
        <v>95</v>
      </c>
      <c r="AW412" s="136">
        <v>45.25</v>
      </c>
      <c r="AX412" s="139">
        <v>9</v>
      </c>
      <c r="AY412" s="138">
        <v>37</v>
      </c>
      <c r="BA412" s="136">
        <v>23.2</v>
      </c>
      <c r="BB412" s="139">
        <v>14</v>
      </c>
      <c r="BC412" s="138">
        <v>91</v>
      </c>
    </row>
    <row r="413" spans="5:55" x14ac:dyDescent="0.3">
      <c r="E413" s="166">
        <v>23.38</v>
      </c>
      <c r="F413" s="167">
        <v>12</v>
      </c>
      <c r="G413" s="155" t="s">
        <v>868</v>
      </c>
      <c r="I413" s="136">
        <v>45.3</v>
      </c>
      <c r="J413" s="139">
        <v>16</v>
      </c>
      <c r="K413" s="138">
        <v>98</v>
      </c>
      <c r="M413" s="136">
        <v>22.47</v>
      </c>
      <c r="N413" s="139">
        <v>16</v>
      </c>
      <c r="O413" s="138">
        <v>98</v>
      </c>
      <c r="Q413" s="136">
        <v>45.32</v>
      </c>
      <c r="R413" s="139">
        <v>10</v>
      </c>
      <c r="S413" s="138">
        <v>50</v>
      </c>
      <c r="U413" s="136">
        <v>23.1</v>
      </c>
      <c r="V413" s="139">
        <v>3</v>
      </c>
      <c r="W413" s="138">
        <v>1</v>
      </c>
      <c r="Y413" s="136">
        <v>22.33</v>
      </c>
      <c r="Z413" s="139">
        <v>15</v>
      </c>
      <c r="AA413" s="138">
        <v>95</v>
      </c>
      <c r="AC413" s="136">
        <v>23.23</v>
      </c>
      <c r="AD413" s="139">
        <v>6</v>
      </c>
      <c r="AE413" s="138">
        <v>9</v>
      </c>
      <c r="AG413" s="136">
        <v>22.69</v>
      </c>
      <c r="AH413" s="137">
        <v>17</v>
      </c>
      <c r="AI413" s="138">
        <v>99</v>
      </c>
      <c r="AK413" s="136">
        <v>23.25</v>
      </c>
      <c r="AL413" s="139">
        <v>6</v>
      </c>
      <c r="AM413" s="138">
        <v>9</v>
      </c>
      <c r="AO413" s="136">
        <v>45.22</v>
      </c>
      <c r="AP413" s="139">
        <v>10</v>
      </c>
      <c r="AQ413" s="138">
        <v>50</v>
      </c>
      <c r="AS413" s="136">
        <v>22.42</v>
      </c>
      <c r="AT413" s="139">
        <v>16</v>
      </c>
      <c r="AU413" s="138">
        <v>98</v>
      </c>
      <c r="AW413" s="136">
        <v>45.27</v>
      </c>
      <c r="AX413" s="139">
        <v>10</v>
      </c>
      <c r="AY413" s="138">
        <v>50</v>
      </c>
      <c r="BA413" s="136">
        <v>23.21</v>
      </c>
      <c r="BB413" s="139">
        <v>15</v>
      </c>
      <c r="BC413" s="138">
        <v>95</v>
      </c>
    </row>
    <row r="414" spans="5:55" x14ac:dyDescent="0.3">
      <c r="E414" s="166">
        <v>23.39</v>
      </c>
      <c r="F414" s="167">
        <v>13</v>
      </c>
      <c r="G414" s="155" t="s">
        <v>869</v>
      </c>
      <c r="I414" s="136">
        <v>45.32</v>
      </c>
      <c r="J414" s="139">
        <v>17</v>
      </c>
      <c r="K414" s="138">
        <v>99</v>
      </c>
      <c r="M414" s="136">
        <v>22.49</v>
      </c>
      <c r="N414" s="139">
        <v>17</v>
      </c>
      <c r="O414" s="138">
        <v>99</v>
      </c>
      <c r="Q414" s="136">
        <v>45.33</v>
      </c>
      <c r="R414" s="139">
        <v>11</v>
      </c>
      <c r="S414" s="138">
        <v>63</v>
      </c>
      <c r="U414" s="136">
        <v>23.12</v>
      </c>
      <c r="V414" s="139">
        <v>4</v>
      </c>
      <c r="W414" s="138">
        <v>2</v>
      </c>
      <c r="Y414" s="136">
        <v>22.34</v>
      </c>
      <c r="Z414" s="139">
        <v>16</v>
      </c>
      <c r="AA414" s="138">
        <v>98</v>
      </c>
      <c r="AC414" s="136">
        <v>23.25</v>
      </c>
      <c r="AD414" s="139">
        <v>7</v>
      </c>
      <c r="AE414" s="138">
        <v>16</v>
      </c>
      <c r="AG414" s="136">
        <v>22.71</v>
      </c>
      <c r="AH414" s="137">
        <v>18</v>
      </c>
      <c r="AI414" s="138" t="s">
        <v>884</v>
      </c>
      <c r="AK414" s="136">
        <v>23.26</v>
      </c>
      <c r="AL414" s="139">
        <v>7</v>
      </c>
      <c r="AM414" s="138">
        <v>16</v>
      </c>
      <c r="AO414" s="136">
        <v>45.23</v>
      </c>
      <c r="AP414" s="139">
        <v>11</v>
      </c>
      <c r="AQ414" s="138">
        <v>63</v>
      </c>
      <c r="AS414" s="136">
        <v>22.44</v>
      </c>
      <c r="AT414" s="139">
        <v>17</v>
      </c>
      <c r="AU414" s="138">
        <v>99</v>
      </c>
      <c r="AW414" s="136">
        <v>45.29</v>
      </c>
      <c r="AX414" s="139">
        <v>11</v>
      </c>
      <c r="AY414" s="138">
        <v>63</v>
      </c>
      <c r="BA414" s="136">
        <v>23.22</v>
      </c>
      <c r="BB414" s="139">
        <v>16</v>
      </c>
      <c r="BC414" s="138">
        <v>98</v>
      </c>
    </row>
    <row r="415" spans="5:55" x14ac:dyDescent="0.3">
      <c r="E415" s="166">
        <v>23.41</v>
      </c>
      <c r="F415" s="167">
        <v>14</v>
      </c>
      <c r="G415" s="155" t="s">
        <v>870</v>
      </c>
      <c r="I415" s="136">
        <v>45.34</v>
      </c>
      <c r="J415" s="139">
        <v>18</v>
      </c>
      <c r="K415" s="138" t="s">
        <v>884</v>
      </c>
      <c r="M415" s="136">
        <v>22.51</v>
      </c>
      <c r="N415" s="139">
        <v>18</v>
      </c>
      <c r="O415" s="138" t="s">
        <v>884</v>
      </c>
      <c r="Q415" s="136">
        <v>45.35</v>
      </c>
      <c r="R415" s="139">
        <v>12</v>
      </c>
      <c r="S415" s="138">
        <v>75</v>
      </c>
      <c r="U415" s="136">
        <v>23.14</v>
      </c>
      <c r="V415" s="139">
        <v>5</v>
      </c>
      <c r="W415" s="138">
        <v>5</v>
      </c>
      <c r="Y415" s="136">
        <v>22.36</v>
      </c>
      <c r="Z415" s="139">
        <v>17</v>
      </c>
      <c r="AA415" s="138">
        <v>99</v>
      </c>
      <c r="AC415" s="136">
        <v>23.26</v>
      </c>
      <c r="AD415" s="139">
        <v>8</v>
      </c>
      <c r="AE415" s="138">
        <v>25</v>
      </c>
      <c r="AG415" s="136">
        <v>22.73</v>
      </c>
      <c r="AH415" s="137">
        <v>19</v>
      </c>
      <c r="AI415" s="138" t="s">
        <v>884</v>
      </c>
      <c r="AK415" s="136">
        <v>23.27</v>
      </c>
      <c r="AL415" s="139">
        <v>8</v>
      </c>
      <c r="AM415" s="138">
        <v>25</v>
      </c>
      <c r="AO415" s="136">
        <v>45.24</v>
      </c>
      <c r="AP415" s="139">
        <v>12</v>
      </c>
      <c r="AQ415" s="138">
        <v>75</v>
      </c>
      <c r="AS415" s="136">
        <v>22.46</v>
      </c>
      <c r="AT415" s="139">
        <v>18</v>
      </c>
      <c r="AU415" s="138" t="s">
        <v>884</v>
      </c>
      <c r="AW415" s="136">
        <v>45.31</v>
      </c>
      <c r="AX415" s="139">
        <v>12</v>
      </c>
      <c r="AY415" s="138">
        <v>75</v>
      </c>
      <c r="BA415" s="136">
        <v>23.23</v>
      </c>
      <c r="BB415" s="139">
        <v>17</v>
      </c>
      <c r="BC415" s="138">
        <v>99</v>
      </c>
    </row>
    <row r="416" spans="5:55" x14ac:dyDescent="0.3">
      <c r="E416" s="166">
        <v>23.43</v>
      </c>
      <c r="F416" s="167">
        <v>15</v>
      </c>
      <c r="G416" s="155" t="s">
        <v>871</v>
      </c>
      <c r="I416" s="136">
        <v>45.36</v>
      </c>
      <c r="J416" s="139">
        <v>19</v>
      </c>
      <c r="K416" s="138" t="s">
        <v>884</v>
      </c>
      <c r="M416" s="136">
        <v>22.53</v>
      </c>
      <c r="N416" s="139">
        <v>19</v>
      </c>
      <c r="O416" s="138" t="s">
        <v>884</v>
      </c>
      <c r="Q416" s="136">
        <v>45.36</v>
      </c>
      <c r="R416" s="139">
        <v>13</v>
      </c>
      <c r="S416" s="138">
        <v>85</v>
      </c>
      <c r="U416" s="136">
        <v>23.17</v>
      </c>
      <c r="V416" s="139">
        <v>6</v>
      </c>
      <c r="W416" s="138">
        <v>9</v>
      </c>
      <c r="Y416" s="136">
        <v>22.37</v>
      </c>
      <c r="Z416" s="139">
        <v>18</v>
      </c>
      <c r="AA416" s="138" t="s">
        <v>884</v>
      </c>
      <c r="AC416" s="136">
        <v>23.28</v>
      </c>
      <c r="AD416" s="139">
        <v>9</v>
      </c>
      <c r="AE416" s="138">
        <v>37</v>
      </c>
      <c r="AG416" s="136">
        <v>23</v>
      </c>
      <c r="AH416" s="137">
        <v>1</v>
      </c>
      <c r="AI416" s="138" t="s">
        <v>883</v>
      </c>
      <c r="AK416" s="136">
        <v>23.28</v>
      </c>
      <c r="AL416" s="139">
        <v>9</v>
      </c>
      <c r="AM416" s="138">
        <v>37</v>
      </c>
      <c r="AO416" s="136">
        <v>45.25</v>
      </c>
      <c r="AP416" s="139">
        <v>13</v>
      </c>
      <c r="AQ416" s="138">
        <v>85</v>
      </c>
      <c r="AS416" s="136">
        <v>22.47</v>
      </c>
      <c r="AT416" s="139">
        <v>19</v>
      </c>
      <c r="AU416" s="138" t="s">
        <v>884</v>
      </c>
      <c r="AW416" s="136">
        <v>45.33</v>
      </c>
      <c r="AX416" s="139">
        <v>13</v>
      </c>
      <c r="AY416" s="138">
        <v>85</v>
      </c>
      <c r="BA416" s="136">
        <v>23.24</v>
      </c>
      <c r="BB416" s="139">
        <v>18</v>
      </c>
      <c r="BC416" s="138" t="s">
        <v>884</v>
      </c>
    </row>
    <row r="417" spans="5:55" x14ac:dyDescent="0.3">
      <c r="E417" s="166">
        <v>23.44</v>
      </c>
      <c r="F417" s="167">
        <v>16</v>
      </c>
      <c r="G417" s="155" t="s">
        <v>872</v>
      </c>
      <c r="I417" s="136">
        <v>46</v>
      </c>
      <c r="J417" s="139">
        <v>1</v>
      </c>
      <c r="K417" s="138" t="s">
        <v>883</v>
      </c>
      <c r="M417" s="136">
        <v>23</v>
      </c>
      <c r="N417" s="139">
        <v>1</v>
      </c>
      <c r="O417" s="138" t="s">
        <v>883</v>
      </c>
      <c r="Q417" s="136">
        <v>45.38</v>
      </c>
      <c r="R417" s="139">
        <v>14</v>
      </c>
      <c r="S417" s="138">
        <v>91</v>
      </c>
      <c r="U417" s="136">
        <v>23.19</v>
      </c>
      <c r="V417" s="139">
        <v>7</v>
      </c>
      <c r="W417" s="138">
        <v>16</v>
      </c>
      <c r="Y417" s="136">
        <v>22.38</v>
      </c>
      <c r="Z417" s="139">
        <v>19</v>
      </c>
      <c r="AA417" s="138" t="s">
        <v>884</v>
      </c>
      <c r="AC417" s="136">
        <v>23.29</v>
      </c>
      <c r="AD417" s="139">
        <v>10</v>
      </c>
      <c r="AE417" s="138">
        <v>50</v>
      </c>
      <c r="AG417" s="136">
        <v>23.39</v>
      </c>
      <c r="AH417" s="137">
        <v>2</v>
      </c>
      <c r="AI417" s="138" t="s">
        <v>883</v>
      </c>
      <c r="AK417" s="136">
        <v>23.29</v>
      </c>
      <c r="AL417" s="139">
        <v>10</v>
      </c>
      <c r="AM417" s="138">
        <v>50</v>
      </c>
      <c r="AO417" s="136">
        <v>45.26</v>
      </c>
      <c r="AP417" s="139">
        <v>14</v>
      </c>
      <c r="AQ417" s="138">
        <v>91</v>
      </c>
      <c r="AS417" s="136">
        <v>23</v>
      </c>
      <c r="AT417" s="139">
        <v>1</v>
      </c>
      <c r="AU417" s="138" t="s">
        <v>883</v>
      </c>
      <c r="AW417" s="136">
        <v>45.35</v>
      </c>
      <c r="AX417" s="139">
        <v>14</v>
      </c>
      <c r="AY417" s="138">
        <v>91</v>
      </c>
      <c r="BA417" s="136">
        <v>23.27</v>
      </c>
      <c r="BB417" s="139">
        <v>19</v>
      </c>
      <c r="BC417" s="138" t="s">
        <v>884</v>
      </c>
    </row>
    <row r="418" spans="5:55" x14ac:dyDescent="0.3">
      <c r="E418" s="166">
        <v>23.46</v>
      </c>
      <c r="F418" s="167">
        <v>17</v>
      </c>
      <c r="G418" s="155" t="s">
        <v>873</v>
      </c>
      <c r="I418" s="136">
        <v>46.04</v>
      </c>
      <c r="J418" s="139">
        <v>2</v>
      </c>
      <c r="K418" s="138" t="s">
        <v>883</v>
      </c>
      <c r="M418" s="136">
        <v>23.19</v>
      </c>
      <c r="N418" s="139">
        <v>2</v>
      </c>
      <c r="O418" s="138" t="s">
        <v>883</v>
      </c>
      <c r="Q418" s="136">
        <v>45.4</v>
      </c>
      <c r="R418" s="139">
        <v>15</v>
      </c>
      <c r="S418" s="138">
        <v>95</v>
      </c>
      <c r="U418" s="136">
        <v>23.22</v>
      </c>
      <c r="V418" s="139">
        <v>8</v>
      </c>
      <c r="W418" s="138">
        <v>25</v>
      </c>
      <c r="Y418" s="136">
        <v>23</v>
      </c>
      <c r="Z418" s="139">
        <v>1</v>
      </c>
      <c r="AA418" s="138" t="s">
        <v>883</v>
      </c>
      <c r="AC418" s="136">
        <v>23.3</v>
      </c>
      <c r="AD418" s="139">
        <v>11</v>
      </c>
      <c r="AE418" s="138">
        <v>63</v>
      </c>
      <c r="AG418" s="136">
        <v>23.41</v>
      </c>
      <c r="AH418" s="137">
        <v>3</v>
      </c>
      <c r="AI418" s="138">
        <v>1</v>
      </c>
      <c r="AK418" s="136">
        <v>23.3</v>
      </c>
      <c r="AL418" s="139">
        <v>11</v>
      </c>
      <c r="AM418" s="138">
        <v>63</v>
      </c>
      <c r="AO418" s="136">
        <v>45.27</v>
      </c>
      <c r="AP418" s="139">
        <v>15</v>
      </c>
      <c r="AQ418" s="138">
        <v>95</v>
      </c>
      <c r="AS418" s="136">
        <v>23.18</v>
      </c>
      <c r="AT418" s="139">
        <v>2</v>
      </c>
      <c r="AU418" s="138" t="s">
        <v>883</v>
      </c>
      <c r="AW418" s="136">
        <v>45.37</v>
      </c>
      <c r="AX418" s="139">
        <v>15</v>
      </c>
      <c r="AY418" s="138">
        <v>95</v>
      </c>
      <c r="BA418" s="136">
        <v>24</v>
      </c>
      <c r="BB418" s="139">
        <v>1</v>
      </c>
      <c r="BC418" s="138" t="s">
        <v>883</v>
      </c>
    </row>
    <row r="419" spans="5:55" x14ac:dyDescent="0.3">
      <c r="E419" s="166">
        <v>23.48</v>
      </c>
      <c r="F419" s="167">
        <v>18</v>
      </c>
      <c r="G419" s="155" t="s">
        <v>874</v>
      </c>
      <c r="I419" s="136">
        <v>46.05</v>
      </c>
      <c r="J419" s="139">
        <v>3</v>
      </c>
      <c r="K419" s="138">
        <v>1</v>
      </c>
      <c r="M419" s="136">
        <v>23.25</v>
      </c>
      <c r="N419" s="139">
        <v>3</v>
      </c>
      <c r="O419" s="138">
        <v>1</v>
      </c>
      <c r="Q419" s="136">
        <v>45.41</v>
      </c>
      <c r="R419" s="139">
        <v>16</v>
      </c>
      <c r="S419" s="138">
        <v>98</v>
      </c>
      <c r="U419" s="136">
        <v>23.25</v>
      </c>
      <c r="V419" s="139">
        <v>9</v>
      </c>
      <c r="W419" s="138">
        <v>37</v>
      </c>
      <c r="Y419" s="136">
        <v>23.19</v>
      </c>
      <c r="Z419" s="139">
        <v>2</v>
      </c>
      <c r="AA419" s="138" t="s">
        <v>883</v>
      </c>
      <c r="AC419" s="136">
        <v>23.32</v>
      </c>
      <c r="AD419" s="139">
        <v>12</v>
      </c>
      <c r="AE419" s="138">
        <v>75</v>
      </c>
      <c r="AG419" s="136">
        <v>23.44</v>
      </c>
      <c r="AH419" s="137">
        <v>4</v>
      </c>
      <c r="AI419" s="138">
        <v>2</v>
      </c>
      <c r="AK419" s="136">
        <v>23.31</v>
      </c>
      <c r="AL419" s="139">
        <v>12</v>
      </c>
      <c r="AM419" s="138">
        <v>75</v>
      </c>
      <c r="AO419" s="136">
        <v>45.28</v>
      </c>
      <c r="AP419" s="139">
        <v>16</v>
      </c>
      <c r="AQ419" s="138">
        <v>98</v>
      </c>
      <c r="AS419" s="136">
        <v>23.2</v>
      </c>
      <c r="AT419" s="139">
        <v>3</v>
      </c>
      <c r="AU419" s="138">
        <v>1</v>
      </c>
      <c r="AW419" s="136">
        <v>45.39</v>
      </c>
      <c r="AX419" s="139">
        <v>16</v>
      </c>
      <c r="AY419" s="138">
        <v>98</v>
      </c>
      <c r="BA419" s="136">
        <v>24.08</v>
      </c>
      <c r="BB419" s="139">
        <v>2</v>
      </c>
      <c r="BC419" s="138" t="s">
        <v>883</v>
      </c>
    </row>
    <row r="420" spans="5:55" x14ac:dyDescent="0.3">
      <c r="E420" s="166">
        <v>23.51</v>
      </c>
      <c r="F420" s="167">
        <v>19</v>
      </c>
      <c r="G420" s="155" t="s">
        <v>874</v>
      </c>
      <c r="I420" s="136">
        <v>46.07</v>
      </c>
      <c r="J420" s="139">
        <v>4</v>
      </c>
      <c r="K420" s="138">
        <v>2</v>
      </c>
      <c r="M420" s="136">
        <v>23.27</v>
      </c>
      <c r="N420" s="139">
        <v>4</v>
      </c>
      <c r="O420" s="138">
        <v>2</v>
      </c>
      <c r="Q420" s="136">
        <v>45.43</v>
      </c>
      <c r="R420" s="139">
        <v>17</v>
      </c>
      <c r="S420" s="138">
        <v>99</v>
      </c>
      <c r="U420" s="136">
        <v>23.27</v>
      </c>
      <c r="V420" s="139">
        <v>10</v>
      </c>
      <c r="W420" s="138">
        <v>50</v>
      </c>
      <c r="Y420" s="136">
        <v>23.2</v>
      </c>
      <c r="Z420" s="139">
        <v>3</v>
      </c>
      <c r="AA420" s="138">
        <v>1</v>
      </c>
      <c r="AC420" s="136">
        <v>23.33</v>
      </c>
      <c r="AD420" s="139">
        <v>13</v>
      </c>
      <c r="AE420" s="138">
        <v>85</v>
      </c>
      <c r="AG420" s="136">
        <v>23.47</v>
      </c>
      <c r="AH420" s="137">
        <v>5</v>
      </c>
      <c r="AI420" s="138">
        <v>5</v>
      </c>
      <c r="AK420" s="136">
        <v>23.32</v>
      </c>
      <c r="AL420" s="139">
        <v>13</v>
      </c>
      <c r="AM420" s="138">
        <v>85</v>
      </c>
      <c r="AO420" s="136">
        <v>45.3</v>
      </c>
      <c r="AP420" s="139">
        <v>17</v>
      </c>
      <c r="AQ420" s="138">
        <v>99</v>
      </c>
      <c r="AS420" s="136">
        <v>23.23</v>
      </c>
      <c r="AT420" s="139">
        <v>4</v>
      </c>
      <c r="AU420" s="138">
        <v>2</v>
      </c>
      <c r="AW420" s="136">
        <v>45.41</v>
      </c>
      <c r="AX420" s="139">
        <v>17</v>
      </c>
      <c r="AY420" s="138">
        <v>99</v>
      </c>
      <c r="BA420" s="136">
        <v>24.1</v>
      </c>
      <c r="BB420" s="139">
        <v>3</v>
      </c>
      <c r="BC420" s="138">
        <v>1</v>
      </c>
    </row>
    <row r="421" spans="5:55" x14ac:dyDescent="0.3">
      <c r="E421" s="166">
        <v>24</v>
      </c>
      <c r="F421" s="167">
        <v>1</v>
      </c>
      <c r="G421" s="155" t="s">
        <v>862</v>
      </c>
      <c r="I421" s="136">
        <v>46.08</v>
      </c>
      <c r="J421" s="139">
        <v>5</v>
      </c>
      <c r="K421" s="138">
        <v>5</v>
      </c>
      <c r="M421" s="136">
        <v>23.28</v>
      </c>
      <c r="N421" s="139">
        <v>5</v>
      </c>
      <c r="O421" s="138">
        <v>5</v>
      </c>
      <c r="Q421" s="136">
        <v>45.45</v>
      </c>
      <c r="R421" s="139">
        <v>18</v>
      </c>
      <c r="S421" s="138" t="s">
        <v>884</v>
      </c>
      <c r="U421" s="136">
        <v>23.3</v>
      </c>
      <c r="V421" s="139">
        <v>11</v>
      </c>
      <c r="W421" s="138">
        <v>63</v>
      </c>
      <c r="Y421" s="136">
        <v>23.22</v>
      </c>
      <c r="Z421" s="139">
        <v>4</v>
      </c>
      <c r="AA421" s="138">
        <v>2</v>
      </c>
      <c r="AC421" s="136">
        <v>23.35</v>
      </c>
      <c r="AD421" s="139">
        <v>14</v>
      </c>
      <c r="AE421" s="138">
        <v>91</v>
      </c>
      <c r="AG421" s="136">
        <v>23.49</v>
      </c>
      <c r="AH421" s="137">
        <v>6</v>
      </c>
      <c r="AI421" s="138">
        <v>9</v>
      </c>
      <c r="AK421" s="136">
        <v>23.33</v>
      </c>
      <c r="AL421" s="139">
        <v>14</v>
      </c>
      <c r="AM421" s="138">
        <v>91</v>
      </c>
      <c r="AO421" s="136">
        <v>45.31</v>
      </c>
      <c r="AP421" s="139">
        <v>18</v>
      </c>
      <c r="AQ421" s="138" t="s">
        <v>884</v>
      </c>
      <c r="AS421" s="136">
        <v>23.25</v>
      </c>
      <c r="AT421" s="139">
        <v>5</v>
      </c>
      <c r="AU421" s="138">
        <v>5</v>
      </c>
      <c r="AW421" s="136">
        <v>45.43</v>
      </c>
      <c r="AX421" s="139">
        <v>18</v>
      </c>
      <c r="AY421" s="138" t="s">
        <v>884</v>
      </c>
      <c r="BA421" s="136">
        <v>24.11</v>
      </c>
      <c r="BB421" s="139">
        <v>4</v>
      </c>
      <c r="BC421" s="138">
        <v>2</v>
      </c>
    </row>
    <row r="422" spans="5:55" x14ac:dyDescent="0.3">
      <c r="E422" s="166">
        <v>24.21</v>
      </c>
      <c r="F422" s="167">
        <v>2</v>
      </c>
      <c r="G422" s="155" t="s">
        <v>862</v>
      </c>
      <c r="I422" s="136">
        <v>46.11</v>
      </c>
      <c r="J422" s="139">
        <v>6</v>
      </c>
      <c r="K422" s="138">
        <v>9</v>
      </c>
      <c r="M422" s="136">
        <v>23.31</v>
      </c>
      <c r="N422" s="139">
        <v>6</v>
      </c>
      <c r="O422" s="138">
        <v>9</v>
      </c>
      <c r="Q422" s="136">
        <v>45.46</v>
      </c>
      <c r="R422" s="139">
        <v>19</v>
      </c>
      <c r="S422" s="138" t="s">
        <v>884</v>
      </c>
      <c r="U422" s="136">
        <v>23.32</v>
      </c>
      <c r="V422" s="139">
        <v>12</v>
      </c>
      <c r="W422" s="138">
        <v>75</v>
      </c>
      <c r="Y422" s="136">
        <v>23.23</v>
      </c>
      <c r="Z422" s="139">
        <v>5</v>
      </c>
      <c r="AA422" s="138">
        <v>5</v>
      </c>
      <c r="AC422" s="136">
        <v>23.36</v>
      </c>
      <c r="AD422" s="139">
        <v>15</v>
      </c>
      <c r="AE422" s="138">
        <v>95</v>
      </c>
      <c r="AG422" s="136">
        <v>23.51</v>
      </c>
      <c r="AH422" s="137">
        <v>7</v>
      </c>
      <c r="AI422" s="138">
        <v>16</v>
      </c>
      <c r="AK422" s="136">
        <v>23.34</v>
      </c>
      <c r="AL422" s="139">
        <v>15</v>
      </c>
      <c r="AM422" s="138">
        <v>95</v>
      </c>
      <c r="AO422" s="136">
        <v>45.34</v>
      </c>
      <c r="AP422" s="139">
        <v>19</v>
      </c>
      <c r="AQ422" s="138" t="s">
        <v>884</v>
      </c>
      <c r="AS422" s="136">
        <v>23.27</v>
      </c>
      <c r="AT422" s="139">
        <v>6</v>
      </c>
      <c r="AU422" s="138">
        <v>9</v>
      </c>
      <c r="AW422" s="136">
        <v>45.45</v>
      </c>
      <c r="AX422" s="139">
        <v>19</v>
      </c>
      <c r="AY422" s="138" t="s">
        <v>884</v>
      </c>
      <c r="BA422" s="136">
        <v>24.12</v>
      </c>
      <c r="BB422" s="139">
        <v>5</v>
      </c>
      <c r="BC422" s="138">
        <v>5</v>
      </c>
    </row>
    <row r="423" spans="5:55" x14ac:dyDescent="0.3">
      <c r="E423" s="166">
        <v>24.23</v>
      </c>
      <c r="F423" s="167">
        <v>3</v>
      </c>
      <c r="G423" s="155" t="s">
        <v>876</v>
      </c>
      <c r="I423" s="136">
        <v>46.12</v>
      </c>
      <c r="J423" s="139">
        <v>7</v>
      </c>
      <c r="K423" s="138">
        <v>16</v>
      </c>
      <c r="M423" s="136">
        <v>23.33</v>
      </c>
      <c r="N423" s="139">
        <v>7</v>
      </c>
      <c r="O423" s="138">
        <v>16</v>
      </c>
      <c r="Q423" s="136">
        <v>46</v>
      </c>
      <c r="R423" s="139">
        <v>1</v>
      </c>
      <c r="S423" s="138" t="s">
        <v>883</v>
      </c>
      <c r="U423" s="136">
        <v>23.34</v>
      </c>
      <c r="V423" s="139">
        <v>13</v>
      </c>
      <c r="W423" s="138">
        <v>85</v>
      </c>
      <c r="Y423" s="136">
        <v>23.24</v>
      </c>
      <c r="Z423" s="139">
        <v>6</v>
      </c>
      <c r="AA423" s="138">
        <v>9</v>
      </c>
      <c r="AC423" s="136">
        <v>23.37</v>
      </c>
      <c r="AD423" s="139">
        <v>16</v>
      </c>
      <c r="AE423" s="138">
        <v>98</v>
      </c>
      <c r="AG423" s="136">
        <v>23.53</v>
      </c>
      <c r="AH423" s="137">
        <v>8</v>
      </c>
      <c r="AI423" s="138">
        <v>25</v>
      </c>
      <c r="AK423" s="136">
        <v>23.35</v>
      </c>
      <c r="AL423" s="139">
        <v>16</v>
      </c>
      <c r="AM423" s="138">
        <v>98</v>
      </c>
      <c r="AO423" s="136">
        <v>46</v>
      </c>
      <c r="AP423" s="139">
        <v>1</v>
      </c>
      <c r="AQ423" s="138" t="s">
        <v>883</v>
      </c>
      <c r="AS423" s="136">
        <v>23.28</v>
      </c>
      <c r="AT423" s="139">
        <v>7</v>
      </c>
      <c r="AU423" s="138">
        <v>16</v>
      </c>
      <c r="AW423" s="136">
        <v>46</v>
      </c>
      <c r="AX423" s="139">
        <v>1</v>
      </c>
      <c r="AY423" s="138" t="s">
        <v>883</v>
      </c>
      <c r="BA423" s="136">
        <v>24.13</v>
      </c>
      <c r="BB423" s="139">
        <v>6</v>
      </c>
      <c r="BC423" s="138">
        <v>9</v>
      </c>
    </row>
    <row r="424" spans="5:55" x14ac:dyDescent="0.3">
      <c r="E424" s="166">
        <v>24.25</v>
      </c>
      <c r="F424" s="167">
        <v>4</v>
      </c>
      <c r="G424" s="155" t="s">
        <v>863</v>
      </c>
      <c r="I424" s="136">
        <v>46.14</v>
      </c>
      <c r="J424" s="139">
        <v>8</v>
      </c>
      <c r="K424" s="138">
        <v>25</v>
      </c>
      <c r="M424" s="136">
        <v>23.35</v>
      </c>
      <c r="N424" s="139">
        <v>8</v>
      </c>
      <c r="O424" s="138">
        <v>25</v>
      </c>
      <c r="Q424" s="136">
        <v>46.09</v>
      </c>
      <c r="R424" s="139">
        <v>2</v>
      </c>
      <c r="S424" s="138" t="s">
        <v>883</v>
      </c>
      <c r="U424" s="136">
        <v>23.36</v>
      </c>
      <c r="V424" s="139">
        <v>14</v>
      </c>
      <c r="W424" s="138">
        <v>91</v>
      </c>
      <c r="Y424" s="136">
        <v>23.25</v>
      </c>
      <c r="Z424" s="139">
        <v>7</v>
      </c>
      <c r="AA424" s="138">
        <v>16</v>
      </c>
      <c r="AC424" s="136">
        <v>23.39</v>
      </c>
      <c r="AD424" s="139">
        <v>17</v>
      </c>
      <c r="AE424" s="138">
        <v>99</v>
      </c>
      <c r="AG424" s="136">
        <v>23.55</v>
      </c>
      <c r="AH424" s="137">
        <v>9</v>
      </c>
      <c r="AI424" s="138">
        <v>37</v>
      </c>
      <c r="AK424" s="136">
        <v>23.37</v>
      </c>
      <c r="AL424" s="139">
        <v>17</v>
      </c>
      <c r="AM424" s="138">
        <v>99</v>
      </c>
      <c r="AO424" s="136">
        <v>46.12</v>
      </c>
      <c r="AP424" s="139">
        <v>2</v>
      </c>
      <c r="AQ424" s="138" t="s">
        <v>883</v>
      </c>
      <c r="AS424" s="136">
        <v>23.3</v>
      </c>
      <c r="AT424" s="139">
        <v>8</v>
      </c>
      <c r="AU424" s="138">
        <v>25</v>
      </c>
      <c r="AW424" s="136">
        <v>46.1</v>
      </c>
      <c r="AX424" s="139">
        <v>2</v>
      </c>
      <c r="AY424" s="138" t="s">
        <v>883</v>
      </c>
      <c r="BA424" s="136">
        <v>24.14</v>
      </c>
      <c r="BB424" s="139">
        <v>7</v>
      </c>
      <c r="BC424" s="138">
        <v>16</v>
      </c>
    </row>
    <row r="425" spans="5:55" x14ac:dyDescent="0.3">
      <c r="E425" s="166">
        <v>24.27</v>
      </c>
      <c r="F425" s="167">
        <v>5</v>
      </c>
      <c r="G425" s="155" t="s">
        <v>877</v>
      </c>
      <c r="I425" s="136">
        <v>46.16</v>
      </c>
      <c r="J425" s="139">
        <v>9</v>
      </c>
      <c r="K425" s="138">
        <v>37</v>
      </c>
      <c r="M425" s="136">
        <v>23.37</v>
      </c>
      <c r="N425" s="139">
        <v>9</v>
      </c>
      <c r="O425" s="138">
        <v>37</v>
      </c>
      <c r="Q425" s="136">
        <v>46.15</v>
      </c>
      <c r="R425" s="139">
        <v>3</v>
      </c>
      <c r="S425" s="138">
        <v>1</v>
      </c>
      <c r="U425" s="136">
        <v>23.38</v>
      </c>
      <c r="V425" s="139">
        <v>15</v>
      </c>
      <c r="W425" s="138">
        <v>95</v>
      </c>
      <c r="Y425" s="136">
        <v>23.26</v>
      </c>
      <c r="Z425" s="139">
        <v>8</v>
      </c>
      <c r="AA425" s="138">
        <v>25</v>
      </c>
      <c r="AC425" s="136">
        <v>23.4</v>
      </c>
      <c r="AD425" s="139">
        <v>18</v>
      </c>
      <c r="AE425" s="138" t="s">
        <v>884</v>
      </c>
      <c r="AG425" s="136">
        <v>23.57</v>
      </c>
      <c r="AH425" s="137">
        <v>10</v>
      </c>
      <c r="AI425" s="138">
        <v>50</v>
      </c>
      <c r="AK425" s="136">
        <v>23.38</v>
      </c>
      <c r="AL425" s="139">
        <v>18</v>
      </c>
      <c r="AM425" s="138" t="s">
        <v>884</v>
      </c>
      <c r="AO425" s="136">
        <v>46.14</v>
      </c>
      <c r="AP425" s="139">
        <v>3</v>
      </c>
      <c r="AQ425" s="138">
        <v>1</v>
      </c>
      <c r="AS425" s="136">
        <v>23.31</v>
      </c>
      <c r="AT425" s="139">
        <v>9</v>
      </c>
      <c r="AU425" s="138">
        <v>37</v>
      </c>
      <c r="AW425" s="136">
        <v>46.12</v>
      </c>
      <c r="AX425" s="139">
        <v>3</v>
      </c>
      <c r="AY425" s="138">
        <v>1</v>
      </c>
      <c r="BA425" s="136">
        <v>24.15</v>
      </c>
      <c r="BB425" s="139">
        <v>8</v>
      </c>
      <c r="BC425" s="138">
        <v>25</v>
      </c>
    </row>
    <row r="426" spans="5:55" x14ac:dyDescent="0.3">
      <c r="E426" s="166">
        <v>24.28</v>
      </c>
      <c r="F426" s="167">
        <v>6</v>
      </c>
      <c r="G426" s="155" t="s">
        <v>864</v>
      </c>
      <c r="I426" s="136">
        <v>46.18</v>
      </c>
      <c r="J426" s="139">
        <v>10</v>
      </c>
      <c r="K426" s="138">
        <v>50</v>
      </c>
      <c r="M426" s="136">
        <v>23.39</v>
      </c>
      <c r="N426" s="139">
        <v>10</v>
      </c>
      <c r="O426" s="138">
        <v>50</v>
      </c>
      <c r="Q426" s="136">
        <v>46.2</v>
      </c>
      <c r="R426" s="139">
        <v>4</v>
      </c>
      <c r="S426" s="138">
        <v>2</v>
      </c>
      <c r="U426" s="136">
        <v>23.4</v>
      </c>
      <c r="V426" s="139">
        <v>16</v>
      </c>
      <c r="W426" s="138">
        <v>98</v>
      </c>
      <c r="Y426" s="136">
        <v>23.27</v>
      </c>
      <c r="Z426" s="139">
        <v>9</v>
      </c>
      <c r="AA426" s="138">
        <v>37</v>
      </c>
      <c r="AC426" s="136">
        <v>23.47</v>
      </c>
      <c r="AD426" s="139">
        <v>19</v>
      </c>
      <c r="AE426" s="138" t="s">
        <v>884</v>
      </c>
      <c r="AG426" s="136">
        <v>23.58</v>
      </c>
      <c r="AH426" s="137">
        <v>11</v>
      </c>
      <c r="AI426" s="138">
        <v>63</v>
      </c>
      <c r="AK426" s="136">
        <v>23.39</v>
      </c>
      <c r="AL426" s="139">
        <v>19</v>
      </c>
      <c r="AM426" s="138" t="s">
        <v>884</v>
      </c>
      <c r="AO426" s="136">
        <v>46.15</v>
      </c>
      <c r="AP426" s="139">
        <v>4</v>
      </c>
      <c r="AQ426" s="138">
        <v>2</v>
      </c>
      <c r="AS426" s="136">
        <v>23.33</v>
      </c>
      <c r="AT426" s="139">
        <v>10</v>
      </c>
      <c r="AU426" s="138">
        <v>50</v>
      </c>
      <c r="AW426" s="136">
        <v>46.14</v>
      </c>
      <c r="AX426" s="139">
        <v>4</v>
      </c>
      <c r="AY426" s="138">
        <v>2</v>
      </c>
      <c r="BA426" s="136">
        <v>24.16</v>
      </c>
      <c r="BB426" s="139">
        <v>9</v>
      </c>
      <c r="BC426" s="138">
        <v>37</v>
      </c>
    </row>
    <row r="427" spans="5:55" x14ac:dyDescent="0.3">
      <c r="E427" s="166">
        <v>24.3</v>
      </c>
      <c r="F427" s="167">
        <v>7</v>
      </c>
      <c r="G427" s="155" t="s">
        <v>878</v>
      </c>
      <c r="I427" s="136">
        <v>46.2</v>
      </c>
      <c r="J427" s="139">
        <v>11</v>
      </c>
      <c r="K427" s="138">
        <v>63</v>
      </c>
      <c r="M427" s="136">
        <v>23.4</v>
      </c>
      <c r="N427" s="139">
        <v>11</v>
      </c>
      <c r="O427" s="138">
        <v>63</v>
      </c>
      <c r="Q427" s="136">
        <v>46.22</v>
      </c>
      <c r="R427" s="139">
        <v>5</v>
      </c>
      <c r="S427" s="138">
        <v>5</v>
      </c>
      <c r="U427" s="136">
        <v>23.43</v>
      </c>
      <c r="V427" s="139">
        <v>17</v>
      </c>
      <c r="W427" s="138">
        <v>99</v>
      </c>
      <c r="Y427" s="136">
        <v>23.28</v>
      </c>
      <c r="Z427" s="139">
        <v>10</v>
      </c>
      <c r="AA427" s="138">
        <v>50</v>
      </c>
      <c r="AC427" s="136">
        <v>24</v>
      </c>
      <c r="AD427" s="139">
        <v>1</v>
      </c>
      <c r="AE427" s="138" t="s">
        <v>883</v>
      </c>
      <c r="AG427" s="136">
        <v>23.6</v>
      </c>
      <c r="AH427" s="137">
        <v>12</v>
      </c>
      <c r="AI427" s="138">
        <v>75</v>
      </c>
      <c r="AK427" s="136">
        <v>24</v>
      </c>
      <c r="AL427" s="139">
        <v>1</v>
      </c>
      <c r="AM427" s="138" t="s">
        <v>883</v>
      </c>
      <c r="AO427" s="136">
        <v>46.16</v>
      </c>
      <c r="AP427" s="139">
        <v>5</v>
      </c>
      <c r="AQ427" s="138">
        <v>5</v>
      </c>
      <c r="AS427" s="136">
        <v>23.34</v>
      </c>
      <c r="AT427" s="139">
        <v>11</v>
      </c>
      <c r="AU427" s="138">
        <v>63</v>
      </c>
      <c r="AW427" s="136">
        <v>46.16</v>
      </c>
      <c r="AX427" s="139">
        <v>5</v>
      </c>
      <c r="AY427" s="138">
        <v>5</v>
      </c>
      <c r="BA427" s="136">
        <v>24.17</v>
      </c>
      <c r="BB427" s="139">
        <v>10</v>
      </c>
      <c r="BC427" s="138">
        <v>50</v>
      </c>
    </row>
    <row r="428" spans="5:55" x14ac:dyDescent="0.3">
      <c r="E428" s="166">
        <v>24.32</v>
      </c>
      <c r="F428" s="167">
        <v>8</v>
      </c>
      <c r="G428" s="155" t="s">
        <v>865</v>
      </c>
      <c r="I428" s="136">
        <v>46.22</v>
      </c>
      <c r="J428" s="139">
        <v>12</v>
      </c>
      <c r="K428" s="138">
        <v>75</v>
      </c>
      <c r="M428" s="136">
        <v>23.42</v>
      </c>
      <c r="N428" s="139">
        <v>12</v>
      </c>
      <c r="O428" s="138">
        <v>75</v>
      </c>
      <c r="Q428" s="136">
        <v>46.24</v>
      </c>
      <c r="R428" s="139">
        <v>6</v>
      </c>
      <c r="S428" s="138">
        <v>9</v>
      </c>
      <c r="U428" s="136">
        <v>23.45</v>
      </c>
      <c r="V428" s="139">
        <v>18</v>
      </c>
      <c r="W428" s="138" t="s">
        <v>884</v>
      </c>
      <c r="Y428" s="136">
        <v>23.29</v>
      </c>
      <c r="Z428" s="139">
        <v>11</v>
      </c>
      <c r="AA428" s="138">
        <v>63</v>
      </c>
      <c r="AC428" s="136">
        <v>24.18</v>
      </c>
      <c r="AD428" s="139">
        <v>2</v>
      </c>
      <c r="AE428" s="138" t="s">
        <v>883</v>
      </c>
      <c r="AG428" s="136">
        <v>23.62</v>
      </c>
      <c r="AH428" s="137">
        <v>13</v>
      </c>
      <c r="AI428" s="138">
        <v>85</v>
      </c>
      <c r="AK428" s="136">
        <v>24.21</v>
      </c>
      <c r="AL428" s="139">
        <v>2</v>
      </c>
      <c r="AM428" s="138" t="s">
        <v>883</v>
      </c>
      <c r="AO428" s="136">
        <v>46.17</v>
      </c>
      <c r="AP428" s="139">
        <v>6</v>
      </c>
      <c r="AQ428" s="138">
        <v>9</v>
      </c>
      <c r="AS428" s="136">
        <v>23.36</v>
      </c>
      <c r="AT428" s="139">
        <v>12</v>
      </c>
      <c r="AU428" s="138">
        <v>75</v>
      </c>
      <c r="AW428" s="136">
        <v>46.18</v>
      </c>
      <c r="AX428" s="139">
        <v>6</v>
      </c>
      <c r="AY428" s="138">
        <v>9</v>
      </c>
      <c r="BA428" s="136">
        <v>24.18</v>
      </c>
      <c r="BB428" s="139">
        <v>11</v>
      </c>
      <c r="BC428" s="138">
        <v>63</v>
      </c>
    </row>
    <row r="429" spans="5:55" x14ac:dyDescent="0.3">
      <c r="E429" s="166">
        <v>24.34</v>
      </c>
      <c r="F429" s="167">
        <v>9</v>
      </c>
      <c r="G429" s="155" t="s">
        <v>879</v>
      </c>
      <c r="I429" s="136">
        <v>46.24</v>
      </c>
      <c r="J429" s="139">
        <v>13</v>
      </c>
      <c r="K429" s="138">
        <v>85</v>
      </c>
      <c r="M429" s="136">
        <v>23.44</v>
      </c>
      <c r="N429" s="139">
        <v>13</v>
      </c>
      <c r="O429" s="138">
        <v>85</v>
      </c>
      <c r="Q429" s="136">
        <v>46.26</v>
      </c>
      <c r="R429" s="139">
        <v>7</v>
      </c>
      <c r="S429" s="138">
        <v>16</v>
      </c>
      <c r="U429" s="136">
        <v>23.51</v>
      </c>
      <c r="V429" s="139">
        <v>19</v>
      </c>
      <c r="W429" s="138" t="s">
        <v>884</v>
      </c>
      <c r="Y429" s="136">
        <v>23.3</v>
      </c>
      <c r="Z429" s="139">
        <v>12</v>
      </c>
      <c r="AA429" s="138">
        <v>75</v>
      </c>
      <c r="AC429" s="136">
        <v>24.19</v>
      </c>
      <c r="AD429" s="139">
        <v>3</v>
      </c>
      <c r="AE429" s="138">
        <v>1</v>
      </c>
      <c r="AG429" s="136">
        <v>23.64</v>
      </c>
      <c r="AH429" s="137">
        <v>14</v>
      </c>
      <c r="AI429" s="138">
        <v>91</v>
      </c>
      <c r="AK429" s="136">
        <v>24.23</v>
      </c>
      <c r="AL429" s="139">
        <v>3</v>
      </c>
      <c r="AM429" s="138">
        <v>1</v>
      </c>
      <c r="AO429" s="136">
        <v>46.19</v>
      </c>
      <c r="AP429" s="139">
        <v>7</v>
      </c>
      <c r="AQ429" s="138">
        <v>16</v>
      </c>
      <c r="AS429" s="136">
        <v>23.37</v>
      </c>
      <c r="AT429" s="139">
        <v>13</v>
      </c>
      <c r="AU429" s="138">
        <v>85</v>
      </c>
      <c r="AW429" s="136">
        <v>46.2</v>
      </c>
      <c r="AX429" s="139">
        <v>7</v>
      </c>
      <c r="AY429" s="138">
        <v>16</v>
      </c>
      <c r="BA429" s="136">
        <v>24.19</v>
      </c>
      <c r="BB429" s="139">
        <v>12</v>
      </c>
      <c r="BC429" s="138">
        <v>75</v>
      </c>
    </row>
    <row r="430" spans="5:55" x14ac:dyDescent="0.3">
      <c r="E430" s="166">
        <v>24.36</v>
      </c>
      <c r="F430" s="167">
        <v>10</v>
      </c>
      <c r="G430" s="155" t="s">
        <v>866</v>
      </c>
      <c r="I430" s="136">
        <v>46.26</v>
      </c>
      <c r="J430" s="139">
        <v>14</v>
      </c>
      <c r="K430" s="138">
        <v>91</v>
      </c>
      <c r="M430" s="136">
        <v>23.45</v>
      </c>
      <c r="N430" s="139">
        <v>14</v>
      </c>
      <c r="O430" s="138">
        <v>91</v>
      </c>
      <c r="Q430" s="136">
        <v>46.28</v>
      </c>
      <c r="R430" s="139">
        <v>8</v>
      </c>
      <c r="S430" s="138">
        <v>25</v>
      </c>
      <c r="U430" s="136">
        <v>24</v>
      </c>
      <c r="V430" s="139">
        <v>1</v>
      </c>
      <c r="W430" s="138" t="s">
        <v>883</v>
      </c>
      <c r="Y430" s="136">
        <v>23.32</v>
      </c>
      <c r="Z430" s="139">
        <v>13</v>
      </c>
      <c r="AA430" s="138">
        <v>85</v>
      </c>
      <c r="AC430" s="136">
        <v>24.21</v>
      </c>
      <c r="AD430" s="139">
        <v>4</v>
      </c>
      <c r="AE430" s="138">
        <v>2</v>
      </c>
      <c r="AG430" s="136">
        <v>23.66</v>
      </c>
      <c r="AH430" s="137">
        <v>15</v>
      </c>
      <c r="AI430" s="138">
        <v>95</v>
      </c>
      <c r="AK430" s="136">
        <v>24.24</v>
      </c>
      <c r="AL430" s="139">
        <v>4</v>
      </c>
      <c r="AM430" s="138">
        <v>2</v>
      </c>
      <c r="AO430" s="136">
        <v>46.2</v>
      </c>
      <c r="AP430" s="139">
        <v>8</v>
      </c>
      <c r="AQ430" s="138">
        <v>25</v>
      </c>
      <c r="AS430" s="136">
        <v>23.39</v>
      </c>
      <c r="AT430" s="139">
        <v>14</v>
      </c>
      <c r="AU430" s="138">
        <v>91</v>
      </c>
      <c r="AW430" s="136">
        <v>46.22</v>
      </c>
      <c r="AX430" s="139">
        <v>8</v>
      </c>
      <c r="AY430" s="138">
        <v>25</v>
      </c>
      <c r="BA430" s="136">
        <v>24.21</v>
      </c>
      <c r="BB430" s="139">
        <v>13</v>
      </c>
      <c r="BC430" s="138">
        <v>85</v>
      </c>
    </row>
    <row r="431" spans="5:55" x14ac:dyDescent="0.3">
      <c r="E431" s="166">
        <v>24.38</v>
      </c>
      <c r="F431" s="167">
        <v>11</v>
      </c>
      <c r="G431" s="155" t="s">
        <v>867</v>
      </c>
      <c r="I431" s="136">
        <v>46.28</v>
      </c>
      <c r="J431" s="139">
        <v>15</v>
      </c>
      <c r="K431" s="138">
        <v>95</v>
      </c>
      <c r="M431" s="136">
        <v>23.47</v>
      </c>
      <c r="N431" s="139">
        <v>15</v>
      </c>
      <c r="O431" s="138">
        <v>95</v>
      </c>
      <c r="Q431" s="136">
        <v>46.3</v>
      </c>
      <c r="R431" s="139">
        <v>9</v>
      </c>
      <c r="S431" s="138">
        <v>37</v>
      </c>
      <c r="U431" s="136">
        <v>24.1</v>
      </c>
      <c r="V431" s="139">
        <v>2</v>
      </c>
      <c r="W431" s="138" t="s">
        <v>883</v>
      </c>
      <c r="Y431" s="136">
        <v>23.33</v>
      </c>
      <c r="Z431" s="139">
        <v>14</v>
      </c>
      <c r="AA431" s="138">
        <v>91</v>
      </c>
      <c r="AC431" s="136">
        <v>24.23</v>
      </c>
      <c r="AD431" s="139">
        <v>5</v>
      </c>
      <c r="AE431" s="138">
        <v>5</v>
      </c>
      <c r="AG431" s="136">
        <v>23.67</v>
      </c>
      <c r="AH431" s="137">
        <v>16</v>
      </c>
      <c r="AI431" s="138">
        <v>98</v>
      </c>
      <c r="AK431" s="136">
        <v>24.25</v>
      </c>
      <c r="AL431" s="139">
        <v>5</v>
      </c>
      <c r="AM431" s="138">
        <v>5</v>
      </c>
      <c r="AO431" s="136">
        <v>46.21</v>
      </c>
      <c r="AP431" s="139">
        <v>9</v>
      </c>
      <c r="AQ431" s="138">
        <v>37</v>
      </c>
      <c r="AS431" s="136">
        <v>23.41</v>
      </c>
      <c r="AT431" s="139">
        <v>15</v>
      </c>
      <c r="AU431" s="138">
        <v>95</v>
      </c>
      <c r="AW431" s="136">
        <v>46.25</v>
      </c>
      <c r="AX431" s="139">
        <v>9</v>
      </c>
      <c r="AY431" s="138">
        <v>37</v>
      </c>
      <c r="BA431" s="136">
        <v>24.22</v>
      </c>
      <c r="BB431" s="139">
        <v>14</v>
      </c>
      <c r="BC431" s="138">
        <v>91</v>
      </c>
    </row>
    <row r="432" spans="5:55" x14ac:dyDescent="0.3">
      <c r="E432" s="166">
        <v>24.39</v>
      </c>
      <c r="F432" s="167">
        <v>12</v>
      </c>
      <c r="G432" s="155" t="s">
        <v>868</v>
      </c>
      <c r="I432" s="136">
        <v>46.3</v>
      </c>
      <c r="J432" s="139">
        <v>16</v>
      </c>
      <c r="K432" s="138">
        <v>98</v>
      </c>
      <c r="M432" s="136">
        <v>23.48</v>
      </c>
      <c r="N432" s="139">
        <v>16</v>
      </c>
      <c r="O432" s="138">
        <v>98</v>
      </c>
      <c r="Q432" s="136">
        <v>46.32</v>
      </c>
      <c r="R432" s="139">
        <v>10</v>
      </c>
      <c r="S432" s="138">
        <v>50</v>
      </c>
      <c r="U432" s="136">
        <v>24.12</v>
      </c>
      <c r="V432" s="139">
        <v>3</v>
      </c>
      <c r="W432" s="138">
        <v>1</v>
      </c>
      <c r="Y432" s="136">
        <v>23.34</v>
      </c>
      <c r="Z432" s="139">
        <v>15</v>
      </c>
      <c r="AA432" s="138">
        <v>95</v>
      </c>
      <c r="AC432" s="136">
        <v>24.25</v>
      </c>
      <c r="AD432" s="139">
        <v>6</v>
      </c>
      <c r="AE432" s="138">
        <v>9</v>
      </c>
      <c r="AG432" s="136">
        <v>23.69</v>
      </c>
      <c r="AH432" s="137">
        <v>17</v>
      </c>
      <c r="AI432" s="138">
        <v>99</v>
      </c>
      <c r="AK432" s="136">
        <v>24.26</v>
      </c>
      <c r="AL432" s="139">
        <v>6</v>
      </c>
      <c r="AM432" s="138">
        <v>9</v>
      </c>
      <c r="AO432" s="136">
        <v>46.22</v>
      </c>
      <c r="AP432" s="139">
        <v>10</v>
      </c>
      <c r="AQ432" s="138">
        <v>50</v>
      </c>
      <c r="AS432" s="136">
        <v>23.42</v>
      </c>
      <c r="AT432" s="139">
        <v>16</v>
      </c>
      <c r="AU432" s="138">
        <v>98</v>
      </c>
      <c r="AW432" s="136">
        <v>46.27</v>
      </c>
      <c r="AX432" s="139">
        <v>10</v>
      </c>
      <c r="AY432" s="138">
        <v>50</v>
      </c>
      <c r="BA432" s="136">
        <v>24.23</v>
      </c>
      <c r="BB432" s="139">
        <v>15</v>
      </c>
      <c r="BC432" s="138">
        <v>95</v>
      </c>
    </row>
    <row r="433" spans="5:55" x14ac:dyDescent="0.3">
      <c r="E433" s="166">
        <v>24.41</v>
      </c>
      <c r="F433" s="167">
        <v>13</v>
      </c>
      <c r="G433" s="155" t="s">
        <v>869</v>
      </c>
      <c r="I433" s="136">
        <v>46.32</v>
      </c>
      <c r="J433" s="139">
        <v>17</v>
      </c>
      <c r="K433" s="138">
        <v>99</v>
      </c>
      <c r="M433" s="136">
        <v>23.49</v>
      </c>
      <c r="N433" s="139">
        <v>17</v>
      </c>
      <c r="O433" s="138">
        <v>99</v>
      </c>
      <c r="Q433" s="136">
        <v>46.33</v>
      </c>
      <c r="R433" s="139">
        <v>11</v>
      </c>
      <c r="S433" s="138">
        <v>63</v>
      </c>
      <c r="U433" s="136">
        <v>24.14</v>
      </c>
      <c r="V433" s="139">
        <v>4</v>
      </c>
      <c r="W433" s="138">
        <v>2</v>
      </c>
      <c r="Y433" s="136">
        <v>23.36</v>
      </c>
      <c r="Z433" s="139">
        <v>16</v>
      </c>
      <c r="AA433" s="138">
        <v>98</v>
      </c>
      <c r="AC433" s="136">
        <v>24.26</v>
      </c>
      <c r="AD433" s="139">
        <v>7</v>
      </c>
      <c r="AE433" s="138">
        <v>16</v>
      </c>
      <c r="AG433" s="136">
        <v>23.71</v>
      </c>
      <c r="AH433" s="137">
        <v>18</v>
      </c>
      <c r="AI433" s="138" t="s">
        <v>884</v>
      </c>
      <c r="AK433" s="136">
        <v>24.27</v>
      </c>
      <c r="AL433" s="139">
        <v>7</v>
      </c>
      <c r="AM433" s="138">
        <v>16</v>
      </c>
      <c r="AO433" s="136">
        <v>46.23</v>
      </c>
      <c r="AP433" s="139">
        <v>11</v>
      </c>
      <c r="AQ433" s="138">
        <v>63</v>
      </c>
      <c r="AS433" s="136">
        <v>23.44</v>
      </c>
      <c r="AT433" s="139">
        <v>17</v>
      </c>
      <c r="AU433" s="138">
        <v>99</v>
      </c>
      <c r="AW433" s="136">
        <v>46.29</v>
      </c>
      <c r="AX433" s="139">
        <v>11</v>
      </c>
      <c r="AY433" s="138">
        <v>63</v>
      </c>
      <c r="BA433" s="136">
        <v>24.24</v>
      </c>
      <c r="BB433" s="139">
        <v>16</v>
      </c>
      <c r="BC433" s="138">
        <v>98</v>
      </c>
    </row>
    <row r="434" spans="5:55" x14ac:dyDescent="0.3">
      <c r="E434" s="166">
        <v>24.43</v>
      </c>
      <c r="F434" s="167">
        <v>14</v>
      </c>
      <c r="G434" s="155" t="s">
        <v>870</v>
      </c>
      <c r="I434" s="136">
        <v>46.34</v>
      </c>
      <c r="J434" s="139">
        <v>18</v>
      </c>
      <c r="K434" s="138" t="s">
        <v>884</v>
      </c>
      <c r="M434" s="136">
        <v>23.51</v>
      </c>
      <c r="N434" s="139">
        <v>18</v>
      </c>
      <c r="O434" s="138" t="s">
        <v>884</v>
      </c>
      <c r="Q434" s="136">
        <v>46.35</v>
      </c>
      <c r="R434" s="139">
        <v>12</v>
      </c>
      <c r="S434" s="138">
        <v>75</v>
      </c>
      <c r="U434" s="136">
        <v>24.17</v>
      </c>
      <c r="V434" s="139">
        <v>5</v>
      </c>
      <c r="W434" s="138">
        <v>5</v>
      </c>
      <c r="Y434" s="136">
        <v>23.37</v>
      </c>
      <c r="Z434" s="139">
        <v>17</v>
      </c>
      <c r="AA434" s="138">
        <v>99</v>
      </c>
      <c r="AC434" s="136">
        <v>24.28</v>
      </c>
      <c r="AD434" s="139">
        <v>8</v>
      </c>
      <c r="AE434" s="138">
        <v>25</v>
      </c>
      <c r="AG434" s="136">
        <v>23.73</v>
      </c>
      <c r="AH434" s="137">
        <v>19</v>
      </c>
      <c r="AI434" s="138" t="s">
        <v>884</v>
      </c>
      <c r="AK434" s="136">
        <v>24.28</v>
      </c>
      <c r="AL434" s="139">
        <v>8</v>
      </c>
      <c r="AM434" s="138">
        <v>25</v>
      </c>
      <c r="AO434" s="136">
        <v>46.24</v>
      </c>
      <c r="AP434" s="139">
        <v>12</v>
      </c>
      <c r="AQ434" s="138">
        <v>75</v>
      </c>
      <c r="AS434" s="136">
        <v>23.46</v>
      </c>
      <c r="AT434" s="139">
        <v>18</v>
      </c>
      <c r="AU434" s="138" t="s">
        <v>884</v>
      </c>
      <c r="AW434" s="136">
        <v>46.31</v>
      </c>
      <c r="AX434" s="139">
        <v>12</v>
      </c>
      <c r="AY434" s="138">
        <v>75</v>
      </c>
      <c r="BA434" s="136">
        <v>24.25</v>
      </c>
      <c r="BB434" s="139">
        <v>17</v>
      </c>
      <c r="BC434" s="138">
        <v>99</v>
      </c>
    </row>
    <row r="435" spans="5:55" x14ac:dyDescent="0.3">
      <c r="E435" s="166">
        <v>24.44</v>
      </c>
      <c r="F435" s="167">
        <v>15</v>
      </c>
      <c r="G435" s="155" t="s">
        <v>871</v>
      </c>
      <c r="I435" s="136">
        <v>46.36</v>
      </c>
      <c r="J435" s="139">
        <v>19</v>
      </c>
      <c r="K435" s="138" t="s">
        <v>884</v>
      </c>
      <c r="M435" s="136">
        <v>23.53</v>
      </c>
      <c r="N435" s="139">
        <v>19</v>
      </c>
      <c r="O435" s="138" t="s">
        <v>884</v>
      </c>
      <c r="Q435" s="136">
        <v>46.36</v>
      </c>
      <c r="R435" s="139">
        <v>13</v>
      </c>
      <c r="S435" s="138">
        <v>85</v>
      </c>
      <c r="U435" s="136">
        <v>24.19</v>
      </c>
      <c r="V435" s="139">
        <v>6</v>
      </c>
      <c r="W435" s="138">
        <v>9</v>
      </c>
      <c r="Y435" s="136">
        <v>23.38</v>
      </c>
      <c r="Z435" s="139">
        <v>18</v>
      </c>
      <c r="AA435" s="138" t="s">
        <v>884</v>
      </c>
      <c r="AC435" s="136">
        <v>24.29</v>
      </c>
      <c r="AD435" s="139">
        <v>9</v>
      </c>
      <c r="AE435" s="138">
        <v>37</v>
      </c>
      <c r="AG435" s="136">
        <v>24</v>
      </c>
      <c r="AH435" s="137">
        <v>1</v>
      </c>
      <c r="AI435" s="138" t="s">
        <v>883</v>
      </c>
      <c r="AK435" s="136">
        <v>24.29</v>
      </c>
      <c r="AL435" s="139">
        <v>9</v>
      </c>
      <c r="AM435" s="138">
        <v>37</v>
      </c>
      <c r="AO435" s="136">
        <v>46.25</v>
      </c>
      <c r="AP435" s="139">
        <v>13</v>
      </c>
      <c r="AQ435" s="138">
        <v>85</v>
      </c>
      <c r="AS435" s="136">
        <v>23.48</v>
      </c>
      <c r="AT435" s="139">
        <v>19</v>
      </c>
      <c r="AU435" s="138" t="s">
        <v>884</v>
      </c>
      <c r="AW435" s="136">
        <v>46.33</v>
      </c>
      <c r="AX435" s="139">
        <v>13</v>
      </c>
      <c r="AY435" s="138">
        <v>85</v>
      </c>
      <c r="BA435" s="136">
        <v>24.27</v>
      </c>
      <c r="BB435" s="139">
        <v>18</v>
      </c>
      <c r="BC435" s="138" t="s">
        <v>884</v>
      </c>
    </row>
    <row r="436" spans="5:55" x14ac:dyDescent="0.3">
      <c r="E436" s="166">
        <v>24.46</v>
      </c>
      <c r="F436" s="167">
        <v>16</v>
      </c>
      <c r="G436" s="155" t="s">
        <v>872</v>
      </c>
      <c r="I436" s="136">
        <v>47</v>
      </c>
      <c r="J436" s="139">
        <v>1</v>
      </c>
      <c r="K436" s="138" t="s">
        <v>883</v>
      </c>
      <c r="M436" s="136">
        <v>24</v>
      </c>
      <c r="N436" s="139">
        <v>1</v>
      </c>
      <c r="O436" s="138" t="s">
        <v>883</v>
      </c>
      <c r="Q436" s="136">
        <v>46.38</v>
      </c>
      <c r="R436" s="139">
        <v>14</v>
      </c>
      <c r="S436" s="138">
        <v>91</v>
      </c>
      <c r="U436" s="136">
        <v>24.22</v>
      </c>
      <c r="V436" s="139">
        <v>7</v>
      </c>
      <c r="W436" s="138">
        <v>16</v>
      </c>
      <c r="Y436" s="136">
        <v>23.4</v>
      </c>
      <c r="Z436" s="139">
        <v>19</v>
      </c>
      <c r="AA436" s="138" t="s">
        <v>884</v>
      </c>
      <c r="AC436" s="136">
        <v>24.3</v>
      </c>
      <c r="AD436" s="139">
        <v>10</v>
      </c>
      <c r="AE436" s="138">
        <v>50</v>
      </c>
      <c r="AG436" s="136">
        <v>24.41</v>
      </c>
      <c r="AH436" s="137">
        <v>2</v>
      </c>
      <c r="AI436" s="138" t="s">
        <v>883</v>
      </c>
      <c r="AK436" s="136">
        <v>24.3</v>
      </c>
      <c r="AL436" s="139">
        <v>10</v>
      </c>
      <c r="AM436" s="138">
        <v>50</v>
      </c>
      <c r="AO436" s="136">
        <v>46.26</v>
      </c>
      <c r="AP436" s="139">
        <v>14</v>
      </c>
      <c r="AQ436" s="138">
        <v>91</v>
      </c>
      <c r="AS436" s="136">
        <v>24</v>
      </c>
      <c r="AT436" s="139">
        <v>1</v>
      </c>
      <c r="AU436" s="138" t="s">
        <v>883</v>
      </c>
      <c r="AW436" s="136">
        <v>46.35</v>
      </c>
      <c r="AX436" s="139">
        <v>14</v>
      </c>
      <c r="AY436" s="138">
        <v>91</v>
      </c>
      <c r="BA436" s="136">
        <v>24.29</v>
      </c>
      <c r="BB436" s="139">
        <v>19</v>
      </c>
      <c r="BC436" s="138" t="s">
        <v>884</v>
      </c>
    </row>
    <row r="437" spans="5:55" x14ac:dyDescent="0.3">
      <c r="E437" s="166">
        <v>24.48</v>
      </c>
      <c r="F437" s="167">
        <v>17</v>
      </c>
      <c r="G437" s="155" t="s">
        <v>873</v>
      </c>
      <c r="I437" s="136">
        <v>47.04</v>
      </c>
      <c r="J437" s="139">
        <v>2</v>
      </c>
      <c r="K437" s="138" t="s">
        <v>883</v>
      </c>
      <c r="M437" s="136">
        <v>24.21</v>
      </c>
      <c r="N437" s="139">
        <v>2</v>
      </c>
      <c r="O437" s="138" t="s">
        <v>883</v>
      </c>
      <c r="Q437" s="136">
        <v>46.4</v>
      </c>
      <c r="R437" s="139">
        <v>15</v>
      </c>
      <c r="S437" s="138">
        <v>95</v>
      </c>
      <c r="U437" s="136">
        <v>24.25</v>
      </c>
      <c r="V437" s="139">
        <v>8</v>
      </c>
      <c r="W437" s="138">
        <v>25</v>
      </c>
      <c r="Y437" s="136">
        <v>24</v>
      </c>
      <c r="Z437" s="139">
        <v>1</v>
      </c>
      <c r="AA437" s="138" t="s">
        <v>883</v>
      </c>
      <c r="AC437" s="136">
        <v>24.32</v>
      </c>
      <c r="AD437" s="139">
        <v>11</v>
      </c>
      <c r="AE437" s="138">
        <v>63</v>
      </c>
      <c r="AG437" s="136">
        <v>24.44</v>
      </c>
      <c r="AH437" s="137">
        <v>3</v>
      </c>
      <c r="AI437" s="138">
        <v>1</v>
      </c>
      <c r="AK437" s="136">
        <v>24.31</v>
      </c>
      <c r="AL437" s="139">
        <v>11</v>
      </c>
      <c r="AM437" s="138">
        <v>63</v>
      </c>
      <c r="AO437" s="136">
        <v>46.27</v>
      </c>
      <c r="AP437" s="139">
        <v>15</v>
      </c>
      <c r="AQ437" s="138">
        <v>95</v>
      </c>
      <c r="AS437" s="136">
        <v>24.2</v>
      </c>
      <c r="AT437" s="139">
        <v>2</v>
      </c>
      <c r="AU437" s="138" t="s">
        <v>883</v>
      </c>
      <c r="AW437" s="136">
        <v>46.37</v>
      </c>
      <c r="AX437" s="139">
        <v>15</v>
      </c>
      <c r="AY437" s="138">
        <v>95</v>
      </c>
      <c r="BA437" s="136">
        <v>25</v>
      </c>
      <c r="BB437" s="139">
        <v>1</v>
      </c>
      <c r="BC437" s="138" t="s">
        <v>883</v>
      </c>
    </row>
    <row r="438" spans="5:55" x14ac:dyDescent="0.3">
      <c r="E438" s="166">
        <v>24.51</v>
      </c>
      <c r="F438" s="167">
        <v>18</v>
      </c>
      <c r="G438" s="155" t="s">
        <v>874</v>
      </c>
      <c r="I438" s="136">
        <v>47.05</v>
      </c>
      <c r="J438" s="139">
        <v>3</v>
      </c>
      <c r="K438" s="138">
        <v>1</v>
      </c>
      <c r="M438" s="136">
        <v>24.27</v>
      </c>
      <c r="N438" s="139">
        <v>3</v>
      </c>
      <c r="O438" s="138">
        <v>1</v>
      </c>
      <c r="Q438" s="136">
        <v>46.41</v>
      </c>
      <c r="R438" s="139">
        <v>16</v>
      </c>
      <c r="S438" s="138">
        <v>98</v>
      </c>
      <c r="U438" s="136">
        <v>24.27</v>
      </c>
      <c r="V438" s="139">
        <v>9</v>
      </c>
      <c r="W438" s="138">
        <v>37</v>
      </c>
      <c r="Y438" s="136">
        <v>24.2</v>
      </c>
      <c r="Z438" s="139">
        <v>2</v>
      </c>
      <c r="AA438" s="138" t="s">
        <v>883</v>
      </c>
      <c r="AC438" s="136">
        <v>24.34</v>
      </c>
      <c r="AD438" s="139">
        <v>12</v>
      </c>
      <c r="AE438" s="138">
        <v>75</v>
      </c>
      <c r="AG438" s="136">
        <v>24.47</v>
      </c>
      <c r="AH438" s="137">
        <v>4</v>
      </c>
      <c r="AI438" s="138">
        <v>2</v>
      </c>
      <c r="AK438" s="136">
        <v>24.32</v>
      </c>
      <c r="AL438" s="139">
        <v>12</v>
      </c>
      <c r="AM438" s="138">
        <v>75</v>
      </c>
      <c r="AO438" s="136">
        <v>46.28</v>
      </c>
      <c r="AP438" s="139">
        <v>16</v>
      </c>
      <c r="AQ438" s="138">
        <v>98</v>
      </c>
      <c r="AS438" s="136">
        <v>24.23</v>
      </c>
      <c r="AT438" s="139">
        <v>3</v>
      </c>
      <c r="AU438" s="138">
        <v>1</v>
      </c>
      <c r="AW438" s="136">
        <v>46.39</v>
      </c>
      <c r="AX438" s="139">
        <v>16</v>
      </c>
      <c r="AY438" s="138">
        <v>98</v>
      </c>
      <c r="BA438" s="136">
        <v>25.08</v>
      </c>
      <c r="BB438" s="139">
        <v>2</v>
      </c>
      <c r="BC438" s="138" t="s">
        <v>883</v>
      </c>
    </row>
    <row r="439" spans="5:55" x14ac:dyDescent="0.3">
      <c r="E439" s="166">
        <v>24.54</v>
      </c>
      <c r="F439" s="167">
        <v>19</v>
      </c>
      <c r="G439" s="155" t="s">
        <v>874</v>
      </c>
      <c r="I439" s="136">
        <v>47.07</v>
      </c>
      <c r="J439" s="139">
        <v>4</v>
      </c>
      <c r="K439" s="138">
        <v>2</v>
      </c>
      <c r="M439" s="136">
        <v>24.28</v>
      </c>
      <c r="N439" s="139">
        <v>4</v>
      </c>
      <c r="O439" s="138">
        <v>2</v>
      </c>
      <c r="Q439" s="136">
        <v>46.43</v>
      </c>
      <c r="R439" s="139">
        <v>17</v>
      </c>
      <c r="S439" s="138">
        <v>99</v>
      </c>
      <c r="U439" s="136">
        <v>24.3</v>
      </c>
      <c r="V439" s="139">
        <v>10</v>
      </c>
      <c r="W439" s="138">
        <v>50</v>
      </c>
      <c r="Y439" s="136">
        <v>24.22</v>
      </c>
      <c r="Z439" s="139">
        <v>3</v>
      </c>
      <c r="AA439" s="138">
        <v>1</v>
      </c>
      <c r="AC439" s="136">
        <v>24.36</v>
      </c>
      <c r="AD439" s="139">
        <v>13</v>
      </c>
      <c r="AE439" s="138">
        <v>85</v>
      </c>
      <c r="AG439" s="136">
        <v>24.49</v>
      </c>
      <c r="AH439" s="137">
        <v>5</v>
      </c>
      <c r="AI439" s="138">
        <v>5</v>
      </c>
      <c r="AK439" s="136">
        <v>24.33</v>
      </c>
      <c r="AL439" s="139">
        <v>13</v>
      </c>
      <c r="AM439" s="138">
        <v>85</v>
      </c>
      <c r="AO439" s="136">
        <v>46.3</v>
      </c>
      <c r="AP439" s="139">
        <v>17</v>
      </c>
      <c r="AQ439" s="138">
        <v>99</v>
      </c>
      <c r="AS439" s="136">
        <v>24.25</v>
      </c>
      <c r="AT439" s="139">
        <v>4</v>
      </c>
      <c r="AU439" s="138">
        <v>2</v>
      </c>
      <c r="AW439" s="136">
        <v>46.41</v>
      </c>
      <c r="AX439" s="139">
        <v>17</v>
      </c>
      <c r="AY439" s="138">
        <v>99</v>
      </c>
      <c r="BA439" s="136">
        <v>25.1</v>
      </c>
      <c r="BB439" s="139">
        <v>3</v>
      </c>
      <c r="BC439" s="138">
        <v>1</v>
      </c>
    </row>
    <row r="440" spans="5:55" x14ac:dyDescent="0.3">
      <c r="E440" s="166">
        <v>25</v>
      </c>
      <c r="F440" s="167">
        <v>1</v>
      </c>
      <c r="G440" s="155" t="s">
        <v>862</v>
      </c>
      <c r="I440" s="136">
        <v>47.08</v>
      </c>
      <c r="J440" s="139">
        <v>5</v>
      </c>
      <c r="K440" s="138">
        <v>5</v>
      </c>
      <c r="M440" s="136">
        <v>24.31</v>
      </c>
      <c r="N440" s="139">
        <v>5</v>
      </c>
      <c r="O440" s="138">
        <v>5</v>
      </c>
      <c r="Q440" s="136">
        <v>46.45</v>
      </c>
      <c r="R440" s="139">
        <v>18</v>
      </c>
      <c r="S440" s="138" t="s">
        <v>884</v>
      </c>
      <c r="U440" s="136">
        <v>24.32</v>
      </c>
      <c r="V440" s="139">
        <v>11</v>
      </c>
      <c r="W440" s="138">
        <v>63</v>
      </c>
      <c r="Y440" s="136">
        <v>24.23</v>
      </c>
      <c r="Z440" s="139">
        <v>4</v>
      </c>
      <c r="AA440" s="138">
        <v>2</v>
      </c>
      <c r="AC440" s="136">
        <v>24.38</v>
      </c>
      <c r="AD440" s="139">
        <v>14</v>
      </c>
      <c r="AE440" s="138">
        <v>91</v>
      </c>
      <c r="AG440" s="136">
        <v>24.51</v>
      </c>
      <c r="AH440" s="137">
        <v>6</v>
      </c>
      <c r="AI440" s="138">
        <v>9</v>
      </c>
      <c r="AK440" s="136">
        <v>24.34</v>
      </c>
      <c r="AL440" s="139">
        <v>14</v>
      </c>
      <c r="AM440" s="138">
        <v>91</v>
      </c>
      <c r="AO440" s="136">
        <v>46.31</v>
      </c>
      <c r="AP440" s="139">
        <v>18</v>
      </c>
      <c r="AQ440" s="138" t="s">
        <v>884</v>
      </c>
      <c r="AS440" s="136">
        <v>24.27</v>
      </c>
      <c r="AT440" s="139">
        <v>5</v>
      </c>
      <c r="AU440" s="138">
        <v>5</v>
      </c>
      <c r="AW440" s="136">
        <v>46.43</v>
      </c>
      <c r="AX440" s="139">
        <v>18</v>
      </c>
      <c r="AY440" s="138" t="s">
        <v>884</v>
      </c>
      <c r="BA440" s="136">
        <v>25.11</v>
      </c>
      <c r="BB440" s="139">
        <v>4</v>
      </c>
      <c r="BC440" s="138">
        <v>2</v>
      </c>
    </row>
    <row r="441" spans="5:55" x14ac:dyDescent="0.3">
      <c r="E441" s="166">
        <v>25.21</v>
      </c>
      <c r="F441" s="167">
        <v>2</v>
      </c>
      <c r="G441" s="155" t="s">
        <v>862</v>
      </c>
      <c r="I441" s="136">
        <v>47.11</v>
      </c>
      <c r="J441" s="139">
        <v>6</v>
      </c>
      <c r="K441" s="138">
        <v>9</v>
      </c>
      <c r="M441" s="136">
        <v>24.33</v>
      </c>
      <c r="N441" s="139">
        <v>6</v>
      </c>
      <c r="O441" s="138">
        <v>9</v>
      </c>
      <c r="Q441" s="136">
        <v>46.46</v>
      </c>
      <c r="R441" s="139">
        <v>19</v>
      </c>
      <c r="S441" s="138" t="s">
        <v>884</v>
      </c>
      <c r="U441" s="136">
        <v>24.34</v>
      </c>
      <c r="V441" s="139">
        <v>12</v>
      </c>
      <c r="W441" s="138">
        <v>75</v>
      </c>
      <c r="Y441" s="136">
        <v>24.24</v>
      </c>
      <c r="Z441" s="139">
        <v>5</v>
      </c>
      <c r="AA441" s="138">
        <v>5</v>
      </c>
      <c r="AC441" s="136">
        <v>24.4</v>
      </c>
      <c r="AD441" s="139">
        <v>15</v>
      </c>
      <c r="AE441" s="138">
        <v>95</v>
      </c>
      <c r="AG441" s="136">
        <v>24.53</v>
      </c>
      <c r="AH441" s="137">
        <v>7</v>
      </c>
      <c r="AI441" s="138">
        <v>16</v>
      </c>
      <c r="AK441" s="136">
        <v>24.35</v>
      </c>
      <c r="AL441" s="139">
        <v>15</v>
      </c>
      <c r="AM441" s="138">
        <v>95</v>
      </c>
      <c r="AO441" s="136">
        <v>46.34</v>
      </c>
      <c r="AP441" s="139">
        <v>19</v>
      </c>
      <c r="AQ441" s="138" t="s">
        <v>884</v>
      </c>
      <c r="AS441" s="136">
        <v>24.28</v>
      </c>
      <c r="AT441" s="139">
        <v>6</v>
      </c>
      <c r="AU441" s="138">
        <v>9</v>
      </c>
      <c r="AW441" s="136">
        <v>46.45</v>
      </c>
      <c r="AX441" s="139">
        <v>19</v>
      </c>
      <c r="AY441" s="138" t="s">
        <v>884</v>
      </c>
      <c r="BA441" s="136">
        <v>25.12</v>
      </c>
      <c r="BB441" s="139">
        <v>5</v>
      </c>
      <c r="BC441" s="138">
        <v>5</v>
      </c>
    </row>
    <row r="442" spans="5:55" x14ac:dyDescent="0.3">
      <c r="E442" s="166">
        <v>25.23</v>
      </c>
      <c r="F442" s="167">
        <v>3</v>
      </c>
      <c r="G442" s="155" t="s">
        <v>876</v>
      </c>
      <c r="I442" s="136">
        <v>47.12</v>
      </c>
      <c r="J442" s="139">
        <v>7</v>
      </c>
      <c r="K442" s="138">
        <v>16</v>
      </c>
      <c r="M442" s="136">
        <v>24.35</v>
      </c>
      <c r="N442" s="139">
        <v>7</v>
      </c>
      <c r="O442" s="138">
        <v>16</v>
      </c>
      <c r="Q442" s="136">
        <v>47</v>
      </c>
      <c r="R442" s="139">
        <v>1</v>
      </c>
      <c r="S442" s="138" t="s">
        <v>883</v>
      </c>
      <c r="U442" s="136">
        <v>24.36</v>
      </c>
      <c r="V442" s="139">
        <v>13</v>
      </c>
      <c r="W442" s="138">
        <v>85</v>
      </c>
      <c r="Y442" s="136">
        <v>24.25</v>
      </c>
      <c r="Z442" s="139">
        <v>6</v>
      </c>
      <c r="AA442" s="138">
        <v>9</v>
      </c>
      <c r="AC442" s="136">
        <v>24.41</v>
      </c>
      <c r="AD442" s="139">
        <v>16</v>
      </c>
      <c r="AE442" s="138">
        <v>98</v>
      </c>
      <c r="AG442" s="136">
        <v>24.55</v>
      </c>
      <c r="AH442" s="137">
        <v>8</v>
      </c>
      <c r="AI442" s="138">
        <v>25</v>
      </c>
      <c r="AK442" s="136">
        <v>24.37</v>
      </c>
      <c r="AL442" s="139">
        <v>16</v>
      </c>
      <c r="AM442" s="138">
        <v>98</v>
      </c>
      <c r="AO442" s="136">
        <v>47</v>
      </c>
      <c r="AP442" s="139">
        <v>1</v>
      </c>
      <c r="AQ442" s="138" t="s">
        <v>883</v>
      </c>
      <c r="AS442" s="136">
        <v>24.3</v>
      </c>
      <c r="AT442" s="139">
        <v>7</v>
      </c>
      <c r="AU442" s="138">
        <v>16</v>
      </c>
      <c r="AW442" s="136">
        <v>47</v>
      </c>
      <c r="AX442" s="139">
        <v>1</v>
      </c>
      <c r="AY442" s="138" t="s">
        <v>883</v>
      </c>
      <c r="BA442" s="136">
        <v>25.13</v>
      </c>
      <c r="BB442" s="139">
        <v>6</v>
      </c>
      <c r="BC442" s="138">
        <v>9</v>
      </c>
    </row>
    <row r="443" spans="5:55" x14ac:dyDescent="0.3">
      <c r="E443" s="166">
        <v>25.25</v>
      </c>
      <c r="F443" s="167">
        <v>4</v>
      </c>
      <c r="G443" s="155" t="s">
        <v>863</v>
      </c>
      <c r="I443" s="136">
        <v>47.14</v>
      </c>
      <c r="J443" s="139">
        <v>8</v>
      </c>
      <c r="K443" s="138">
        <v>25</v>
      </c>
      <c r="M443" s="136">
        <v>24.37</v>
      </c>
      <c r="N443" s="139">
        <v>8</v>
      </c>
      <c r="O443" s="138">
        <v>25</v>
      </c>
      <c r="Q443" s="136">
        <v>47.09</v>
      </c>
      <c r="R443" s="139">
        <v>2</v>
      </c>
      <c r="S443" s="138" t="s">
        <v>883</v>
      </c>
      <c r="U443" s="136">
        <v>24.39</v>
      </c>
      <c r="V443" s="139">
        <v>14</v>
      </c>
      <c r="W443" s="138">
        <v>91</v>
      </c>
      <c r="Y443" s="136">
        <v>24.26</v>
      </c>
      <c r="Z443" s="139">
        <v>7</v>
      </c>
      <c r="AA443" s="138">
        <v>16</v>
      </c>
      <c r="AC443" s="136">
        <v>24.43</v>
      </c>
      <c r="AD443" s="139">
        <v>17</v>
      </c>
      <c r="AE443" s="138">
        <v>99</v>
      </c>
      <c r="AG443" s="136">
        <v>24.57</v>
      </c>
      <c r="AH443" s="137">
        <v>9</v>
      </c>
      <c r="AI443" s="138">
        <v>37</v>
      </c>
      <c r="AK443" s="136">
        <v>24.38</v>
      </c>
      <c r="AL443" s="139">
        <v>17</v>
      </c>
      <c r="AM443" s="138">
        <v>99</v>
      </c>
      <c r="AO443" s="136">
        <v>47.12</v>
      </c>
      <c r="AP443" s="139">
        <v>2</v>
      </c>
      <c r="AQ443" s="138" t="s">
        <v>883</v>
      </c>
      <c r="AS443" s="136">
        <v>24.31</v>
      </c>
      <c r="AT443" s="139">
        <v>8</v>
      </c>
      <c r="AU443" s="138">
        <v>25</v>
      </c>
      <c r="AW443" s="136">
        <v>47.1</v>
      </c>
      <c r="AX443" s="139">
        <v>2</v>
      </c>
      <c r="AY443" s="138" t="s">
        <v>883</v>
      </c>
      <c r="BA443" s="136">
        <v>25.14</v>
      </c>
      <c r="BB443" s="139">
        <v>7</v>
      </c>
      <c r="BC443" s="138">
        <v>16</v>
      </c>
    </row>
    <row r="444" spans="5:55" x14ac:dyDescent="0.3">
      <c r="E444" s="166">
        <v>25.27</v>
      </c>
      <c r="F444" s="167">
        <v>5</v>
      </c>
      <c r="G444" s="155" t="s">
        <v>877</v>
      </c>
      <c r="I444" s="136">
        <v>47.16</v>
      </c>
      <c r="J444" s="139">
        <v>9</v>
      </c>
      <c r="K444" s="138">
        <v>37</v>
      </c>
      <c r="M444" s="136">
        <v>24.39</v>
      </c>
      <c r="N444" s="139">
        <v>9</v>
      </c>
      <c r="O444" s="138">
        <v>37</v>
      </c>
      <c r="Q444" s="136">
        <v>47.15</v>
      </c>
      <c r="R444" s="139">
        <v>3</v>
      </c>
      <c r="S444" s="138">
        <v>1</v>
      </c>
      <c r="U444" s="136">
        <v>24.42</v>
      </c>
      <c r="V444" s="139">
        <v>15</v>
      </c>
      <c r="W444" s="138">
        <v>95</v>
      </c>
      <c r="Y444" s="136">
        <v>24.27</v>
      </c>
      <c r="Z444" s="139">
        <v>8</v>
      </c>
      <c r="AA444" s="138">
        <v>25</v>
      </c>
      <c r="AC444" s="136">
        <v>24.47</v>
      </c>
      <c r="AD444" s="139">
        <v>18</v>
      </c>
      <c r="AE444" s="138" t="s">
        <v>884</v>
      </c>
      <c r="AG444" s="136">
        <v>24.58</v>
      </c>
      <c r="AH444" s="137">
        <v>10</v>
      </c>
      <c r="AI444" s="138">
        <v>50</v>
      </c>
      <c r="AK444" s="136">
        <v>24.39</v>
      </c>
      <c r="AL444" s="139">
        <v>18</v>
      </c>
      <c r="AM444" s="138" t="s">
        <v>884</v>
      </c>
      <c r="AO444" s="136">
        <v>47.14</v>
      </c>
      <c r="AP444" s="139">
        <v>3</v>
      </c>
      <c r="AQ444" s="138">
        <v>1</v>
      </c>
      <c r="AS444" s="136">
        <v>24.33</v>
      </c>
      <c r="AT444" s="139">
        <v>9</v>
      </c>
      <c r="AU444" s="138">
        <v>37</v>
      </c>
      <c r="AW444" s="136">
        <v>47.12</v>
      </c>
      <c r="AX444" s="139">
        <v>3</v>
      </c>
      <c r="AY444" s="138">
        <v>1</v>
      </c>
      <c r="BA444" s="136">
        <v>25.15</v>
      </c>
      <c r="BB444" s="139">
        <v>8</v>
      </c>
      <c r="BC444" s="138">
        <v>25</v>
      </c>
    </row>
    <row r="445" spans="5:55" x14ac:dyDescent="0.3">
      <c r="E445" s="166">
        <v>25.28</v>
      </c>
      <c r="F445" s="167">
        <v>6</v>
      </c>
      <c r="G445" s="155" t="s">
        <v>864</v>
      </c>
      <c r="I445" s="136">
        <v>47.18</v>
      </c>
      <c r="J445" s="139">
        <v>10</v>
      </c>
      <c r="K445" s="138">
        <v>50</v>
      </c>
      <c r="M445" s="136">
        <v>24.4</v>
      </c>
      <c r="N445" s="139">
        <v>10</v>
      </c>
      <c r="O445" s="138">
        <v>50</v>
      </c>
      <c r="Q445" s="136">
        <v>47.2</v>
      </c>
      <c r="R445" s="139">
        <v>4</v>
      </c>
      <c r="S445" s="138">
        <v>2</v>
      </c>
      <c r="U445" s="136">
        <v>24.45</v>
      </c>
      <c r="V445" s="139">
        <v>16</v>
      </c>
      <c r="W445" s="138">
        <v>98</v>
      </c>
      <c r="Y445" s="136">
        <v>24.28</v>
      </c>
      <c r="Z445" s="139">
        <v>9</v>
      </c>
      <c r="AA445" s="138">
        <v>37</v>
      </c>
      <c r="AC445" s="136">
        <v>24.51</v>
      </c>
      <c r="AD445" s="139">
        <v>19</v>
      </c>
      <c r="AE445" s="138" t="s">
        <v>884</v>
      </c>
      <c r="AG445" s="136">
        <v>24.6</v>
      </c>
      <c r="AH445" s="137">
        <v>11</v>
      </c>
      <c r="AI445" s="138">
        <v>63</v>
      </c>
      <c r="AK445" s="136">
        <v>24.4</v>
      </c>
      <c r="AL445" s="139">
        <v>19</v>
      </c>
      <c r="AM445" s="138" t="s">
        <v>884</v>
      </c>
      <c r="AO445" s="136">
        <v>47.15</v>
      </c>
      <c r="AP445" s="139">
        <v>4</v>
      </c>
      <c r="AQ445" s="138">
        <v>2</v>
      </c>
      <c r="AS445" s="136">
        <v>24.34</v>
      </c>
      <c r="AT445" s="139">
        <v>10</v>
      </c>
      <c r="AU445" s="138">
        <v>50</v>
      </c>
      <c r="AW445" s="136">
        <v>47.14</v>
      </c>
      <c r="AX445" s="139">
        <v>4</v>
      </c>
      <c r="AY445" s="138">
        <v>2</v>
      </c>
      <c r="BA445" s="136">
        <v>25.16</v>
      </c>
      <c r="BB445" s="139">
        <v>9</v>
      </c>
      <c r="BC445" s="138">
        <v>37</v>
      </c>
    </row>
    <row r="446" spans="5:55" x14ac:dyDescent="0.3">
      <c r="E446" s="166">
        <v>25.3</v>
      </c>
      <c r="F446" s="167">
        <v>7</v>
      </c>
      <c r="G446" s="155" t="s">
        <v>878</v>
      </c>
      <c r="I446" s="136">
        <v>47.2</v>
      </c>
      <c r="J446" s="139">
        <v>11</v>
      </c>
      <c r="K446" s="138">
        <v>63</v>
      </c>
      <c r="M446" s="136">
        <v>24.42</v>
      </c>
      <c r="N446" s="139">
        <v>11</v>
      </c>
      <c r="O446" s="138">
        <v>63</v>
      </c>
      <c r="Q446" s="136">
        <v>47.22</v>
      </c>
      <c r="R446" s="139">
        <v>5</v>
      </c>
      <c r="S446" s="138">
        <v>5</v>
      </c>
      <c r="U446" s="136">
        <v>24.48</v>
      </c>
      <c r="V446" s="139">
        <v>17</v>
      </c>
      <c r="W446" s="138">
        <v>99</v>
      </c>
      <c r="Y446" s="136">
        <v>24.29</v>
      </c>
      <c r="Z446" s="139">
        <v>10</v>
      </c>
      <c r="AA446" s="138">
        <v>50</v>
      </c>
      <c r="AC446" s="136">
        <v>25</v>
      </c>
      <c r="AD446" s="139">
        <v>1</v>
      </c>
      <c r="AE446" s="138" t="s">
        <v>883</v>
      </c>
      <c r="AG446" s="136">
        <v>24.62</v>
      </c>
      <c r="AH446" s="137">
        <v>12</v>
      </c>
      <c r="AI446" s="138">
        <v>75</v>
      </c>
      <c r="AK446" s="136">
        <v>25</v>
      </c>
      <c r="AL446" s="139">
        <v>1</v>
      </c>
      <c r="AM446" s="138" t="s">
        <v>883</v>
      </c>
      <c r="AO446" s="136">
        <v>47.16</v>
      </c>
      <c r="AP446" s="139">
        <v>5</v>
      </c>
      <c r="AQ446" s="138">
        <v>5</v>
      </c>
      <c r="AS446" s="136">
        <v>24.36</v>
      </c>
      <c r="AT446" s="139">
        <v>11</v>
      </c>
      <c r="AU446" s="138">
        <v>63</v>
      </c>
      <c r="AW446" s="136">
        <v>47.16</v>
      </c>
      <c r="AX446" s="139">
        <v>5</v>
      </c>
      <c r="AY446" s="138">
        <v>5</v>
      </c>
      <c r="BA446" s="136">
        <v>25.17</v>
      </c>
      <c r="BB446" s="139">
        <v>10</v>
      </c>
      <c r="BC446" s="138">
        <v>50</v>
      </c>
    </row>
    <row r="447" spans="5:55" x14ac:dyDescent="0.3">
      <c r="E447" s="166">
        <v>25.32</v>
      </c>
      <c r="F447" s="167">
        <v>8</v>
      </c>
      <c r="G447" s="155" t="s">
        <v>865</v>
      </c>
      <c r="I447" s="136">
        <v>47.22</v>
      </c>
      <c r="J447" s="139">
        <v>12</v>
      </c>
      <c r="K447" s="138">
        <v>75</v>
      </c>
      <c r="M447" s="136">
        <v>24.44</v>
      </c>
      <c r="N447" s="139">
        <v>12</v>
      </c>
      <c r="O447" s="138">
        <v>75</v>
      </c>
      <c r="Q447" s="136">
        <v>47.24</v>
      </c>
      <c r="R447" s="139">
        <v>6</v>
      </c>
      <c r="S447" s="138">
        <v>9</v>
      </c>
      <c r="U447" s="136">
        <v>24.53</v>
      </c>
      <c r="V447" s="139">
        <v>18</v>
      </c>
      <c r="W447" s="138" t="s">
        <v>884</v>
      </c>
      <c r="Y447" s="136">
        <v>24.3</v>
      </c>
      <c r="Z447" s="139">
        <v>11</v>
      </c>
      <c r="AA447" s="138">
        <v>63</v>
      </c>
      <c r="AC447" s="136">
        <v>25.18</v>
      </c>
      <c r="AD447" s="139">
        <v>2</v>
      </c>
      <c r="AE447" s="138" t="s">
        <v>883</v>
      </c>
      <c r="AG447" s="136">
        <v>24.64</v>
      </c>
      <c r="AH447" s="137">
        <v>13</v>
      </c>
      <c r="AI447" s="138">
        <v>85</v>
      </c>
      <c r="AK447" s="136">
        <v>25.21</v>
      </c>
      <c r="AL447" s="139">
        <v>2</v>
      </c>
      <c r="AM447" s="138" t="s">
        <v>883</v>
      </c>
      <c r="AO447" s="136">
        <v>47.17</v>
      </c>
      <c r="AP447" s="139">
        <v>6</v>
      </c>
      <c r="AQ447" s="138">
        <v>9</v>
      </c>
      <c r="AS447" s="136">
        <v>24.37</v>
      </c>
      <c r="AT447" s="139">
        <v>12</v>
      </c>
      <c r="AU447" s="138">
        <v>75</v>
      </c>
      <c r="AW447" s="136">
        <v>47.18</v>
      </c>
      <c r="AX447" s="139">
        <v>6</v>
      </c>
      <c r="AY447" s="138">
        <v>9</v>
      </c>
      <c r="BA447" s="136">
        <v>25.18</v>
      </c>
      <c r="BB447" s="139">
        <v>11</v>
      </c>
      <c r="BC447" s="138">
        <v>63</v>
      </c>
    </row>
    <row r="448" spans="5:55" x14ac:dyDescent="0.3">
      <c r="E448" s="166">
        <v>25.34</v>
      </c>
      <c r="F448" s="167">
        <v>9</v>
      </c>
      <c r="G448" s="155" t="s">
        <v>879</v>
      </c>
      <c r="I448" s="136">
        <v>47.24</v>
      </c>
      <c r="J448" s="139">
        <v>13</v>
      </c>
      <c r="K448" s="138">
        <v>85</v>
      </c>
      <c r="M448" s="136">
        <v>24.45</v>
      </c>
      <c r="N448" s="139">
        <v>13</v>
      </c>
      <c r="O448" s="138">
        <v>85</v>
      </c>
      <c r="Q448" s="136">
        <v>47.26</v>
      </c>
      <c r="R448" s="139">
        <v>7</v>
      </c>
      <c r="S448" s="138">
        <v>16</v>
      </c>
      <c r="U448" s="136">
        <v>24.57</v>
      </c>
      <c r="V448" s="139">
        <v>19</v>
      </c>
      <c r="W448" s="138" t="s">
        <v>884</v>
      </c>
      <c r="Y448" s="136">
        <v>24.32</v>
      </c>
      <c r="Z448" s="139">
        <v>12</v>
      </c>
      <c r="AA448" s="138">
        <v>75</v>
      </c>
      <c r="AC448" s="136">
        <v>25.19</v>
      </c>
      <c r="AD448" s="139">
        <v>3</v>
      </c>
      <c r="AE448" s="138">
        <v>1</v>
      </c>
      <c r="AG448" s="136">
        <v>24.66</v>
      </c>
      <c r="AH448" s="137">
        <v>14</v>
      </c>
      <c r="AI448" s="138">
        <v>91</v>
      </c>
      <c r="AK448" s="136">
        <v>25.23</v>
      </c>
      <c r="AL448" s="139">
        <v>3</v>
      </c>
      <c r="AM448" s="138">
        <v>1</v>
      </c>
      <c r="AO448" s="136">
        <v>47.19</v>
      </c>
      <c r="AP448" s="139">
        <v>7</v>
      </c>
      <c r="AQ448" s="138">
        <v>16</v>
      </c>
      <c r="AS448" s="136">
        <v>24.39</v>
      </c>
      <c r="AT448" s="139">
        <v>13</v>
      </c>
      <c r="AU448" s="138">
        <v>85</v>
      </c>
      <c r="AW448" s="136">
        <v>47.2</v>
      </c>
      <c r="AX448" s="139">
        <v>7</v>
      </c>
      <c r="AY448" s="138">
        <v>16</v>
      </c>
      <c r="BA448" s="136">
        <v>25.19</v>
      </c>
      <c r="BB448" s="139">
        <v>12</v>
      </c>
      <c r="BC448" s="138">
        <v>75</v>
      </c>
    </row>
    <row r="449" spans="5:55" x14ac:dyDescent="0.3">
      <c r="E449" s="166">
        <v>25.36</v>
      </c>
      <c r="F449" s="167">
        <v>10</v>
      </c>
      <c r="G449" s="155" t="s">
        <v>866</v>
      </c>
      <c r="I449" s="136">
        <v>47.26</v>
      </c>
      <c r="J449" s="139">
        <v>14</v>
      </c>
      <c r="K449" s="138">
        <v>91</v>
      </c>
      <c r="M449" s="136">
        <v>24.47</v>
      </c>
      <c r="N449" s="139">
        <v>14</v>
      </c>
      <c r="O449" s="138">
        <v>91</v>
      </c>
      <c r="Q449" s="136">
        <v>47.28</v>
      </c>
      <c r="R449" s="139">
        <v>8</v>
      </c>
      <c r="S449" s="138">
        <v>25</v>
      </c>
      <c r="U449" s="136">
        <v>25</v>
      </c>
      <c r="V449" s="139">
        <v>1</v>
      </c>
      <c r="W449" s="138" t="s">
        <v>883</v>
      </c>
      <c r="Y449" s="136">
        <v>24.33</v>
      </c>
      <c r="Z449" s="139">
        <v>13</v>
      </c>
      <c r="AA449" s="138">
        <v>85</v>
      </c>
      <c r="AC449" s="136">
        <v>25.21</v>
      </c>
      <c r="AD449" s="139">
        <v>4</v>
      </c>
      <c r="AE449" s="138">
        <v>2</v>
      </c>
      <c r="AG449" s="136">
        <v>24.67</v>
      </c>
      <c r="AH449" s="137">
        <v>15</v>
      </c>
      <c r="AI449" s="138">
        <v>95</v>
      </c>
      <c r="AK449" s="136">
        <v>25.24</v>
      </c>
      <c r="AL449" s="139">
        <v>4</v>
      </c>
      <c r="AM449" s="138">
        <v>2</v>
      </c>
      <c r="AO449" s="136">
        <v>47.2</v>
      </c>
      <c r="AP449" s="139">
        <v>8</v>
      </c>
      <c r="AQ449" s="138">
        <v>25</v>
      </c>
      <c r="AS449" s="136">
        <v>24.41</v>
      </c>
      <c r="AT449" s="139">
        <v>14</v>
      </c>
      <c r="AU449" s="138">
        <v>91</v>
      </c>
      <c r="AW449" s="136">
        <v>47.22</v>
      </c>
      <c r="AX449" s="139">
        <v>8</v>
      </c>
      <c r="AY449" s="138">
        <v>25</v>
      </c>
      <c r="BA449" s="136">
        <v>25.21</v>
      </c>
      <c r="BB449" s="139">
        <v>13</v>
      </c>
      <c r="BC449" s="138">
        <v>85</v>
      </c>
    </row>
    <row r="450" spans="5:55" x14ac:dyDescent="0.3">
      <c r="E450" s="166">
        <v>25.38</v>
      </c>
      <c r="F450" s="167">
        <v>11</v>
      </c>
      <c r="G450" s="155" t="s">
        <v>867</v>
      </c>
      <c r="I450" s="136">
        <v>47.28</v>
      </c>
      <c r="J450" s="139">
        <v>15</v>
      </c>
      <c r="K450" s="138">
        <v>95</v>
      </c>
      <c r="M450" s="136">
        <v>24.48</v>
      </c>
      <c r="N450" s="139">
        <v>15</v>
      </c>
      <c r="O450" s="138">
        <v>95</v>
      </c>
      <c r="Q450" s="136">
        <v>47.3</v>
      </c>
      <c r="R450" s="139">
        <v>9</v>
      </c>
      <c r="S450" s="138">
        <v>37</v>
      </c>
      <c r="U450" s="136">
        <v>25.1</v>
      </c>
      <c r="V450" s="139">
        <v>2</v>
      </c>
      <c r="W450" s="138" t="s">
        <v>883</v>
      </c>
      <c r="Y450" s="136">
        <v>24.34</v>
      </c>
      <c r="Z450" s="139">
        <v>14</v>
      </c>
      <c r="AA450" s="138">
        <v>91</v>
      </c>
      <c r="AC450" s="136">
        <v>25.23</v>
      </c>
      <c r="AD450" s="139">
        <v>5</v>
      </c>
      <c r="AE450" s="138">
        <v>5</v>
      </c>
      <c r="AG450" s="136">
        <v>24.69</v>
      </c>
      <c r="AH450" s="137">
        <v>16</v>
      </c>
      <c r="AI450" s="138">
        <v>98</v>
      </c>
      <c r="AK450" s="136">
        <v>25.25</v>
      </c>
      <c r="AL450" s="139">
        <v>5</v>
      </c>
      <c r="AM450" s="138">
        <v>5</v>
      </c>
      <c r="AO450" s="136">
        <v>47.21</v>
      </c>
      <c r="AP450" s="139">
        <v>9</v>
      </c>
      <c r="AQ450" s="138">
        <v>37</v>
      </c>
      <c r="AS450" s="136">
        <v>24.42</v>
      </c>
      <c r="AT450" s="139">
        <v>15</v>
      </c>
      <c r="AU450" s="138">
        <v>95</v>
      </c>
      <c r="AW450" s="136">
        <v>47.25</v>
      </c>
      <c r="AX450" s="139">
        <v>9</v>
      </c>
      <c r="AY450" s="138">
        <v>37</v>
      </c>
      <c r="BA450" s="136">
        <v>25.22</v>
      </c>
      <c r="BB450" s="139">
        <v>14</v>
      </c>
      <c r="BC450" s="138">
        <v>91</v>
      </c>
    </row>
    <row r="451" spans="5:55" x14ac:dyDescent="0.3">
      <c r="E451" s="166">
        <v>25.39</v>
      </c>
      <c r="F451" s="167">
        <v>12</v>
      </c>
      <c r="G451" s="155" t="s">
        <v>868</v>
      </c>
      <c r="I451" s="136">
        <v>47.3</v>
      </c>
      <c r="J451" s="139">
        <v>16</v>
      </c>
      <c r="K451" s="138">
        <v>98</v>
      </c>
      <c r="M451" s="136">
        <v>24.49</v>
      </c>
      <c r="N451" s="139">
        <v>16</v>
      </c>
      <c r="O451" s="138">
        <v>98</v>
      </c>
      <c r="Q451" s="136">
        <v>47.32</v>
      </c>
      <c r="R451" s="139">
        <v>10</v>
      </c>
      <c r="S451" s="138">
        <v>50</v>
      </c>
      <c r="U451" s="136">
        <v>25.12</v>
      </c>
      <c r="V451" s="139">
        <v>3</v>
      </c>
      <c r="W451" s="138">
        <v>1</v>
      </c>
      <c r="Y451" s="136">
        <v>24.36</v>
      </c>
      <c r="Z451" s="139">
        <v>15</v>
      </c>
      <c r="AA451" s="138">
        <v>95</v>
      </c>
      <c r="AC451" s="136">
        <v>25.25</v>
      </c>
      <c r="AD451" s="139">
        <v>6</v>
      </c>
      <c r="AE451" s="138">
        <v>9</v>
      </c>
      <c r="AG451" s="136">
        <v>24.71</v>
      </c>
      <c r="AH451" s="137">
        <v>17</v>
      </c>
      <c r="AI451" s="138">
        <v>99</v>
      </c>
      <c r="AK451" s="136">
        <v>25.26</v>
      </c>
      <c r="AL451" s="139">
        <v>6</v>
      </c>
      <c r="AM451" s="138">
        <v>9</v>
      </c>
      <c r="AO451" s="136">
        <v>47.22</v>
      </c>
      <c r="AP451" s="139">
        <v>10</v>
      </c>
      <c r="AQ451" s="138">
        <v>50</v>
      </c>
      <c r="AS451" s="136">
        <v>24.44</v>
      </c>
      <c r="AT451" s="139">
        <v>16</v>
      </c>
      <c r="AU451" s="138">
        <v>98</v>
      </c>
      <c r="AW451" s="136">
        <v>47.27</v>
      </c>
      <c r="AX451" s="139">
        <v>10</v>
      </c>
      <c r="AY451" s="138">
        <v>50</v>
      </c>
      <c r="BA451" s="136">
        <v>25.23</v>
      </c>
      <c r="BB451" s="139">
        <v>15</v>
      </c>
      <c r="BC451" s="138">
        <v>95</v>
      </c>
    </row>
    <row r="452" spans="5:55" x14ac:dyDescent="0.3">
      <c r="E452" s="166">
        <v>25.41</v>
      </c>
      <c r="F452" s="167">
        <v>13</v>
      </c>
      <c r="G452" s="155" t="s">
        <v>869</v>
      </c>
      <c r="I452" s="136">
        <v>47.32</v>
      </c>
      <c r="J452" s="139">
        <v>17</v>
      </c>
      <c r="K452" s="138">
        <v>99</v>
      </c>
      <c r="M452" s="136">
        <v>24.51</v>
      </c>
      <c r="N452" s="139">
        <v>17</v>
      </c>
      <c r="O452" s="138">
        <v>99</v>
      </c>
      <c r="Q452" s="136">
        <v>47.33</v>
      </c>
      <c r="R452" s="139">
        <v>11</v>
      </c>
      <c r="S452" s="138">
        <v>63</v>
      </c>
      <c r="U452" s="136">
        <v>25.14</v>
      </c>
      <c r="V452" s="139">
        <v>4</v>
      </c>
      <c r="W452" s="138">
        <v>2</v>
      </c>
      <c r="Y452" s="136">
        <v>24.37</v>
      </c>
      <c r="Z452" s="139">
        <v>16</v>
      </c>
      <c r="AA452" s="138">
        <v>98</v>
      </c>
      <c r="AC452" s="136">
        <v>25.26</v>
      </c>
      <c r="AD452" s="139">
        <v>7</v>
      </c>
      <c r="AE452" s="138">
        <v>16</v>
      </c>
      <c r="AG452" s="136">
        <v>24.73</v>
      </c>
      <c r="AH452" s="137">
        <v>18</v>
      </c>
      <c r="AI452" s="138" t="s">
        <v>884</v>
      </c>
      <c r="AK452" s="136">
        <v>25.27</v>
      </c>
      <c r="AL452" s="139">
        <v>7</v>
      </c>
      <c r="AM452" s="138">
        <v>16</v>
      </c>
      <c r="AO452" s="136">
        <v>47.23</v>
      </c>
      <c r="AP452" s="139">
        <v>11</v>
      </c>
      <c r="AQ452" s="138">
        <v>63</v>
      </c>
      <c r="AS452" s="136">
        <v>24.46</v>
      </c>
      <c r="AT452" s="139">
        <v>17</v>
      </c>
      <c r="AU452" s="138">
        <v>99</v>
      </c>
      <c r="AW452" s="136">
        <v>47.29</v>
      </c>
      <c r="AX452" s="139">
        <v>11</v>
      </c>
      <c r="AY452" s="138">
        <v>63</v>
      </c>
      <c r="BA452" s="136">
        <v>25.24</v>
      </c>
      <c r="BB452" s="139">
        <v>16</v>
      </c>
      <c r="BC452" s="138">
        <v>98</v>
      </c>
    </row>
    <row r="453" spans="5:55" x14ac:dyDescent="0.3">
      <c r="E453" s="166">
        <v>25.43</v>
      </c>
      <c r="F453" s="167">
        <v>14</v>
      </c>
      <c r="G453" s="155" t="s">
        <v>870</v>
      </c>
      <c r="I453" s="136">
        <v>47.34</v>
      </c>
      <c r="J453" s="139">
        <v>18</v>
      </c>
      <c r="K453" s="138" t="s">
        <v>884</v>
      </c>
      <c r="M453" s="136">
        <v>24.53</v>
      </c>
      <c r="N453" s="139">
        <v>18</v>
      </c>
      <c r="O453" s="138" t="s">
        <v>884</v>
      </c>
      <c r="Q453" s="136">
        <v>47.35</v>
      </c>
      <c r="R453" s="139">
        <v>12</v>
      </c>
      <c r="S453" s="138">
        <v>75</v>
      </c>
      <c r="U453" s="136">
        <v>25.17</v>
      </c>
      <c r="V453" s="139">
        <v>5</v>
      </c>
      <c r="W453" s="138">
        <v>5</v>
      </c>
      <c r="Y453" s="136">
        <v>24.38</v>
      </c>
      <c r="Z453" s="139">
        <v>17</v>
      </c>
      <c r="AA453" s="138">
        <v>99</v>
      </c>
      <c r="AC453" s="136">
        <v>25.28</v>
      </c>
      <c r="AD453" s="139">
        <v>8</v>
      </c>
      <c r="AE453" s="138">
        <v>25</v>
      </c>
      <c r="AG453" s="136">
        <v>24.75</v>
      </c>
      <c r="AH453" s="137">
        <v>19</v>
      </c>
      <c r="AI453" s="138" t="s">
        <v>884</v>
      </c>
      <c r="AK453" s="136">
        <v>25.28</v>
      </c>
      <c r="AL453" s="139">
        <v>8</v>
      </c>
      <c r="AM453" s="138">
        <v>25</v>
      </c>
      <c r="AO453" s="136">
        <v>47.24</v>
      </c>
      <c r="AP453" s="139">
        <v>12</v>
      </c>
      <c r="AQ453" s="138">
        <v>75</v>
      </c>
      <c r="AS453" s="136">
        <v>24.47</v>
      </c>
      <c r="AT453" s="139">
        <v>18</v>
      </c>
      <c r="AU453" s="138" t="s">
        <v>884</v>
      </c>
      <c r="AW453" s="136">
        <v>47.31</v>
      </c>
      <c r="AX453" s="139">
        <v>12</v>
      </c>
      <c r="AY453" s="138">
        <v>75</v>
      </c>
      <c r="BA453" s="136">
        <v>25.25</v>
      </c>
      <c r="BB453" s="139">
        <v>17</v>
      </c>
      <c r="BC453" s="138">
        <v>99</v>
      </c>
    </row>
    <row r="454" spans="5:55" x14ac:dyDescent="0.3">
      <c r="E454" s="166">
        <v>25.44</v>
      </c>
      <c r="F454" s="167">
        <v>15</v>
      </c>
      <c r="G454" s="155" t="s">
        <v>871</v>
      </c>
      <c r="I454" s="136">
        <v>47.36</v>
      </c>
      <c r="J454" s="139">
        <v>19</v>
      </c>
      <c r="K454" s="138" t="s">
        <v>884</v>
      </c>
      <c r="M454" s="136">
        <v>24.54</v>
      </c>
      <c r="N454" s="139">
        <v>19</v>
      </c>
      <c r="O454" s="138" t="s">
        <v>884</v>
      </c>
      <c r="Q454" s="136">
        <v>47.36</v>
      </c>
      <c r="R454" s="139">
        <v>13</v>
      </c>
      <c r="S454" s="138">
        <v>85</v>
      </c>
      <c r="U454" s="136">
        <v>25.19</v>
      </c>
      <c r="V454" s="139">
        <v>6</v>
      </c>
      <c r="W454" s="138">
        <v>9</v>
      </c>
      <c r="Y454" s="136">
        <v>24.4</v>
      </c>
      <c r="Z454" s="139">
        <v>18</v>
      </c>
      <c r="AA454" s="138" t="s">
        <v>884</v>
      </c>
      <c r="AC454" s="136">
        <v>25.29</v>
      </c>
      <c r="AD454" s="139">
        <v>9</v>
      </c>
      <c r="AE454" s="138">
        <v>37</v>
      </c>
      <c r="AG454" s="136">
        <v>25</v>
      </c>
      <c r="AH454" s="137">
        <v>1</v>
      </c>
      <c r="AI454" s="138" t="s">
        <v>883</v>
      </c>
      <c r="AK454" s="136">
        <v>25.29</v>
      </c>
      <c r="AL454" s="139">
        <v>9</v>
      </c>
      <c r="AM454" s="138">
        <v>37</v>
      </c>
      <c r="AO454" s="136">
        <v>47.25</v>
      </c>
      <c r="AP454" s="139">
        <v>13</v>
      </c>
      <c r="AQ454" s="138">
        <v>85</v>
      </c>
      <c r="AS454" s="136">
        <v>24.49</v>
      </c>
      <c r="AT454" s="139">
        <v>19</v>
      </c>
      <c r="AU454" s="138" t="s">
        <v>884</v>
      </c>
      <c r="AW454" s="136">
        <v>47.33</v>
      </c>
      <c r="AX454" s="139">
        <v>13</v>
      </c>
      <c r="AY454" s="138">
        <v>85</v>
      </c>
      <c r="BA454" s="136">
        <v>25.27</v>
      </c>
      <c r="BB454" s="139">
        <v>18</v>
      </c>
      <c r="BC454" s="138" t="s">
        <v>884</v>
      </c>
    </row>
    <row r="455" spans="5:55" x14ac:dyDescent="0.3">
      <c r="E455" s="166">
        <v>25.46</v>
      </c>
      <c r="F455" s="167">
        <v>16</v>
      </c>
      <c r="G455" s="155" t="s">
        <v>872</v>
      </c>
      <c r="I455" s="136">
        <v>48</v>
      </c>
      <c r="J455" s="139">
        <v>1</v>
      </c>
      <c r="K455" s="138" t="s">
        <v>883</v>
      </c>
      <c r="M455" s="136">
        <v>25</v>
      </c>
      <c r="N455" s="139">
        <v>1</v>
      </c>
      <c r="O455" s="138" t="s">
        <v>883</v>
      </c>
      <c r="Q455" s="136">
        <v>47.38</v>
      </c>
      <c r="R455" s="139">
        <v>14</v>
      </c>
      <c r="S455" s="138">
        <v>91</v>
      </c>
      <c r="U455" s="136">
        <v>25.22</v>
      </c>
      <c r="V455" s="139">
        <v>7</v>
      </c>
      <c r="W455" s="138">
        <v>16</v>
      </c>
      <c r="Y455" s="136">
        <v>24.41</v>
      </c>
      <c r="Z455" s="139">
        <v>19</v>
      </c>
      <c r="AA455" s="138" t="s">
        <v>884</v>
      </c>
      <c r="AC455" s="136">
        <v>25.3</v>
      </c>
      <c r="AD455" s="139">
        <v>10</v>
      </c>
      <c r="AE455" s="138">
        <v>50</v>
      </c>
      <c r="AG455" s="136">
        <v>25.41</v>
      </c>
      <c r="AH455" s="137">
        <v>2</v>
      </c>
      <c r="AI455" s="138" t="s">
        <v>883</v>
      </c>
      <c r="AK455" s="136">
        <v>25.3</v>
      </c>
      <c r="AL455" s="139">
        <v>10</v>
      </c>
      <c r="AM455" s="138">
        <v>50</v>
      </c>
      <c r="AO455" s="136">
        <v>47.26</v>
      </c>
      <c r="AP455" s="139">
        <v>14</v>
      </c>
      <c r="AQ455" s="138">
        <v>91</v>
      </c>
      <c r="AS455" s="136">
        <v>25</v>
      </c>
      <c r="AT455" s="139">
        <v>1</v>
      </c>
      <c r="AU455" s="138" t="s">
        <v>883</v>
      </c>
      <c r="AW455" s="136">
        <v>47.35</v>
      </c>
      <c r="AX455" s="139">
        <v>14</v>
      </c>
      <c r="AY455" s="138">
        <v>91</v>
      </c>
      <c r="BA455" s="136">
        <v>25.29</v>
      </c>
      <c r="BB455" s="139">
        <v>19</v>
      </c>
      <c r="BC455" s="138" t="s">
        <v>884</v>
      </c>
    </row>
    <row r="456" spans="5:55" x14ac:dyDescent="0.3">
      <c r="E456" s="166">
        <v>25.48</v>
      </c>
      <c r="F456" s="167">
        <v>17</v>
      </c>
      <c r="G456" s="155" t="s">
        <v>873</v>
      </c>
      <c r="I456" s="136">
        <v>48.05</v>
      </c>
      <c r="J456" s="139">
        <v>2</v>
      </c>
      <c r="K456" s="138" t="s">
        <v>883</v>
      </c>
      <c r="M456" s="136">
        <v>25.21</v>
      </c>
      <c r="N456" s="139">
        <v>2</v>
      </c>
      <c r="O456" s="138" t="s">
        <v>883</v>
      </c>
      <c r="Q456" s="136">
        <v>47.4</v>
      </c>
      <c r="R456" s="139">
        <v>15</v>
      </c>
      <c r="S456" s="138">
        <v>95</v>
      </c>
      <c r="U456" s="136">
        <v>25.25</v>
      </c>
      <c r="V456" s="139">
        <v>8</v>
      </c>
      <c r="W456" s="138">
        <v>25</v>
      </c>
      <c r="Y456" s="136">
        <v>25</v>
      </c>
      <c r="Z456" s="139">
        <v>1</v>
      </c>
      <c r="AA456" s="138" t="s">
        <v>883</v>
      </c>
      <c r="AC456" s="136">
        <v>25.32</v>
      </c>
      <c r="AD456" s="139">
        <v>11</v>
      </c>
      <c r="AE456" s="138">
        <v>63</v>
      </c>
      <c r="AG456" s="136">
        <v>25.44</v>
      </c>
      <c r="AH456" s="137">
        <v>3</v>
      </c>
      <c r="AI456" s="138">
        <v>1</v>
      </c>
      <c r="AK456" s="136">
        <v>25.31</v>
      </c>
      <c r="AL456" s="139">
        <v>11</v>
      </c>
      <c r="AM456" s="138">
        <v>63</v>
      </c>
      <c r="AO456" s="136">
        <v>47.27</v>
      </c>
      <c r="AP456" s="139">
        <v>15</v>
      </c>
      <c r="AQ456" s="138">
        <v>95</v>
      </c>
      <c r="AS456" s="136">
        <v>25.2</v>
      </c>
      <c r="AT456" s="139">
        <v>2</v>
      </c>
      <c r="AU456" s="138" t="s">
        <v>883</v>
      </c>
      <c r="AW456" s="136">
        <v>47.37</v>
      </c>
      <c r="AX456" s="139">
        <v>15</v>
      </c>
      <c r="AY456" s="138">
        <v>95</v>
      </c>
      <c r="BA456" s="136">
        <v>26</v>
      </c>
      <c r="BB456" s="139">
        <v>1</v>
      </c>
      <c r="BC456" s="138" t="s">
        <v>883</v>
      </c>
    </row>
    <row r="457" spans="5:55" x14ac:dyDescent="0.3">
      <c r="E457" s="166">
        <v>25.51</v>
      </c>
      <c r="F457" s="167">
        <v>18</v>
      </c>
      <c r="G457" s="155" t="s">
        <v>874</v>
      </c>
      <c r="I457" s="136">
        <v>48.07</v>
      </c>
      <c r="J457" s="139">
        <v>3</v>
      </c>
      <c r="K457" s="138">
        <v>1</v>
      </c>
      <c r="M457" s="136">
        <v>25.27</v>
      </c>
      <c r="N457" s="139">
        <v>3</v>
      </c>
      <c r="O457" s="138">
        <v>1</v>
      </c>
      <c r="Q457" s="136">
        <v>47.41</v>
      </c>
      <c r="R457" s="139">
        <v>16</v>
      </c>
      <c r="S457" s="138">
        <v>98</v>
      </c>
      <c r="U457" s="136">
        <v>25.27</v>
      </c>
      <c r="V457" s="139">
        <v>9</v>
      </c>
      <c r="W457" s="138">
        <v>37</v>
      </c>
      <c r="Y457" s="136">
        <v>25.2</v>
      </c>
      <c r="Z457" s="139">
        <v>2</v>
      </c>
      <c r="AA457" s="138" t="s">
        <v>883</v>
      </c>
      <c r="AC457" s="136">
        <v>25.34</v>
      </c>
      <c r="AD457" s="139">
        <v>12</v>
      </c>
      <c r="AE457" s="138">
        <v>75</v>
      </c>
      <c r="AG457" s="136">
        <v>25.47</v>
      </c>
      <c r="AH457" s="137">
        <v>4</v>
      </c>
      <c r="AI457" s="138">
        <v>2</v>
      </c>
      <c r="AK457" s="136">
        <v>25.32</v>
      </c>
      <c r="AL457" s="139">
        <v>12</v>
      </c>
      <c r="AM457" s="138">
        <v>75</v>
      </c>
      <c r="AO457" s="136">
        <v>47.28</v>
      </c>
      <c r="AP457" s="139">
        <v>16</v>
      </c>
      <c r="AQ457" s="138">
        <v>98</v>
      </c>
      <c r="AS457" s="136">
        <v>25.23</v>
      </c>
      <c r="AT457" s="139">
        <v>3</v>
      </c>
      <c r="AU457" s="138">
        <v>1</v>
      </c>
      <c r="AW457" s="136">
        <v>47.39</v>
      </c>
      <c r="AX457" s="139">
        <v>16</v>
      </c>
      <c r="AY457" s="138">
        <v>98</v>
      </c>
      <c r="BA457" s="136">
        <v>26.08</v>
      </c>
      <c r="BB457" s="139">
        <v>2</v>
      </c>
      <c r="BC457" s="138" t="s">
        <v>883</v>
      </c>
    </row>
    <row r="458" spans="5:55" x14ac:dyDescent="0.3">
      <c r="E458" s="166">
        <v>25.54</v>
      </c>
      <c r="F458" s="167">
        <v>19</v>
      </c>
      <c r="G458" s="155" t="s">
        <v>874</v>
      </c>
      <c r="I458" s="136">
        <v>48.11</v>
      </c>
      <c r="J458" s="139">
        <v>4</v>
      </c>
      <c r="K458" s="138">
        <v>2</v>
      </c>
      <c r="M458" s="136">
        <v>25.28</v>
      </c>
      <c r="N458" s="139">
        <v>4</v>
      </c>
      <c r="O458" s="138">
        <v>2</v>
      </c>
      <c r="Q458" s="136">
        <v>47.43</v>
      </c>
      <c r="R458" s="139">
        <v>17</v>
      </c>
      <c r="S458" s="138">
        <v>99</v>
      </c>
      <c r="U458" s="136">
        <v>25.3</v>
      </c>
      <c r="V458" s="139">
        <v>10</v>
      </c>
      <c r="W458" s="138">
        <v>50</v>
      </c>
      <c r="Y458" s="136">
        <v>25.22</v>
      </c>
      <c r="Z458" s="139">
        <v>3</v>
      </c>
      <c r="AA458" s="138">
        <v>1</v>
      </c>
      <c r="AC458" s="136">
        <v>25.36</v>
      </c>
      <c r="AD458" s="139">
        <v>13</v>
      </c>
      <c r="AE458" s="138">
        <v>85</v>
      </c>
      <c r="AG458" s="136">
        <v>25.49</v>
      </c>
      <c r="AH458" s="137">
        <v>5</v>
      </c>
      <c r="AI458" s="138">
        <v>5</v>
      </c>
      <c r="AK458" s="136">
        <v>25.33</v>
      </c>
      <c r="AL458" s="139">
        <v>13</v>
      </c>
      <c r="AM458" s="138">
        <v>85</v>
      </c>
      <c r="AO458" s="136">
        <v>47.3</v>
      </c>
      <c r="AP458" s="139">
        <v>17</v>
      </c>
      <c r="AQ458" s="138">
        <v>99</v>
      </c>
      <c r="AS458" s="136">
        <v>25.25</v>
      </c>
      <c r="AT458" s="139">
        <v>4</v>
      </c>
      <c r="AU458" s="138">
        <v>2</v>
      </c>
      <c r="AW458" s="136">
        <v>47.41</v>
      </c>
      <c r="AX458" s="139">
        <v>17</v>
      </c>
      <c r="AY458" s="138">
        <v>99</v>
      </c>
      <c r="BA458" s="136">
        <v>26.1</v>
      </c>
      <c r="BB458" s="139">
        <v>3</v>
      </c>
      <c r="BC458" s="138">
        <v>1</v>
      </c>
    </row>
    <row r="459" spans="5:55" x14ac:dyDescent="0.3">
      <c r="E459" s="166">
        <v>26</v>
      </c>
      <c r="F459" s="167">
        <v>1</v>
      </c>
      <c r="G459" s="155" t="s">
        <v>862</v>
      </c>
      <c r="I459" s="136">
        <v>48.12</v>
      </c>
      <c r="J459" s="139">
        <v>5</v>
      </c>
      <c r="K459" s="138">
        <v>5</v>
      </c>
      <c r="M459" s="136">
        <v>25.31</v>
      </c>
      <c r="N459" s="139">
        <v>5</v>
      </c>
      <c r="O459" s="138">
        <v>5</v>
      </c>
      <c r="Q459" s="136">
        <v>47.45</v>
      </c>
      <c r="R459" s="139">
        <v>18</v>
      </c>
      <c r="S459" s="138" t="s">
        <v>884</v>
      </c>
      <c r="U459" s="136">
        <v>25.32</v>
      </c>
      <c r="V459" s="139">
        <v>11</v>
      </c>
      <c r="W459" s="138">
        <v>63</v>
      </c>
      <c r="Y459" s="136">
        <v>25.23</v>
      </c>
      <c r="Z459" s="139">
        <v>4</v>
      </c>
      <c r="AA459" s="138">
        <v>2</v>
      </c>
      <c r="AC459" s="136">
        <v>25.38</v>
      </c>
      <c r="AD459" s="139">
        <v>14</v>
      </c>
      <c r="AE459" s="138">
        <v>91</v>
      </c>
      <c r="AG459" s="136">
        <v>25.51</v>
      </c>
      <c r="AH459" s="137">
        <v>6</v>
      </c>
      <c r="AI459" s="138">
        <v>9</v>
      </c>
      <c r="AK459" s="136">
        <v>25.34</v>
      </c>
      <c r="AL459" s="139">
        <v>14</v>
      </c>
      <c r="AM459" s="138">
        <v>91</v>
      </c>
      <c r="AO459" s="136">
        <v>47.31</v>
      </c>
      <c r="AP459" s="139">
        <v>18</v>
      </c>
      <c r="AQ459" s="138" t="s">
        <v>884</v>
      </c>
      <c r="AS459" s="136">
        <v>25.27</v>
      </c>
      <c r="AT459" s="139">
        <v>5</v>
      </c>
      <c r="AU459" s="138">
        <v>5</v>
      </c>
      <c r="AW459" s="136">
        <v>47.43</v>
      </c>
      <c r="AX459" s="139">
        <v>18</v>
      </c>
      <c r="AY459" s="138" t="s">
        <v>884</v>
      </c>
      <c r="BA459" s="136">
        <v>26.11</v>
      </c>
      <c r="BB459" s="139">
        <v>4</v>
      </c>
      <c r="BC459" s="138">
        <v>2</v>
      </c>
    </row>
    <row r="460" spans="5:55" x14ac:dyDescent="0.3">
      <c r="E460" s="166">
        <v>26.21</v>
      </c>
      <c r="F460" s="167">
        <v>2</v>
      </c>
      <c r="G460" s="155" t="s">
        <v>862</v>
      </c>
      <c r="I460" s="136">
        <v>48.14</v>
      </c>
      <c r="J460" s="139">
        <v>6</v>
      </c>
      <c r="K460" s="138">
        <v>9</v>
      </c>
      <c r="M460" s="136">
        <v>25.33</v>
      </c>
      <c r="N460" s="139">
        <v>6</v>
      </c>
      <c r="O460" s="138">
        <v>9</v>
      </c>
      <c r="Q460" s="136">
        <v>47.46</v>
      </c>
      <c r="R460" s="139">
        <v>19</v>
      </c>
      <c r="S460" s="138" t="s">
        <v>884</v>
      </c>
      <c r="U460" s="136">
        <v>25.34</v>
      </c>
      <c r="V460" s="139">
        <v>12</v>
      </c>
      <c r="W460" s="138">
        <v>75</v>
      </c>
      <c r="Y460" s="136">
        <v>25.24</v>
      </c>
      <c r="Z460" s="139">
        <v>5</v>
      </c>
      <c r="AA460" s="138">
        <v>5</v>
      </c>
      <c r="AC460" s="136">
        <v>25.4</v>
      </c>
      <c r="AD460" s="139">
        <v>15</v>
      </c>
      <c r="AE460" s="138">
        <v>95</v>
      </c>
      <c r="AG460" s="136">
        <v>25.53</v>
      </c>
      <c r="AH460" s="137">
        <v>7</v>
      </c>
      <c r="AI460" s="138">
        <v>16</v>
      </c>
      <c r="AK460" s="136">
        <v>25.35</v>
      </c>
      <c r="AL460" s="139">
        <v>15</v>
      </c>
      <c r="AM460" s="138">
        <v>95</v>
      </c>
      <c r="AO460" s="136">
        <v>47.34</v>
      </c>
      <c r="AP460" s="139">
        <v>19</v>
      </c>
      <c r="AQ460" s="138" t="s">
        <v>884</v>
      </c>
      <c r="AS460" s="136">
        <v>25.28</v>
      </c>
      <c r="AT460" s="139">
        <v>6</v>
      </c>
      <c r="AU460" s="138">
        <v>9</v>
      </c>
      <c r="AW460" s="136">
        <v>47.45</v>
      </c>
      <c r="AX460" s="139">
        <v>19</v>
      </c>
      <c r="AY460" s="138" t="s">
        <v>884</v>
      </c>
      <c r="BA460" s="136">
        <v>26.12</v>
      </c>
      <c r="BB460" s="139">
        <v>5</v>
      </c>
      <c r="BC460" s="138">
        <v>5</v>
      </c>
    </row>
    <row r="461" spans="5:55" x14ac:dyDescent="0.3">
      <c r="E461" s="166">
        <v>26.23</v>
      </c>
      <c r="F461" s="167">
        <v>3</v>
      </c>
      <c r="G461" s="155" t="s">
        <v>876</v>
      </c>
      <c r="I461" s="136">
        <v>48.15</v>
      </c>
      <c r="J461" s="139">
        <v>7</v>
      </c>
      <c r="K461" s="138">
        <v>16</v>
      </c>
      <c r="M461" s="136">
        <v>25.35</v>
      </c>
      <c r="N461" s="139">
        <v>7</v>
      </c>
      <c r="O461" s="138">
        <v>16</v>
      </c>
      <c r="Q461" s="136">
        <v>48</v>
      </c>
      <c r="R461" s="139">
        <v>1</v>
      </c>
      <c r="S461" s="138" t="s">
        <v>883</v>
      </c>
      <c r="U461" s="136">
        <v>25.36</v>
      </c>
      <c r="V461" s="139">
        <v>13</v>
      </c>
      <c r="W461" s="138">
        <v>85</v>
      </c>
      <c r="Y461" s="136">
        <v>25.25</v>
      </c>
      <c r="Z461" s="139">
        <v>6</v>
      </c>
      <c r="AA461" s="138">
        <v>9</v>
      </c>
      <c r="AC461" s="136">
        <v>25.41</v>
      </c>
      <c r="AD461" s="139">
        <v>16</v>
      </c>
      <c r="AE461" s="138">
        <v>98</v>
      </c>
      <c r="AG461" s="136">
        <v>25.55</v>
      </c>
      <c r="AH461" s="137">
        <v>8</v>
      </c>
      <c r="AI461" s="138">
        <v>25</v>
      </c>
      <c r="AK461" s="136">
        <v>25.37</v>
      </c>
      <c r="AL461" s="139">
        <v>16</v>
      </c>
      <c r="AM461" s="138">
        <v>98</v>
      </c>
      <c r="AO461" s="136">
        <v>48</v>
      </c>
      <c r="AP461" s="139">
        <v>1</v>
      </c>
      <c r="AQ461" s="138" t="s">
        <v>883</v>
      </c>
      <c r="AS461" s="136">
        <v>25.3</v>
      </c>
      <c r="AT461" s="139">
        <v>7</v>
      </c>
      <c r="AU461" s="138">
        <v>16</v>
      </c>
      <c r="AW461" s="136">
        <v>48</v>
      </c>
      <c r="AX461" s="139">
        <v>1</v>
      </c>
      <c r="AY461" s="138" t="s">
        <v>883</v>
      </c>
      <c r="BA461" s="136">
        <v>26.13</v>
      </c>
      <c r="BB461" s="139">
        <v>6</v>
      </c>
      <c r="BC461" s="138">
        <v>9</v>
      </c>
    </row>
    <row r="462" spans="5:55" x14ac:dyDescent="0.3">
      <c r="E462" s="166">
        <v>26.25</v>
      </c>
      <c r="F462" s="167">
        <v>4</v>
      </c>
      <c r="G462" s="155" t="s">
        <v>863</v>
      </c>
      <c r="I462" s="136">
        <v>48.17</v>
      </c>
      <c r="J462" s="139">
        <v>8</v>
      </c>
      <c r="K462" s="138">
        <v>25</v>
      </c>
      <c r="M462" s="136">
        <v>25.37</v>
      </c>
      <c r="N462" s="139">
        <v>8</v>
      </c>
      <c r="O462" s="138">
        <v>25</v>
      </c>
      <c r="Q462" s="136">
        <v>48.11</v>
      </c>
      <c r="R462" s="139">
        <v>2</v>
      </c>
      <c r="S462" s="138" t="s">
        <v>883</v>
      </c>
      <c r="U462" s="136">
        <v>25.39</v>
      </c>
      <c r="V462" s="139">
        <v>14</v>
      </c>
      <c r="W462" s="138">
        <v>91</v>
      </c>
      <c r="Y462" s="136">
        <v>25.26</v>
      </c>
      <c r="Z462" s="139">
        <v>7</v>
      </c>
      <c r="AA462" s="138">
        <v>16</v>
      </c>
      <c r="AC462" s="136">
        <v>25.43</v>
      </c>
      <c r="AD462" s="139">
        <v>17</v>
      </c>
      <c r="AE462" s="138">
        <v>99</v>
      </c>
      <c r="AG462" s="136">
        <v>25.57</v>
      </c>
      <c r="AH462" s="137">
        <v>9</v>
      </c>
      <c r="AI462" s="138">
        <v>37</v>
      </c>
      <c r="AK462" s="136">
        <v>25.38</v>
      </c>
      <c r="AL462" s="139">
        <v>17</v>
      </c>
      <c r="AM462" s="138">
        <v>99</v>
      </c>
      <c r="AO462" s="136">
        <v>48.13</v>
      </c>
      <c r="AP462" s="139">
        <v>2</v>
      </c>
      <c r="AQ462" s="138" t="s">
        <v>883</v>
      </c>
      <c r="AS462" s="136">
        <v>25.31</v>
      </c>
      <c r="AT462" s="139">
        <v>8</v>
      </c>
      <c r="AU462" s="138">
        <v>25</v>
      </c>
      <c r="AW462" s="136">
        <v>48.12</v>
      </c>
      <c r="AX462" s="139">
        <v>2</v>
      </c>
      <c r="AY462" s="138" t="s">
        <v>883</v>
      </c>
      <c r="BA462" s="136">
        <v>26.14</v>
      </c>
      <c r="BB462" s="139">
        <v>7</v>
      </c>
      <c r="BC462" s="138">
        <v>16</v>
      </c>
    </row>
    <row r="463" spans="5:55" x14ac:dyDescent="0.3">
      <c r="E463" s="166">
        <v>26.27</v>
      </c>
      <c r="F463" s="167">
        <v>5</v>
      </c>
      <c r="G463" s="155" t="s">
        <v>877</v>
      </c>
      <c r="I463" s="136">
        <v>48.18</v>
      </c>
      <c r="J463" s="139">
        <v>9</v>
      </c>
      <c r="K463" s="138">
        <v>37</v>
      </c>
      <c r="M463" s="136">
        <v>25.39</v>
      </c>
      <c r="N463" s="139">
        <v>9</v>
      </c>
      <c r="O463" s="138">
        <v>37</v>
      </c>
      <c r="Q463" s="136">
        <v>48.2</v>
      </c>
      <c r="R463" s="139">
        <v>3</v>
      </c>
      <c r="S463" s="138">
        <v>1</v>
      </c>
      <c r="U463" s="136">
        <v>25.42</v>
      </c>
      <c r="V463" s="139">
        <v>15</v>
      </c>
      <c r="W463" s="138">
        <v>95</v>
      </c>
      <c r="Y463" s="136">
        <v>25.27</v>
      </c>
      <c r="Z463" s="139">
        <v>8</v>
      </c>
      <c r="AA463" s="138">
        <v>25</v>
      </c>
      <c r="AC463" s="136">
        <v>25.47</v>
      </c>
      <c r="AD463" s="139">
        <v>18</v>
      </c>
      <c r="AE463" s="138" t="s">
        <v>884</v>
      </c>
      <c r="AG463" s="136">
        <v>25.58</v>
      </c>
      <c r="AH463" s="137">
        <v>10</v>
      </c>
      <c r="AI463" s="138">
        <v>50</v>
      </c>
      <c r="AK463" s="136">
        <v>25.39</v>
      </c>
      <c r="AL463" s="139">
        <v>18</v>
      </c>
      <c r="AM463" s="138" t="s">
        <v>884</v>
      </c>
      <c r="AO463" s="136">
        <v>48.15</v>
      </c>
      <c r="AP463" s="139">
        <v>3</v>
      </c>
      <c r="AQ463" s="138">
        <v>1</v>
      </c>
      <c r="AS463" s="136">
        <v>25.33</v>
      </c>
      <c r="AT463" s="139">
        <v>9</v>
      </c>
      <c r="AU463" s="138">
        <v>37</v>
      </c>
      <c r="AW463" s="136">
        <v>48.15</v>
      </c>
      <c r="AX463" s="139">
        <v>3</v>
      </c>
      <c r="AY463" s="138">
        <v>1</v>
      </c>
      <c r="BA463" s="136">
        <v>26.15</v>
      </c>
      <c r="BB463" s="139">
        <v>8</v>
      </c>
      <c r="BC463" s="138">
        <v>25</v>
      </c>
    </row>
    <row r="464" spans="5:55" x14ac:dyDescent="0.3">
      <c r="E464" s="166">
        <v>26.28</v>
      </c>
      <c r="F464" s="167">
        <v>6</v>
      </c>
      <c r="G464" s="155" t="s">
        <v>864</v>
      </c>
      <c r="I464" s="136">
        <v>48.2</v>
      </c>
      <c r="J464" s="139">
        <v>10</v>
      </c>
      <c r="K464" s="138">
        <v>50</v>
      </c>
      <c r="M464" s="136">
        <v>25.4</v>
      </c>
      <c r="N464" s="139">
        <v>10</v>
      </c>
      <c r="O464" s="138">
        <v>50</v>
      </c>
      <c r="Q464" s="136">
        <v>48.22</v>
      </c>
      <c r="R464" s="139">
        <v>4</v>
      </c>
      <c r="S464" s="138">
        <v>2</v>
      </c>
      <c r="U464" s="136">
        <v>25.45</v>
      </c>
      <c r="V464" s="139">
        <v>16</v>
      </c>
      <c r="W464" s="138">
        <v>98</v>
      </c>
      <c r="Y464" s="136">
        <v>25.28</v>
      </c>
      <c r="Z464" s="139">
        <v>9</v>
      </c>
      <c r="AA464" s="138">
        <v>37</v>
      </c>
      <c r="AC464" s="136">
        <v>25.51</v>
      </c>
      <c r="AD464" s="139">
        <v>19</v>
      </c>
      <c r="AE464" s="138" t="s">
        <v>884</v>
      </c>
      <c r="AG464" s="136">
        <v>25.6</v>
      </c>
      <c r="AH464" s="137">
        <v>11</v>
      </c>
      <c r="AI464" s="138">
        <v>63</v>
      </c>
      <c r="AK464" s="136">
        <v>25.4</v>
      </c>
      <c r="AL464" s="139">
        <v>19</v>
      </c>
      <c r="AM464" s="138" t="s">
        <v>884</v>
      </c>
      <c r="AO464" s="136">
        <v>48.16</v>
      </c>
      <c r="AP464" s="139">
        <v>4</v>
      </c>
      <c r="AQ464" s="138">
        <v>2</v>
      </c>
      <c r="AS464" s="136">
        <v>25.34</v>
      </c>
      <c r="AT464" s="139">
        <v>10</v>
      </c>
      <c r="AU464" s="138">
        <v>50</v>
      </c>
      <c r="AW464" s="136">
        <v>48.17</v>
      </c>
      <c r="AX464" s="139">
        <v>4</v>
      </c>
      <c r="AY464" s="138">
        <v>2</v>
      </c>
      <c r="BA464" s="136">
        <v>26.16</v>
      </c>
      <c r="BB464" s="139">
        <v>9</v>
      </c>
      <c r="BC464" s="138">
        <v>37</v>
      </c>
    </row>
    <row r="465" spans="5:55" x14ac:dyDescent="0.3">
      <c r="E465" s="166">
        <v>26.3</v>
      </c>
      <c r="F465" s="167">
        <v>7</v>
      </c>
      <c r="G465" s="155" t="s">
        <v>878</v>
      </c>
      <c r="I465" s="136">
        <v>48.22</v>
      </c>
      <c r="J465" s="139">
        <v>11</v>
      </c>
      <c r="K465" s="138">
        <v>63</v>
      </c>
      <c r="M465" s="136">
        <v>25.42</v>
      </c>
      <c r="N465" s="139">
        <v>11</v>
      </c>
      <c r="O465" s="138">
        <v>63</v>
      </c>
      <c r="Q465" s="136">
        <v>48.25</v>
      </c>
      <c r="R465" s="139">
        <v>5</v>
      </c>
      <c r="S465" s="138">
        <v>5</v>
      </c>
      <c r="U465" s="136">
        <v>25.48</v>
      </c>
      <c r="V465" s="139">
        <v>17</v>
      </c>
      <c r="W465" s="138">
        <v>99</v>
      </c>
      <c r="Y465" s="136">
        <v>25.29</v>
      </c>
      <c r="Z465" s="139">
        <v>10</v>
      </c>
      <c r="AA465" s="138">
        <v>50</v>
      </c>
      <c r="AC465" s="136">
        <v>26</v>
      </c>
      <c r="AD465" s="139">
        <v>1</v>
      </c>
      <c r="AE465" s="138" t="s">
        <v>883</v>
      </c>
      <c r="AG465" s="136">
        <v>25.62</v>
      </c>
      <c r="AH465" s="137">
        <v>12</v>
      </c>
      <c r="AI465" s="138">
        <v>75</v>
      </c>
      <c r="AK465" s="136">
        <v>26</v>
      </c>
      <c r="AL465" s="139">
        <v>1</v>
      </c>
      <c r="AM465" s="138" t="s">
        <v>883</v>
      </c>
      <c r="AO465" s="136">
        <v>48.17</v>
      </c>
      <c r="AP465" s="139">
        <v>5</v>
      </c>
      <c r="AQ465" s="138">
        <v>5</v>
      </c>
      <c r="AS465" s="136">
        <v>25.36</v>
      </c>
      <c r="AT465" s="139">
        <v>11</v>
      </c>
      <c r="AU465" s="138">
        <v>63</v>
      </c>
      <c r="AW465" s="136">
        <v>48.19</v>
      </c>
      <c r="AX465" s="139">
        <v>5</v>
      </c>
      <c r="AY465" s="138">
        <v>5</v>
      </c>
      <c r="BA465" s="136">
        <v>26.17</v>
      </c>
      <c r="BB465" s="139">
        <v>10</v>
      </c>
      <c r="BC465" s="138">
        <v>50</v>
      </c>
    </row>
    <row r="466" spans="5:55" x14ac:dyDescent="0.3">
      <c r="E466" s="166">
        <v>26.32</v>
      </c>
      <c r="F466" s="167">
        <v>8</v>
      </c>
      <c r="G466" s="155" t="s">
        <v>865</v>
      </c>
      <c r="I466" s="136">
        <v>48.24</v>
      </c>
      <c r="J466" s="139">
        <v>12</v>
      </c>
      <c r="K466" s="138">
        <v>75</v>
      </c>
      <c r="M466" s="136">
        <v>25.44</v>
      </c>
      <c r="N466" s="139">
        <v>12</v>
      </c>
      <c r="O466" s="138">
        <v>75</v>
      </c>
      <c r="Q466" s="136">
        <v>48.27</v>
      </c>
      <c r="R466" s="139">
        <v>6</v>
      </c>
      <c r="S466" s="138">
        <v>9</v>
      </c>
      <c r="U466" s="136">
        <v>25.53</v>
      </c>
      <c r="V466" s="139">
        <v>18</v>
      </c>
      <c r="W466" s="138" t="s">
        <v>884</v>
      </c>
      <c r="Y466" s="136">
        <v>25.3</v>
      </c>
      <c r="Z466" s="139">
        <v>11</v>
      </c>
      <c r="AA466" s="138">
        <v>63</v>
      </c>
      <c r="AC466" s="136">
        <v>26.18</v>
      </c>
      <c r="AD466" s="139">
        <v>2</v>
      </c>
      <c r="AE466" s="138" t="s">
        <v>883</v>
      </c>
      <c r="AG466" s="136">
        <v>25.64</v>
      </c>
      <c r="AH466" s="137">
        <v>13</v>
      </c>
      <c r="AI466" s="138">
        <v>85</v>
      </c>
      <c r="AK466" s="136">
        <v>26.21</v>
      </c>
      <c r="AL466" s="139">
        <v>2</v>
      </c>
      <c r="AM466" s="138" t="s">
        <v>883</v>
      </c>
      <c r="AO466" s="136">
        <v>48.19</v>
      </c>
      <c r="AP466" s="139">
        <v>6</v>
      </c>
      <c r="AQ466" s="138">
        <v>9</v>
      </c>
      <c r="AS466" s="136">
        <v>25.37</v>
      </c>
      <c r="AT466" s="139">
        <v>12</v>
      </c>
      <c r="AU466" s="138">
        <v>75</v>
      </c>
      <c r="AW466" s="136">
        <v>48.21</v>
      </c>
      <c r="AX466" s="139">
        <v>6</v>
      </c>
      <c r="AY466" s="138">
        <v>9</v>
      </c>
      <c r="BA466" s="136">
        <v>26.18</v>
      </c>
      <c r="BB466" s="139">
        <v>11</v>
      </c>
      <c r="BC466" s="138">
        <v>63</v>
      </c>
    </row>
    <row r="467" spans="5:55" x14ac:dyDescent="0.3">
      <c r="E467" s="166">
        <v>26.34</v>
      </c>
      <c r="F467" s="167">
        <v>9</v>
      </c>
      <c r="G467" s="155" t="s">
        <v>879</v>
      </c>
      <c r="I467" s="136">
        <v>48.26</v>
      </c>
      <c r="J467" s="139">
        <v>13</v>
      </c>
      <c r="K467" s="138">
        <v>85</v>
      </c>
      <c r="M467" s="136">
        <v>25.45</v>
      </c>
      <c r="N467" s="139">
        <v>13</v>
      </c>
      <c r="O467" s="138">
        <v>85</v>
      </c>
      <c r="Q467" s="136">
        <v>48.29</v>
      </c>
      <c r="R467" s="139">
        <v>7</v>
      </c>
      <c r="S467" s="138">
        <v>16</v>
      </c>
      <c r="U467" s="136">
        <v>25.57</v>
      </c>
      <c r="V467" s="139">
        <v>19</v>
      </c>
      <c r="W467" s="138" t="s">
        <v>884</v>
      </c>
      <c r="Y467" s="136">
        <v>25.32</v>
      </c>
      <c r="Z467" s="139">
        <v>12</v>
      </c>
      <c r="AA467" s="138">
        <v>75</v>
      </c>
      <c r="AC467" s="136">
        <v>26.19</v>
      </c>
      <c r="AD467" s="139">
        <v>3</v>
      </c>
      <c r="AE467" s="138">
        <v>1</v>
      </c>
      <c r="AG467" s="136">
        <v>25.66</v>
      </c>
      <c r="AH467" s="137">
        <v>14</v>
      </c>
      <c r="AI467" s="138">
        <v>91</v>
      </c>
      <c r="AK467" s="136">
        <v>26.23</v>
      </c>
      <c r="AL467" s="139">
        <v>3</v>
      </c>
      <c r="AM467" s="138">
        <v>1</v>
      </c>
      <c r="AO467" s="136">
        <v>48.2</v>
      </c>
      <c r="AP467" s="139">
        <v>7</v>
      </c>
      <c r="AQ467" s="138">
        <v>16</v>
      </c>
      <c r="AS467" s="136">
        <v>25.39</v>
      </c>
      <c r="AT467" s="139">
        <v>13</v>
      </c>
      <c r="AU467" s="138">
        <v>85</v>
      </c>
      <c r="AW467" s="136">
        <v>48.23</v>
      </c>
      <c r="AX467" s="139">
        <v>7</v>
      </c>
      <c r="AY467" s="138">
        <v>16</v>
      </c>
      <c r="BA467" s="136">
        <v>26.19</v>
      </c>
      <c r="BB467" s="139">
        <v>12</v>
      </c>
      <c r="BC467" s="138">
        <v>75</v>
      </c>
    </row>
    <row r="468" spans="5:55" x14ac:dyDescent="0.3">
      <c r="E468" s="166">
        <v>26.36</v>
      </c>
      <c r="F468" s="167">
        <v>10</v>
      </c>
      <c r="G468" s="155" t="s">
        <v>866</v>
      </c>
      <c r="I468" s="136">
        <v>48.28</v>
      </c>
      <c r="J468" s="139">
        <v>14</v>
      </c>
      <c r="K468" s="138">
        <v>91</v>
      </c>
      <c r="M468" s="136">
        <v>25.47</v>
      </c>
      <c r="N468" s="139">
        <v>14</v>
      </c>
      <c r="O468" s="138">
        <v>91</v>
      </c>
      <c r="Q468" s="136">
        <v>48.3</v>
      </c>
      <c r="R468" s="139">
        <v>8</v>
      </c>
      <c r="S468" s="138">
        <v>25</v>
      </c>
      <c r="U468" s="136">
        <v>26</v>
      </c>
      <c r="V468" s="139">
        <v>1</v>
      </c>
      <c r="W468" s="138" t="s">
        <v>883</v>
      </c>
      <c r="Y468" s="136">
        <v>25.33</v>
      </c>
      <c r="Z468" s="139">
        <v>13</v>
      </c>
      <c r="AA468" s="138">
        <v>85</v>
      </c>
      <c r="AC468" s="136">
        <v>26.21</v>
      </c>
      <c r="AD468" s="139">
        <v>4</v>
      </c>
      <c r="AE468" s="138">
        <v>2</v>
      </c>
      <c r="AG468" s="136">
        <v>25.67</v>
      </c>
      <c r="AH468" s="137">
        <v>15</v>
      </c>
      <c r="AI468" s="138">
        <v>95</v>
      </c>
      <c r="AK468" s="136">
        <v>26.24</v>
      </c>
      <c r="AL468" s="139">
        <v>4</v>
      </c>
      <c r="AM468" s="138">
        <v>2</v>
      </c>
      <c r="AO468" s="136">
        <v>48.21</v>
      </c>
      <c r="AP468" s="139">
        <v>8</v>
      </c>
      <c r="AQ468" s="138">
        <v>25</v>
      </c>
      <c r="AS468" s="136">
        <v>25.41</v>
      </c>
      <c r="AT468" s="139">
        <v>14</v>
      </c>
      <c r="AU468" s="138">
        <v>91</v>
      </c>
      <c r="AW468" s="136">
        <v>48.25</v>
      </c>
      <c r="AX468" s="139">
        <v>8</v>
      </c>
      <c r="AY468" s="138">
        <v>25</v>
      </c>
      <c r="BA468" s="136">
        <v>26.21</v>
      </c>
      <c r="BB468" s="139">
        <v>13</v>
      </c>
      <c r="BC468" s="138">
        <v>85</v>
      </c>
    </row>
    <row r="469" spans="5:55" x14ac:dyDescent="0.3">
      <c r="E469" s="166">
        <v>26.38</v>
      </c>
      <c r="F469" s="167">
        <v>11</v>
      </c>
      <c r="G469" s="155" t="s">
        <v>867</v>
      </c>
      <c r="I469" s="136">
        <v>48.3</v>
      </c>
      <c r="J469" s="139">
        <v>15</v>
      </c>
      <c r="K469" s="138">
        <v>95</v>
      </c>
      <c r="M469" s="136">
        <v>25.48</v>
      </c>
      <c r="N469" s="139">
        <v>15</v>
      </c>
      <c r="O469" s="138">
        <v>95</v>
      </c>
      <c r="Q469" s="136">
        <v>48.32</v>
      </c>
      <c r="R469" s="139">
        <v>9</v>
      </c>
      <c r="S469" s="138">
        <v>37</v>
      </c>
      <c r="U469" s="136">
        <v>26.1</v>
      </c>
      <c r="V469" s="139">
        <v>2</v>
      </c>
      <c r="W469" s="138" t="s">
        <v>883</v>
      </c>
      <c r="Y469" s="136">
        <v>25.34</v>
      </c>
      <c r="Z469" s="139">
        <v>14</v>
      </c>
      <c r="AA469" s="138">
        <v>91</v>
      </c>
      <c r="AC469" s="136">
        <v>26.23</v>
      </c>
      <c r="AD469" s="139">
        <v>5</v>
      </c>
      <c r="AE469" s="138">
        <v>5</v>
      </c>
      <c r="AG469" s="136">
        <v>25.69</v>
      </c>
      <c r="AH469" s="137">
        <v>16</v>
      </c>
      <c r="AI469" s="138">
        <v>98</v>
      </c>
      <c r="AK469" s="136">
        <v>26.25</v>
      </c>
      <c r="AL469" s="139">
        <v>5</v>
      </c>
      <c r="AM469" s="138">
        <v>5</v>
      </c>
      <c r="AO469" s="136">
        <v>48.22</v>
      </c>
      <c r="AP469" s="139">
        <v>9</v>
      </c>
      <c r="AQ469" s="138">
        <v>37</v>
      </c>
      <c r="AS469" s="136">
        <v>25.42</v>
      </c>
      <c r="AT469" s="139">
        <v>15</v>
      </c>
      <c r="AU469" s="138">
        <v>95</v>
      </c>
      <c r="AW469" s="136">
        <v>48.27</v>
      </c>
      <c r="AX469" s="139">
        <v>9</v>
      </c>
      <c r="AY469" s="138">
        <v>37</v>
      </c>
      <c r="BA469" s="136">
        <v>26.22</v>
      </c>
      <c r="BB469" s="139">
        <v>14</v>
      </c>
      <c r="BC469" s="138">
        <v>91</v>
      </c>
    </row>
    <row r="470" spans="5:55" x14ac:dyDescent="0.3">
      <c r="E470" s="166">
        <v>26.39</v>
      </c>
      <c r="F470" s="167">
        <v>12</v>
      </c>
      <c r="G470" s="155" t="s">
        <v>868</v>
      </c>
      <c r="I470" s="136">
        <v>48.32</v>
      </c>
      <c r="J470" s="139">
        <v>16</v>
      </c>
      <c r="K470" s="138">
        <v>98</v>
      </c>
      <c r="M470" s="136">
        <v>25.49</v>
      </c>
      <c r="N470" s="139">
        <v>16</v>
      </c>
      <c r="O470" s="138">
        <v>98</v>
      </c>
      <c r="Q470" s="136">
        <v>48.33</v>
      </c>
      <c r="R470" s="139">
        <v>10</v>
      </c>
      <c r="S470" s="138">
        <v>50</v>
      </c>
      <c r="U470" s="136">
        <v>26.12</v>
      </c>
      <c r="V470" s="139">
        <v>3</v>
      </c>
      <c r="W470" s="138">
        <v>1</v>
      </c>
      <c r="Y470" s="136">
        <v>25.36</v>
      </c>
      <c r="Z470" s="139">
        <v>15</v>
      </c>
      <c r="AA470" s="138">
        <v>95</v>
      </c>
      <c r="AC470" s="136">
        <v>26.25</v>
      </c>
      <c r="AD470" s="139">
        <v>6</v>
      </c>
      <c r="AE470" s="138">
        <v>9</v>
      </c>
      <c r="AG470" s="136">
        <v>25.71</v>
      </c>
      <c r="AH470" s="137">
        <v>17</v>
      </c>
      <c r="AI470" s="138">
        <v>99</v>
      </c>
      <c r="AK470" s="136">
        <v>26.26</v>
      </c>
      <c r="AL470" s="139">
        <v>6</v>
      </c>
      <c r="AM470" s="138">
        <v>9</v>
      </c>
      <c r="AO470" s="136">
        <v>48.23</v>
      </c>
      <c r="AP470" s="139">
        <v>10</v>
      </c>
      <c r="AQ470" s="138">
        <v>50</v>
      </c>
      <c r="AS470" s="136">
        <v>25.44</v>
      </c>
      <c r="AT470" s="139">
        <v>16</v>
      </c>
      <c r="AU470" s="138">
        <v>98</v>
      </c>
      <c r="AW470" s="136">
        <v>48.29</v>
      </c>
      <c r="AX470" s="139">
        <v>10</v>
      </c>
      <c r="AY470" s="138">
        <v>50</v>
      </c>
      <c r="BA470" s="136">
        <v>26.23</v>
      </c>
      <c r="BB470" s="139">
        <v>15</v>
      </c>
      <c r="BC470" s="138">
        <v>95</v>
      </c>
    </row>
    <row r="471" spans="5:55" x14ac:dyDescent="0.3">
      <c r="E471" s="166">
        <v>26.41</v>
      </c>
      <c r="F471" s="167">
        <v>13</v>
      </c>
      <c r="G471" s="155" t="s">
        <v>869</v>
      </c>
      <c r="I471" s="136">
        <v>48.34</v>
      </c>
      <c r="J471" s="139">
        <v>17</v>
      </c>
      <c r="K471" s="138">
        <v>99</v>
      </c>
      <c r="M471" s="136">
        <v>25.51</v>
      </c>
      <c r="N471" s="139">
        <v>17</v>
      </c>
      <c r="O471" s="138">
        <v>99</v>
      </c>
      <c r="Q471" s="136">
        <v>48.35</v>
      </c>
      <c r="R471" s="139">
        <v>11</v>
      </c>
      <c r="S471" s="138">
        <v>63</v>
      </c>
      <c r="U471" s="136">
        <v>26.14</v>
      </c>
      <c r="V471" s="139">
        <v>4</v>
      </c>
      <c r="W471" s="138">
        <v>2</v>
      </c>
      <c r="Y471" s="136">
        <v>25.37</v>
      </c>
      <c r="Z471" s="139">
        <v>16</v>
      </c>
      <c r="AA471" s="138">
        <v>98</v>
      </c>
      <c r="AC471" s="136">
        <v>26.26</v>
      </c>
      <c r="AD471" s="139">
        <v>7</v>
      </c>
      <c r="AE471" s="138">
        <v>16</v>
      </c>
      <c r="AG471" s="136">
        <v>25.73</v>
      </c>
      <c r="AH471" s="137">
        <v>18</v>
      </c>
      <c r="AI471" s="138" t="s">
        <v>884</v>
      </c>
      <c r="AK471" s="136">
        <v>26.27</v>
      </c>
      <c r="AL471" s="139">
        <v>7</v>
      </c>
      <c r="AM471" s="138">
        <v>16</v>
      </c>
      <c r="AO471" s="136">
        <v>48.24</v>
      </c>
      <c r="AP471" s="139">
        <v>11</v>
      </c>
      <c r="AQ471" s="138">
        <v>63</v>
      </c>
      <c r="AS471" s="136">
        <v>25.46</v>
      </c>
      <c r="AT471" s="139">
        <v>17</v>
      </c>
      <c r="AU471" s="138">
        <v>99</v>
      </c>
      <c r="AW471" s="136">
        <v>48.32</v>
      </c>
      <c r="AX471" s="139">
        <v>11</v>
      </c>
      <c r="AY471" s="138">
        <v>63</v>
      </c>
      <c r="BA471" s="136">
        <v>26.24</v>
      </c>
      <c r="BB471" s="139">
        <v>16</v>
      </c>
      <c r="BC471" s="138">
        <v>98</v>
      </c>
    </row>
    <row r="472" spans="5:55" x14ac:dyDescent="0.3">
      <c r="E472" s="166">
        <v>26.43</v>
      </c>
      <c r="F472" s="167">
        <v>14</v>
      </c>
      <c r="G472" s="155" t="s">
        <v>870</v>
      </c>
      <c r="I472" s="136">
        <v>48.36</v>
      </c>
      <c r="J472" s="139">
        <v>18</v>
      </c>
      <c r="K472" s="138" t="s">
        <v>884</v>
      </c>
      <c r="M472" s="136">
        <v>25.53</v>
      </c>
      <c r="N472" s="139">
        <v>18</v>
      </c>
      <c r="O472" s="138" t="s">
        <v>884</v>
      </c>
      <c r="Q472" s="136">
        <v>48.37</v>
      </c>
      <c r="R472" s="139">
        <v>12</v>
      </c>
      <c r="S472" s="138">
        <v>75</v>
      </c>
      <c r="U472" s="136">
        <v>26.17</v>
      </c>
      <c r="V472" s="139">
        <v>5</v>
      </c>
      <c r="W472" s="138">
        <v>5</v>
      </c>
      <c r="Y472" s="136">
        <v>25.38</v>
      </c>
      <c r="Z472" s="139">
        <v>17</v>
      </c>
      <c r="AA472" s="138">
        <v>99</v>
      </c>
      <c r="AC472" s="136">
        <v>26.28</v>
      </c>
      <c r="AD472" s="139">
        <v>8</v>
      </c>
      <c r="AE472" s="138">
        <v>25</v>
      </c>
      <c r="AG472" s="136">
        <v>25.75</v>
      </c>
      <c r="AH472" s="137">
        <v>19</v>
      </c>
      <c r="AI472" s="138" t="s">
        <v>884</v>
      </c>
      <c r="AK472" s="136">
        <v>26.28</v>
      </c>
      <c r="AL472" s="139">
        <v>8</v>
      </c>
      <c r="AM472" s="138">
        <v>25</v>
      </c>
      <c r="AO472" s="136">
        <v>48.25</v>
      </c>
      <c r="AP472" s="139">
        <v>12</v>
      </c>
      <c r="AQ472" s="138">
        <v>75</v>
      </c>
      <c r="AS472" s="136">
        <v>25.47</v>
      </c>
      <c r="AT472" s="139">
        <v>18</v>
      </c>
      <c r="AU472" s="138" t="s">
        <v>884</v>
      </c>
      <c r="AW472" s="136">
        <v>48.34</v>
      </c>
      <c r="AX472" s="139">
        <v>12</v>
      </c>
      <c r="AY472" s="138">
        <v>75</v>
      </c>
      <c r="BA472" s="136">
        <v>26.25</v>
      </c>
      <c r="BB472" s="139">
        <v>17</v>
      </c>
      <c r="BC472" s="138">
        <v>99</v>
      </c>
    </row>
    <row r="473" spans="5:55" x14ac:dyDescent="0.3">
      <c r="E473" s="166">
        <v>26.44</v>
      </c>
      <c r="F473" s="167">
        <v>15</v>
      </c>
      <c r="G473" s="155" t="s">
        <v>871</v>
      </c>
      <c r="I473" s="136">
        <v>48.38</v>
      </c>
      <c r="J473" s="139">
        <v>19</v>
      </c>
      <c r="K473" s="138" t="s">
        <v>884</v>
      </c>
      <c r="M473" s="136">
        <v>25.54</v>
      </c>
      <c r="N473" s="139">
        <v>19</v>
      </c>
      <c r="O473" s="138" t="s">
        <v>884</v>
      </c>
      <c r="Q473" s="136">
        <v>48.38</v>
      </c>
      <c r="R473" s="139">
        <v>13</v>
      </c>
      <c r="S473" s="138">
        <v>85</v>
      </c>
      <c r="U473" s="136">
        <v>26.19</v>
      </c>
      <c r="V473" s="139">
        <v>6</v>
      </c>
      <c r="W473" s="138">
        <v>9</v>
      </c>
      <c r="Y473" s="136">
        <v>25.4</v>
      </c>
      <c r="Z473" s="139">
        <v>18</v>
      </c>
      <c r="AA473" s="138" t="s">
        <v>884</v>
      </c>
      <c r="AC473" s="136">
        <v>26.29</v>
      </c>
      <c r="AD473" s="139">
        <v>9</v>
      </c>
      <c r="AE473" s="138">
        <v>37</v>
      </c>
      <c r="AG473" s="136">
        <v>26</v>
      </c>
      <c r="AH473" s="137">
        <v>1</v>
      </c>
      <c r="AI473" s="138" t="s">
        <v>883</v>
      </c>
      <c r="AK473" s="136">
        <v>26.29</v>
      </c>
      <c r="AL473" s="139">
        <v>9</v>
      </c>
      <c r="AM473" s="138">
        <v>37</v>
      </c>
      <c r="AO473" s="136">
        <v>48.26</v>
      </c>
      <c r="AP473" s="139">
        <v>13</v>
      </c>
      <c r="AQ473" s="138">
        <v>85</v>
      </c>
      <c r="AS473" s="136">
        <v>25.49</v>
      </c>
      <c r="AT473" s="139">
        <v>19</v>
      </c>
      <c r="AU473" s="138" t="s">
        <v>884</v>
      </c>
      <c r="AW473" s="136">
        <v>48.36</v>
      </c>
      <c r="AX473" s="139">
        <v>13</v>
      </c>
      <c r="AY473" s="138">
        <v>85</v>
      </c>
      <c r="BA473" s="136">
        <v>26.27</v>
      </c>
      <c r="BB473" s="139">
        <v>18</v>
      </c>
      <c r="BC473" s="138" t="s">
        <v>884</v>
      </c>
    </row>
    <row r="474" spans="5:55" x14ac:dyDescent="0.3">
      <c r="E474" s="166">
        <v>26.46</v>
      </c>
      <c r="F474" s="167">
        <v>16</v>
      </c>
      <c r="G474" s="155" t="s">
        <v>872</v>
      </c>
      <c r="I474" s="136">
        <v>49</v>
      </c>
      <c r="J474" s="139">
        <v>1</v>
      </c>
      <c r="K474" s="138" t="s">
        <v>883</v>
      </c>
      <c r="M474" s="136">
        <v>26</v>
      </c>
      <c r="N474" s="139">
        <v>1</v>
      </c>
      <c r="O474" s="138" t="s">
        <v>883</v>
      </c>
      <c r="Q474" s="136">
        <v>48.4</v>
      </c>
      <c r="R474" s="139">
        <v>14</v>
      </c>
      <c r="S474" s="138">
        <v>91</v>
      </c>
      <c r="U474" s="136">
        <v>26.22</v>
      </c>
      <c r="V474" s="139">
        <v>7</v>
      </c>
      <c r="W474" s="138">
        <v>16</v>
      </c>
      <c r="Y474" s="136">
        <v>25.41</v>
      </c>
      <c r="Z474" s="139">
        <v>19</v>
      </c>
      <c r="AA474" s="138" t="s">
        <v>884</v>
      </c>
      <c r="AC474" s="136">
        <v>26.3</v>
      </c>
      <c r="AD474" s="139">
        <v>10</v>
      </c>
      <c r="AE474" s="138">
        <v>50</v>
      </c>
      <c r="AG474" s="136">
        <v>26.41</v>
      </c>
      <c r="AH474" s="137">
        <v>2</v>
      </c>
      <c r="AI474" s="138" t="s">
        <v>883</v>
      </c>
      <c r="AK474" s="136">
        <v>26.3</v>
      </c>
      <c r="AL474" s="139">
        <v>10</v>
      </c>
      <c r="AM474" s="138">
        <v>50</v>
      </c>
      <c r="AO474" s="136">
        <v>48.27</v>
      </c>
      <c r="AP474" s="139">
        <v>14</v>
      </c>
      <c r="AQ474" s="138">
        <v>91</v>
      </c>
      <c r="AS474" s="136">
        <v>26</v>
      </c>
      <c r="AT474" s="139">
        <v>1</v>
      </c>
      <c r="AU474" s="138" t="s">
        <v>883</v>
      </c>
      <c r="AW474" s="136">
        <v>48.38</v>
      </c>
      <c r="AX474" s="139">
        <v>14</v>
      </c>
      <c r="AY474" s="138">
        <v>91</v>
      </c>
      <c r="BA474" s="136">
        <v>26.29</v>
      </c>
      <c r="BB474" s="139">
        <v>19</v>
      </c>
      <c r="BC474" s="138" t="s">
        <v>884</v>
      </c>
    </row>
    <row r="475" spans="5:55" x14ac:dyDescent="0.3">
      <c r="E475" s="166">
        <v>26.48</v>
      </c>
      <c r="F475" s="167">
        <v>17</v>
      </c>
      <c r="G475" s="155" t="s">
        <v>873</v>
      </c>
      <c r="I475" s="136">
        <v>49.05</v>
      </c>
      <c r="J475" s="139">
        <v>2</v>
      </c>
      <c r="K475" s="138" t="s">
        <v>883</v>
      </c>
      <c r="M475" s="136">
        <v>26.21</v>
      </c>
      <c r="N475" s="139">
        <v>2</v>
      </c>
      <c r="O475" s="138" t="s">
        <v>883</v>
      </c>
      <c r="Q475" s="136">
        <v>48.41</v>
      </c>
      <c r="R475" s="139">
        <v>15</v>
      </c>
      <c r="S475" s="138">
        <v>95</v>
      </c>
      <c r="U475" s="136">
        <v>26.25</v>
      </c>
      <c r="V475" s="139">
        <v>8</v>
      </c>
      <c r="W475" s="138">
        <v>25</v>
      </c>
      <c r="Y475" s="136">
        <v>26</v>
      </c>
      <c r="Z475" s="139">
        <v>1</v>
      </c>
      <c r="AA475" s="138" t="s">
        <v>883</v>
      </c>
      <c r="AC475" s="136">
        <v>26.32</v>
      </c>
      <c r="AD475" s="139">
        <v>11</v>
      </c>
      <c r="AE475" s="138">
        <v>63</v>
      </c>
      <c r="AG475" s="136">
        <v>26.44</v>
      </c>
      <c r="AH475" s="137">
        <v>3</v>
      </c>
      <c r="AI475" s="138">
        <v>1</v>
      </c>
      <c r="AK475" s="136">
        <v>26.31</v>
      </c>
      <c r="AL475" s="139">
        <v>11</v>
      </c>
      <c r="AM475" s="138">
        <v>63</v>
      </c>
      <c r="AO475" s="136">
        <v>48.29</v>
      </c>
      <c r="AP475" s="139">
        <v>15</v>
      </c>
      <c r="AQ475" s="138">
        <v>95</v>
      </c>
      <c r="AS475" s="136">
        <v>26.2</v>
      </c>
      <c r="AT475" s="139">
        <v>2</v>
      </c>
      <c r="AU475" s="138" t="s">
        <v>883</v>
      </c>
      <c r="AW475" s="136">
        <v>48.4</v>
      </c>
      <c r="AX475" s="139">
        <v>15</v>
      </c>
      <c r="AY475" s="138">
        <v>95</v>
      </c>
      <c r="BA475" s="136">
        <v>27</v>
      </c>
      <c r="BB475" s="139">
        <v>1</v>
      </c>
      <c r="BC475" s="138" t="s">
        <v>883</v>
      </c>
    </row>
    <row r="476" spans="5:55" x14ac:dyDescent="0.3">
      <c r="E476" s="166">
        <v>26.51</v>
      </c>
      <c r="F476" s="167">
        <v>18</v>
      </c>
      <c r="G476" s="155" t="s">
        <v>874</v>
      </c>
      <c r="I476" s="136">
        <v>49.07</v>
      </c>
      <c r="J476" s="139">
        <v>3</v>
      </c>
      <c r="K476" s="138">
        <v>1</v>
      </c>
      <c r="M476" s="136">
        <v>26.27</v>
      </c>
      <c r="N476" s="139">
        <v>3</v>
      </c>
      <c r="O476" s="138">
        <v>1</v>
      </c>
      <c r="Q476" s="136">
        <v>48.43</v>
      </c>
      <c r="R476" s="139">
        <v>16</v>
      </c>
      <c r="S476" s="138">
        <v>98</v>
      </c>
      <c r="U476" s="136">
        <v>26.27</v>
      </c>
      <c r="V476" s="139">
        <v>9</v>
      </c>
      <c r="W476" s="138">
        <v>37</v>
      </c>
      <c r="Y476" s="136">
        <v>26.2</v>
      </c>
      <c r="Z476" s="139">
        <v>2</v>
      </c>
      <c r="AA476" s="138" t="s">
        <v>883</v>
      </c>
      <c r="AC476" s="136">
        <v>26.34</v>
      </c>
      <c r="AD476" s="139">
        <v>12</v>
      </c>
      <c r="AE476" s="138">
        <v>75</v>
      </c>
      <c r="AG476" s="136">
        <v>26.47</v>
      </c>
      <c r="AH476" s="137">
        <v>4</v>
      </c>
      <c r="AI476" s="138">
        <v>2</v>
      </c>
      <c r="AK476" s="136">
        <v>26.32</v>
      </c>
      <c r="AL476" s="139">
        <v>12</v>
      </c>
      <c r="AM476" s="138">
        <v>75</v>
      </c>
      <c r="AO476" s="136">
        <v>48.3</v>
      </c>
      <c r="AP476" s="139">
        <v>16</v>
      </c>
      <c r="AQ476" s="138">
        <v>98</v>
      </c>
      <c r="AS476" s="136">
        <v>26.23</v>
      </c>
      <c r="AT476" s="139">
        <v>3</v>
      </c>
      <c r="AU476" s="138">
        <v>1</v>
      </c>
      <c r="AW476" s="136">
        <v>48.42</v>
      </c>
      <c r="AX476" s="139">
        <v>16</v>
      </c>
      <c r="AY476" s="138">
        <v>98</v>
      </c>
      <c r="BA476" s="136">
        <v>27.09</v>
      </c>
      <c r="BB476" s="139">
        <v>2</v>
      </c>
      <c r="BC476" s="138" t="s">
        <v>883</v>
      </c>
    </row>
    <row r="477" spans="5:55" x14ac:dyDescent="0.3">
      <c r="E477" s="166">
        <v>26.54</v>
      </c>
      <c r="F477" s="167">
        <v>19</v>
      </c>
      <c r="G477" s="155" t="s">
        <v>874</v>
      </c>
      <c r="I477" s="136">
        <v>49.11</v>
      </c>
      <c r="J477" s="139">
        <v>4</v>
      </c>
      <c r="K477" s="138">
        <v>2</v>
      </c>
      <c r="M477" s="136">
        <v>26.28</v>
      </c>
      <c r="N477" s="139">
        <v>4</v>
      </c>
      <c r="O477" s="138">
        <v>2</v>
      </c>
      <c r="Q477" s="136">
        <v>48.45</v>
      </c>
      <c r="R477" s="139">
        <v>17</v>
      </c>
      <c r="S477" s="138">
        <v>99</v>
      </c>
      <c r="U477" s="136">
        <v>26.3</v>
      </c>
      <c r="V477" s="139">
        <v>10</v>
      </c>
      <c r="W477" s="138">
        <v>50</v>
      </c>
      <c r="Y477" s="136">
        <v>26.22</v>
      </c>
      <c r="Z477" s="139">
        <v>3</v>
      </c>
      <c r="AA477" s="138">
        <v>1</v>
      </c>
      <c r="AC477" s="136">
        <v>26.36</v>
      </c>
      <c r="AD477" s="139">
        <v>13</v>
      </c>
      <c r="AE477" s="138">
        <v>85</v>
      </c>
      <c r="AG477" s="136">
        <v>26.49</v>
      </c>
      <c r="AH477" s="137">
        <v>5</v>
      </c>
      <c r="AI477" s="138">
        <v>5</v>
      </c>
      <c r="AK477" s="136">
        <v>26.33</v>
      </c>
      <c r="AL477" s="139">
        <v>13</v>
      </c>
      <c r="AM477" s="138">
        <v>85</v>
      </c>
      <c r="AO477" s="136">
        <v>48.32</v>
      </c>
      <c r="AP477" s="139">
        <v>17</v>
      </c>
      <c r="AQ477" s="138">
        <v>99</v>
      </c>
      <c r="AS477" s="136">
        <v>26.25</v>
      </c>
      <c r="AT477" s="139">
        <v>4</v>
      </c>
      <c r="AU477" s="138">
        <v>2</v>
      </c>
      <c r="AW477" s="136">
        <v>48.44</v>
      </c>
      <c r="AX477" s="139">
        <v>17</v>
      </c>
      <c r="AY477" s="138">
        <v>99</v>
      </c>
      <c r="BA477" s="136">
        <v>27.12</v>
      </c>
      <c r="BB477" s="139">
        <v>3</v>
      </c>
      <c r="BC477" s="138">
        <v>1</v>
      </c>
    </row>
    <row r="478" spans="5:55" x14ac:dyDescent="0.3">
      <c r="E478" s="166">
        <v>27</v>
      </c>
      <c r="F478" s="167">
        <v>1</v>
      </c>
      <c r="G478" s="155" t="s">
        <v>862</v>
      </c>
      <c r="I478" s="136">
        <v>49.12</v>
      </c>
      <c r="J478" s="139">
        <v>5</v>
      </c>
      <c r="K478" s="138">
        <v>5</v>
      </c>
      <c r="M478" s="136">
        <v>26.31</v>
      </c>
      <c r="N478" s="139">
        <v>5</v>
      </c>
      <c r="O478" s="138">
        <v>5</v>
      </c>
      <c r="Q478" s="136">
        <v>48.46</v>
      </c>
      <c r="R478" s="139">
        <v>18</v>
      </c>
      <c r="S478" s="138" t="s">
        <v>884</v>
      </c>
      <c r="U478" s="136">
        <v>26.32</v>
      </c>
      <c r="V478" s="139">
        <v>11</v>
      </c>
      <c r="W478" s="138">
        <v>63</v>
      </c>
      <c r="Y478" s="136">
        <v>26.23</v>
      </c>
      <c r="Z478" s="139">
        <v>4</v>
      </c>
      <c r="AA478" s="138">
        <v>2</v>
      </c>
      <c r="AC478" s="136">
        <v>26.38</v>
      </c>
      <c r="AD478" s="139">
        <v>14</v>
      </c>
      <c r="AE478" s="138">
        <v>91</v>
      </c>
      <c r="AG478" s="136">
        <v>26.51</v>
      </c>
      <c r="AH478" s="137">
        <v>6</v>
      </c>
      <c r="AI478" s="138">
        <v>9</v>
      </c>
      <c r="AK478" s="136">
        <v>26.34</v>
      </c>
      <c r="AL478" s="139">
        <v>14</v>
      </c>
      <c r="AM478" s="138">
        <v>91</v>
      </c>
      <c r="AO478" s="136">
        <v>48.33</v>
      </c>
      <c r="AP478" s="139">
        <v>18</v>
      </c>
      <c r="AQ478" s="138" t="s">
        <v>884</v>
      </c>
      <c r="AS478" s="136">
        <v>26.27</v>
      </c>
      <c r="AT478" s="139">
        <v>5</v>
      </c>
      <c r="AU478" s="138">
        <v>5</v>
      </c>
      <c r="AW478" s="136">
        <v>48.46</v>
      </c>
      <c r="AX478" s="139">
        <v>18</v>
      </c>
      <c r="AY478" s="138" t="s">
        <v>884</v>
      </c>
      <c r="BA478" s="136">
        <v>27.13</v>
      </c>
      <c r="BB478" s="139">
        <v>4</v>
      </c>
      <c r="BC478" s="138">
        <v>2</v>
      </c>
    </row>
    <row r="479" spans="5:55" x14ac:dyDescent="0.3">
      <c r="E479" s="166">
        <v>27.22</v>
      </c>
      <c r="F479" s="167">
        <v>2</v>
      </c>
      <c r="G479" s="155" t="s">
        <v>862</v>
      </c>
      <c r="I479" s="136">
        <v>49.14</v>
      </c>
      <c r="J479" s="139">
        <v>6</v>
      </c>
      <c r="K479" s="138">
        <v>9</v>
      </c>
      <c r="M479" s="136">
        <v>26.33</v>
      </c>
      <c r="N479" s="139">
        <v>6</v>
      </c>
      <c r="O479" s="138">
        <v>9</v>
      </c>
      <c r="Q479" s="136">
        <v>49.47</v>
      </c>
      <c r="R479" s="139">
        <v>19</v>
      </c>
      <c r="S479" s="138" t="s">
        <v>884</v>
      </c>
      <c r="U479" s="136">
        <v>26.34</v>
      </c>
      <c r="V479" s="139">
        <v>12</v>
      </c>
      <c r="W479" s="138">
        <v>75</v>
      </c>
      <c r="Y479" s="136">
        <v>26.24</v>
      </c>
      <c r="Z479" s="139">
        <v>5</v>
      </c>
      <c r="AA479" s="138">
        <v>5</v>
      </c>
      <c r="AC479" s="136">
        <v>26.4</v>
      </c>
      <c r="AD479" s="139">
        <v>15</v>
      </c>
      <c r="AE479" s="138">
        <v>95</v>
      </c>
      <c r="AG479" s="136">
        <v>26.53</v>
      </c>
      <c r="AH479" s="137">
        <v>7</v>
      </c>
      <c r="AI479" s="138">
        <v>16</v>
      </c>
      <c r="AK479" s="136">
        <v>26.35</v>
      </c>
      <c r="AL479" s="139">
        <v>15</v>
      </c>
      <c r="AM479" s="138">
        <v>95</v>
      </c>
      <c r="AO479" s="136">
        <v>48.36</v>
      </c>
      <c r="AP479" s="139">
        <v>19</v>
      </c>
      <c r="AQ479" s="138" t="s">
        <v>884</v>
      </c>
      <c r="AS479" s="136">
        <v>26.28</v>
      </c>
      <c r="AT479" s="139">
        <v>6</v>
      </c>
      <c r="AU479" s="138">
        <v>9</v>
      </c>
      <c r="AW479" s="136">
        <v>48.51</v>
      </c>
      <c r="AX479" s="139">
        <v>19</v>
      </c>
      <c r="AY479" s="138" t="s">
        <v>884</v>
      </c>
      <c r="BA479" s="136">
        <v>27.14</v>
      </c>
      <c r="BB479" s="139">
        <v>5</v>
      </c>
      <c r="BC479" s="138">
        <v>5</v>
      </c>
    </row>
    <row r="480" spans="5:55" x14ac:dyDescent="0.3">
      <c r="E480" s="166">
        <v>27.24</v>
      </c>
      <c r="F480" s="167">
        <v>3</v>
      </c>
      <c r="G480" s="155" t="s">
        <v>876</v>
      </c>
      <c r="I480" s="136">
        <v>49.15</v>
      </c>
      <c r="J480" s="139">
        <v>7</v>
      </c>
      <c r="K480" s="138">
        <v>16</v>
      </c>
      <c r="M480" s="136">
        <v>26.35</v>
      </c>
      <c r="N480" s="139">
        <v>7</v>
      </c>
      <c r="O480" s="138">
        <v>16</v>
      </c>
      <c r="Q480" s="136">
        <v>50</v>
      </c>
      <c r="R480" s="139">
        <v>1</v>
      </c>
      <c r="S480" s="138" t="s">
        <v>883</v>
      </c>
      <c r="U480" s="136">
        <v>26.36</v>
      </c>
      <c r="V480" s="139">
        <v>13</v>
      </c>
      <c r="W480" s="138">
        <v>85</v>
      </c>
      <c r="Y480" s="136">
        <v>26.25</v>
      </c>
      <c r="Z480" s="139">
        <v>6</v>
      </c>
      <c r="AA480" s="138">
        <v>9</v>
      </c>
      <c r="AC480" s="136">
        <v>26.41</v>
      </c>
      <c r="AD480" s="139">
        <v>16</v>
      </c>
      <c r="AE480" s="138">
        <v>98</v>
      </c>
      <c r="AG480" s="136">
        <v>26.55</v>
      </c>
      <c r="AH480" s="137">
        <v>8</v>
      </c>
      <c r="AI480" s="138">
        <v>25</v>
      </c>
      <c r="AK480" s="136">
        <v>26.37</v>
      </c>
      <c r="AL480" s="139">
        <v>16</v>
      </c>
      <c r="AM480" s="138">
        <v>98</v>
      </c>
      <c r="AO480" s="136">
        <v>49</v>
      </c>
      <c r="AP480" s="139">
        <v>1</v>
      </c>
      <c r="AQ480" s="138" t="s">
        <v>883</v>
      </c>
      <c r="AS480" s="136">
        <v>26.3</v>
      </c>
      <c r="AT480" s="139">
        <v>7</v>
      </c>
      <c r="AU480" s="138">
        <v>16</v>
      </c>
      <c r="AW480" s="136">
        <v>49</v>
      </c>
      <c r="AX480" s="139">
        <v>1</v>
      </c>
      <c r="AY480" s="138" t="s">
        <v>883</v>
      </c>
      <c r="BA480" s="136">
        <v>27.15</v>
      </c>
      <c r="BB480" s="139">
        <v>6</v>
      </c>
      <c r="BC480" s="138">
        <v>9</v>
      </c>
    </row>
    <row r="481" spans="5:55" x14ac:dyDescent="0.3">
      <c r="E481" s="166">
        <v>27.26</v>
      </c>
      <c r="F481" s="167">
        <v>4</v>
      </c>
      <c r="G481" s="155" t="s">
        <v>863</v>
      </c>
      <c r="I481" s="136">
        <v>49.17</v>
      </c>
      <c r="J481" s="139">
        <v>8</v>
      </c>
      <c r="K481" s="138">
        <v>25</v>
      </c>
      <c r="M481" s="136">
        <v>26.37</v>
      </c>
      <c r="N481" s="139">
        <v>8</v>
      </c>
      <c r="O481" s="138">
        <v>25</v>
      </c>
      <c r="Q481" s="136">
        <v>50.11</v>
      </c>
      <c r="R481" s="139">
        <v>2</v>
      </c>
      <c r="S481" s="138" t="s">
        <v>883</v>
      </c>
      <c r="U481" s="136">
        <v>26.39</v>
      </c>
      <c r="V481" s="139">
        <v>14</v>
      </c>
      <c r="W481" s="138">
        <v>91</v>
      </c>
      <c r="Y481" s="136">
        <v>26.26</v>
      </c>
      <c r="Z481" s="139">
        <v>7</v>
      </c>
      <c r="AA481" s="138">
        <v>16</v>
      </c>
      <c r="AC481" s="136">
        <v>26.43</v>
      </c>
      <c r="AD481" s="139">
        <v>17</v>
      </c>
      <c r="AE481" s="138">
        <v>99</v>
      </c>
      <c r="AG481" s="136">
        <v>26.57</v>
      </c>
      <c r="AH481" s="137">
        <v>9</v>
      </c>
      <c r="AI481" s="138">
        <v>37</v>
      </c>
      <c r="AK481" s="136">
        <v>26.38</v>
      </c>
      <c r="AL481" s="139">
        <v>17</v>
      </c>
      <c r="AM481" s="138">
        <v>99</v>
      </c>
      <c r="AO481" s="136">
        <v>49.13</v>
      </c>
      <c r="AP481" s="139">
        <v>2</v>
      </c>
      <c r="AQ481" s="138" t="s">
        <v>883</v>
      </c>
      <c r="AS481" s="136">
        <v>26.31</v>
      </c>
      <c r="AT481" s="139">
        <v>8</v>
      </c>
      <c r="AU481" s="138">
        <v>25</v>
      </c>
      <c r="AW481" s="136">
        <v>49.12</v>
      </c>
      <c r="AX481" s="139">
        <v>2</v>
      </c>
      <c r="AY481" s="138" t="s">
        <v>883</v>
      </c>
      <c r="BA481" s="136">
        <v>27.16</v>
      </c>
      <c r="BB481" s="139">
        <v>7</v>
      </c>
      <c r="BC481" s="138">
        <v>16</v>
      </c>
    </row>
    <row r="482" spans="5:55" x14ac:dyDescent="0.3">
      <c r="E482" s="166">
        <v>27.28</v>
      </c>
      <c r="F482" s="167">
        <v>5</v>
      </c>
      <c r="G482" s="155" t="s">
        <v>877</v>
      </c>
      <c r="I482" s="136">
        <v>49.18</v>
      </c>
      <c r="J482" s="139">
        <v>9</v>
      </c>
      <c r="K482" s="138">
        <v>37</v>
      </c>
      <c r="M482" s="136">
        <v>26.39</v>
      </c>
      <c r="N482" s="139">
        <v>9</v>
      </c>
      <c r="O482" s="138">
        <v>37</v>
      </c>
      <c r="Q482" s="136">
        <v>50.2</v>
      </c>
      <c r="R482" s="139">
        <v>3</v>
      </c>
      <c r="S482" s="138">
        <v>1</v>
      </c>
      <c r="U482" s="136">
        <v>26.42</v>
      </c>
      <c r="V482" s="139">
        <v>15</v>
      </c>
      <c r="W482" s="138">
        <v>95</v>
      </c>
      <c r="Y482" s="136">
        <v>26.27</v>
      </c>
      <c r="Z482" s="139">
        <v>8</v>
      </c>
      <c r="AA482" s="138">
        <v>25</v>
      </c>
      <c r="AC482" s="136">
        <v>26.47</v>
      </c>
      <c r="AD482" s="139">
        <v>18</v>
      </c>
      <c r="AE482" s="138" t="s">
        <v>884</v>
      </c>
      <c r="AG482" s="136">
        <v>26.58</v>
      </c>
      <c r="AH482" s="137">
        <v>10</v>
      </c>
      <c r="AI482" s="138">
        <v>50</v>
      </c>
      <c r="AK482" s="136">
        <v>26.39</v>
      </c>
      <c r="AL482" s="139">
        <v>18</v>
      </c>
      <c r="AM482" s="138" t="s">
        <v>884</v>
      </c>
      <c r="AO482" s="136">
        <v>49.15</v>
      </c>
      <c r="AP482" s="139">
        <v>3</v>
      </c>
      <c r="AQ482" s="138">
        <v>1</v>
      </c>
      <c r="AS482" s="136">
        <v>26.33</v>
      </c>
      <c r="AT482" s="139">
        <v>9</v>
      </c>
      <c r="AU482" s="138">
        <v>37</v>
      </c>
      <c r="AW482" s="136">
        <v>49.15</v>
      </c>
      <c r="AX482" s="139">
        <v>3</v>
      </c>
      <c r="AY482" s="138">
        <v>1</v>
      </c>
      <c r="BA482" s="136">
        <v>27.17</v>
      </c>
      <c r="BB482" s="139">
        <v>8</v>
      </c>
      <c r="BC482" s="138">
        <v>25</v>
      </c>
    </row>
    <row r="483" spans="5:55" x14ac:dyDescent="0.3">
      <c r="E483" s="166">
        <v>27.3</v>
      </c>
      <c r="F483" s="167">
        <v>6</v>
      </c>
      <c r="G483" s="155" t="s">
        <v>864</v>
      </c>
      <c r="I483" s="136">
        <v>49.2</v>
      </c>
      <c r="J483" s="139">
        <v>10</v>
      </c>
      <c r="K483" s="138">
        <v>50</v>
      </c>
      <c r="M483" s="136">
        <v>26.4</v>
      </c>
      <c r="N483" s="139">
        <v>10</v>
      </c>
      <c r="O483" s="138">
        <v>50</v>
      </c>
      <c r="Q483" s="136">
        <v>50.22</v>
      </c>
      <c r="R483" s="139">
        <v>4</v>
      </c>
      <c r="S483" s="138">
        <v>2</v>
      </c>
      <c r="U483" s="136">
        <v>26.45</v>
      </c>
      <c r="V483" s="139">
        <v>16</v>
      </c>
      <c r="W483" s="138">
        <v>98</v>
      </c>
      <c r="Y483" s="136">
        <v>26.28</v>
      </c>
      <c r="Z483" s="139">
        <v>9</v>
      </c>
      <c r="AA483" s="138">
        <v>37</v>
      </c>
      <c r="AC483" s="136">
        <v>26.51</v>
      </c>
      <c r="AD483" s="139">
        <v>19</v>
      </c>
      <c r="AE483" s="138" t="s">
        <v>884</v>
      </c>
      <c r="AG483" s="136">
        <v>26.6</v>
      </c>
      <c r="AH483" s="137">
        <v>11</v>
      </c>
      <c r="AI483" s="138">
        <v>63</v>
      </c>
      <c r="AK483" s="136">
        <v>26.4</v>
      </c>
      <c r="AL483" s="139">
        <v>19</v>
      </c>
      <c r="AM483" s="138" t="s">
        <v>884</v>
      </c>
      <c r="AO483" s="136">
        <v>49.16</v>
      </c>
      <c r="AP483" s="139">
        <v>4</v>
      </c>
      <c r="AQ483" s="138">
        <v>2</v>
      </c>
      <c r="AS483" s="136">
        <v>26.34</v>
      </c>
      <c r="AT483" s="139">
        <v>10</v>
      </c>
      <c r="AU483" s="138">
        <v>50</v>
      </c>
      <c r="AW483" s="136">
        <v>49.17</v>
      </c>
      <c r="AX483" s="139">
        <v>4</v>
      </c>
      <c r="AY483" s="138">
        <v>2</v>
      </c>
      <c r="BA483" s="136">
        <v>27.18</v>
      </c>
      <c r="BB483" s="139">
        <v>9</v>
      </c>
      <c r="BC483" s="138">
        <v>37</v>
      </c>
    </row>
    <row r="484" spans="5:55" x14ac:dyDescent="0.3">
      <c r="E484" s="166">
        <v>27.32</v>
      </c>
      <c r="F484" s="167">
        <v>7</v>
      </c>
      <c r="G484" s="155" t="s">
        <v>878</v>
      </c>
      <c r="I484" s="136">
        <v>49.22</v>
      </c>
      <c r="J484" s="139">
        <v>11</v>
      </c>
      <c r="K484" s="138">
        <v>63</v>
      </c>
      <c r="M484" s="136">
        <v>26.42</v>
      </c>
      <c r="N484" s="139">
        <v>11</v>
      </c>
      <c r="O484" s="138">
        <v>63</v>
      </c>
      <c r="Q484" s="136">
        <v>50.25</v>
      </c>
      <c r="R484" s="139">
        <v>5</v>
      </c>
      <c r="S484" s="138">
        <v>5</v>
      </c>
      <c r="U484" s="136">
        <v>26.48</v>
      </c>
      <c r="V484" s="139">
        <v>17</v>
      </c>
      <c r="W484" s="138">
        <v>99</v>
      </c>
      <c r="Y484" s="136">
        <v>26.29</v>
      </c>
      <c r="Z484" s="139">
        <v>10</v>
      </c>
      <c r="AA484" s="138">
        <v>50</v>
      </c>
      <c r="AC484" s="136">
        <v>27</v>
      </c>
      <c r="AD484" s="139">
        <v>1</v>
      </c>
      <c r="AE484" s="138" t="s">
        <v>883</v>
      </c>
      <c r="AG484" s="136">
        <v>26.62</v>
      </c>
      <c r="AH484" s="137">
        <v>12</v>
      </c>
      <c r="AI484" s="138">
        <v>75</v>
      </c>
      <c r="AK484" s="136">
        <v>27</v>
      </c>
      <c r="AL484" s="139">
        <v>1</v>
      </c>
      <c r="AM484" s="138" t="s">
        <v>883</v>
      </c>
      <c r="AO484" s="136">
        <v>49.17</v>
      </c>
      <c r="AP484" s="139">
        <v>5</v>
      </c>
      <c r="AQ484" s="138">
        <v>5</v>
      </c>
      <c r="AS484" s="136">
        <v>26.36</v>
      </c>
      <c r="AT484" s="139">
        <v>11</v>
      </c>
      <c r="AU484" s="138">
        <v>63</v>
      </c>
      <c r="AW484" s="136">
        <v>49.19</v>
      </c>
      <c r="AX484" s="139">
        <v>5</v>
      </c>
      <c r="AY484" s="138">
        <v>5</v>
      </c>
      <c r="BA484" s="136">
        <v>27.19</v>
      </c>
      <c r="BB484" s="139">
        <v>10</v>
      </c>
      <c r="BC484" s="138">
        <v>50</v>
      </c>
    </row>
    <row r="485" spans="5:55" x14ac:dyDescent="0.3">
      <c r="E485" s="166">
        <v>27.34</v>
      </c>
      <c r="F485" s="167">
        <v>8</v>
      </c>
      <c r="G485" s="155" t="s">
        <v>865</v>
      </c>
      <c r="I485" s="136">
        <v>49.24</v>
      </c>
      <c r="J485" s="139">
        <v>12</v>
      </c>
      <c r="K485" s="138">
        <v>75</v>
      </c>
      <c r="M485" s="136">
        <v>26.44</v>
      </c>
      <c r="N485" s="139">
        <v>12</v>
      </c>
      <c r="O485" s="138">
        <v>75</v>
      </c>
      <c r="Q485" s="136">
        <v>50.27</v>
      </c>
      <c r="R485" s="139">
        <v>6</v>
      </c>
      <c r="S485" s="138">
        <v>9</v>
      </c>
      <c r="U485" s="136">
        <v>26.53</v>
      </c>
      <c r="V485" s="139">
        <v>18</v>
      </c>
      <c r="W485" s="138" t="s">
        <v>884</v>
      </c>
      <c r="Y485" s="136">
        <v>26.3</v>
      </c>
      <c r="Z485" s="139">
        <v>11</v>
      </c>
      <c r="AA485" s="138">
        <v>63</v>
      </c>
      <c r="AC485" s="136">
        <v>27.19</v>
      </c>
      <c r="AD485" s="139">
        <v>2</v>
      </c>
      <c r="AE485" s="138" t="s">
        <v>883</v>
      </c>
      <c r="AG485" s="136">
        <v>26.64</v>
      </c>
      <c r="AH485" s="137">
        <v>13</v>
      </c>
      <c r="AI485" s="138">
        <v>85</v>
      </c>
      <c r="AK485" s="136">
        <v>27.23</v>
      </c>
      <c r="AL485" s="139">
        <v>2</v>
      </c>
      <c r="AM485" s="138" t="s">
        <v>883</v>
      </c>
      <c r="AO485" s="136">
        <v>49.19</v>
      </c>
      <c r="AP485" s="139">
        <v>6</v>
      </c>
      <c r="AQ485" s="138">
        <v>9</v>
      </c>
      <c r="AS485" s="136">
        <v>26.37</v>
      </c>
      <c r="AT485" s="139">
        <v>12</v>
      </c>
      <c r="AU485" s="138">
        <v>75</v>
      </c>
      <c r="AW485" s="136">
        <v>49.21</v>
      </c>
      <c r="AX485" s="139">
        <v>6</v>
      </c>
      <c r="AY485" s="138">
        <v>9</v>
      </c>
      <c r="BA485" s="136">
        <v>27.21</v>
      </c>
      <c r="BB485" s="139">
        <v>11</v>
      </c>
      <c r="BC485" s="138">
        <v>63</v>
      </c>
    </row>
    <row r="486" spans="5:55" x14ac:dyDescent="0.3">
      <c r="E486" s="166">
        <v>27.36</v>
      </c>
      <c r="F486" s="167">
        <v>9</v>
      </c>
      <c r="G486" s="155" t="s">
        <v>879</v>
      </c>
      <c r="I486" s="136">
        <v>49.26</v>
      </c>
      <c r="J486" s="139">
        <v>13</v>
      </c>
      <c r="K486" s="138">
        <v>85</v>
      </c>
      <c r="M486" s="136">
        <v>26.45</v>
      </c>
      <c r="N486" s="139">
        <v>13</v>
      </c>
      <c r="O486" s="138">
        <v>85</v>
      </c>
      <c r="Q486" s="136">
        <v>50.29</v>
      </c>
      <c r="R486" s="139">
        <v>7</v>
      </c>
      <c r="S486" s="138">
        <v>16</v>
      </c>
      <c r="U486" s="136">
        <v>26.57</v>
      </c>
      <c r="V486" s="139">
        <v>19</v>
      </c>
      <c r="W486" s="138" t="s">
        <v>884</v>
      </c>
      <c r="Y486" s="136">
        <v>26.32</v>
      </c>
      <c r="Z486" s="139">
        <v>12</v>
      </c>
      <c r="AA486" s="138">
        <v>75</v>
      </c>
      <c r="AC486" s="136">
        <v>27.21</v>
      </c>
      <c r="AD486" s="139">
        <v>3</v>
      </c>
      <c r="AE486" s="138">
        <v>1</v>
      </c>
      <c r="AG486" s="136">
        <v>26.66</v>
      </c>
      <c r="AH486" s="137">
        <v>14</v>
      </c>
      <c r="AI486" s="138">
        <v>91</v>
      </c>
      <c r="AK486" s="136">
        <v>27.24</v>
      </c>
      <c r="AL486" s="139">
        <v>3</v>
      </c>
      <c r="AM486" s="138">
        <v>1</v>
      </c>
      <c r="AO486" s="136">
        <v>49.2</v>
      </c>
      <c r="AP486" s="139">
        <v>7</v>
      </c>
      <c r="AQ486" s="138">
        <v>16</v>
      </c>
      <c r="AS486" s="136">
        <v>26.39</v>
      </c>
      <c r="AT486" s="139">
        <v>13</v>
      </c>
      <c r="AU486" s="138">
        <v>85</v>
      </c>
      <c r="AW486" s="136">
        <v>49.23</v>
      </c>
      <c r="AX486" s="139">
        <v>7</v>
      </c>
      <c r="AY486" s="138">
        <v>16</v>
      </c>
      <c r="BA486" s="136">
        <v>27.22</v>
      </c>
      <c r="BB486" s="139">
        <v>12</v>
      </c>
      <c r="BC486" s="138">
        <v>75</v>
      </c>
    </row>
    <row r="487" spans="5:55" x14ac:dyDescent="0.3">
      <c r="E487" s="166">
        <v>27.38</v>
      </c>
      <c r="F487" s="167">
        <v>10</v>
      </c>
      <c r="G487" s="155" t="s">
        <v>866</v>
      </c>
      <c r="I487" s="136">
        <v>49.28</v>
      </c>
      <c r="J487" s="139">
        <v>14</v>
      </c>
      <c r="K487" s="138">
        <v>91</v>
      </c>
      <c r="M487" s="136">
        <v>26.47</v>
      </c>
      <c r="N487" s="139">
        <v>14</v>
      </c>
      <c r="O487" s="138">
        <v>91</v>
      </c>
      <c r="Q487" s="136">
        <v>50.3</v>
      </c>
      <c r="R487" s="139">
        <v>8</v>
      </c>
      <c r="S487" s="138">
        <v>25</v>
      </c>
      <c r="U487" s="136">
        <v>27</v>
      </c>
      <c r="V487" s="139">
        <v>1</v>
      </c>
      <c r="W487" s="138" t="s">
        <v>883</v>
      </c>
      <c r="Y487" s="136">
        <v>26.33</v>
      </c>
      <c r="Z487" s="139">
        <v>13</v>
      </c>
      <c r="AA487" s="138">
        <v>85</v>
      </c>
      <c r="AC487" s="136">
        <v>27.23</v>
      </c>
      <c r="AD487" s="139">
        <v>4</v>
      </c>
      <c r="AE487" s="138">
        <v>2</v>
      </c>
      <c r="AG487" s="136">
        <v>26.67</v>
      </c>
      <c r="AH487" s="137">
        <v>15</v>
      </c>
      <c r="AI487" s="138">
        <v>95</v>
      </c>
      <c r="AK487" s="136">
        <v>27.25</v>
      </c>
      <c r="AL487" s="139">
        <v>4</v>
      </c>
      <c r="AM487" s="138">
        <v>2</v>
      </c>
      <c r="AO487" s="136">
        <v>49.21</v>
      </c>
      <c r="AP487" s="139">
        <v>8</v>
      </c>
      <c r="AQ487" s="138">
        <v>25</v>
      </c>
      <c r="AS487" s="136">
        <v>26.41</v>
      </c>
      <c r="AT487" s="139">
        <v>14</v>
      </c>
      <c r="AU487" s="138">
        <v>91</v>
      </c>
      <c r="AW487" s="136">
        <v>49.25</v>
      </c>
      <c r="AX487" s="139">
        <v>8</v>
      </c>
      <c r="AY487" s="138">
        <v>25</v>
      </c>
      <c r="BA487" s="136">
        <v>27.23</v>
      </c>
      <c r="BB487" s="139">
        <v>13</v>
      </c>
      <c r="BC487" s="138">
        <v>85</v>
      </c>
    </row>
    <row r="488" spans="5:55" x14ac:dyDescent="0.3">
      <c r="E488" s="166">
        <v>27.4</v>
      </c>
      <c r="F488" s="167">
        <v>11</v>
      </c>
      <c r="G488" s="155" t="s">
        <v>867</v>
      </c>
      <c r="I488" s="136">
        <v>49.3</v>
      </c>
      <c r="J488" s="139">
        <v>15</v>
      </c>
      <c r="K488" s="138">
        <v>95</v>
      </c>
      <c r="M488" s="136">
        <v>26.48</v>
      </c>
      <c r="N488" s="139">
        <v>15</v>
      </c>
      <c r="O488" s="138">
        <v>95</v>
      </c>
      <c r="Q488" s="136">
        <v>50.32</v>
      </c>
      <c r="R488" s="139">
        <v>9</v>
      </c>
      <c r="S488" s="138">
        <v>37</v>
      </c>
      <c r="U488" s="136">
        <v>27.11</v>
      </c>
      <c r="V488" s="139">
        <v>2</v>
      </c>
      <c r="W488" s="138" t="s">
        <v>883</v>
      </c>
      <c r="Y488" s="136">
        <v>26.34</v>
      </c>
      <c r="Z488" s="139">
        <v>14</v>
      </c>
      <c r="AA488" s="138">
        <v>91</v>
      </c>
      <c r="AC488" s="136">
        <v>27.25</v>
      </c>
      <c r="AD488" s="139">
        <v>5</v>
      </c>
      <c r="AE488" s="138">
        <v>5</v>
      </c>
      <c r="AG488" s="136">
        <v>26.69</v>
      </c>
      <c r="AH488" s="137">
        <v>16</v>
      </c>
      <c r="AI488" s="138">
        <v>98</v>
      </c>
      <c r="AK488" s="136">
        <v>27.26</v>
      </c>
      <c r="AL488" s="139">
        <v>5</v>
      </c>
      <c r="AM488" s="138">
        <v>5</v>
      </c>
      <c r="AO488" s="136">
        <v>49.22</v>
      </c>
      <c r="AP488" s="139">
        <v>9</v>
      </c>
      <c r="AQ488" s="138">
        <v>37</v>
      </c>
      <c r="AS488" s="136">
        <v>26.42</v>
      </c>
      <c r="AT488" s="139">
        <v>15</v>
      </c>
      <c r="AU488" s="138">
        <v>95</v>
      </c>
      <c r="AW488" s="136">
        <v>49.27</v>
      </c>
      <c r="AX488" s="139">
        <v>9</v>
      </c>
      <c r="AY488" s="138">
        <v>37</v>
      </c>
      <c r="BA488" s="136">
        <v>27.24</v>
      </c>
      <c r="BB488" s="139">
        <v>14</v>
      </c>
      <c r="BC488" s="138">
        <v>91</v>
      </c>
    </row>
    <row r="489" spans="5:55" x14ac:dyDescent="0.3">
      <c r="E489" s="166">
        <v>27.42</v>
      </c>
      <c r="F489" s="167">
        <v>12</v>
      </c>
      <c r="G489" s="155" t="s">
        <v>868</v>
      </c>
      <c r="I489" s="136">
        <v>49.32</v>
      </c>
      <c r="J489" s="139">
        <v>16</v>
      </c>
      <c r="K489" s="138">
        <v>98</v>
      </c>
      <c r="M489" s="136">
        <v>26.49</v>
      </c>
      <c r="N489" s="139">
        <v>16</v>
      </c>
      <c r="O489" s="138">
        <v>98</v>
      </c>
      <c r="Q489" s="136">
        <v>50.33</v>
      </c>
      <c r="R489" s="139">
        <v>10</v>
      </c>
      <c r="S489" s="138">
        <v>50</v>
      </c>
      <c r="U489" s="136">
        <v>27.14</v>
      </c>
      <c r="V489" s="139">
        <v>3</v>
      </c>
      <c r="W489" s="138">
        <v>1</v>
      </c>
      <c r="Y489" s="136">
        <v>26.36</v>
      </c>
      <c r="Z489" s="139">
        <v>15</v>
      </c>
      <c r="AA489" s="138">
        <v>95</v>
      </c>
      <c r="AC489" s="136">
        <v>27.27</v>
      </c>
      <c r="AD489" s="139">
        <v>6</v>
      </c>
      <c r="AE489" s="138">
        <v>9</v>
      </c>
      <c r="AG489" s="136">
        <v>26.71</v>
      </c>
      <c r="AH489" s="137">
        <v>17</v>
      </c>
      <c r="AI489" s="138">
        <v>99</v>
      </c>
      <c r="AK489" s="136">
        <v>27.27</v>
      </c>
      <c r="AL489" s="139">
        <v>6</v>
      </c>
      <c r="AM489" s="138">
        <v>9</v>
      </c>
      <c r="AO489" s="136">
        <v>49.23</v>
      </c>
      <c r="AP489" s="139">
        <v>10</v>
      </c>
      <c r="AQ489" s="138">
        <v>50</v>
      </c>
      <c r="AS489" s="136">
        <v>26.44</v>
      </c>
      <c r="AT489" s="139">
        <v>16</v>
      </c>
      <c r="AU489" s="138">
        <v>98</v>
      </c>
      <c r="AW489" s="136">
        <v>49.29</v>
      </c>
      <c r="AX489" s="139">
        <v>10</v>
      </c>
      <c r="AY489" s="138">
        <v>50</v>
      </c>
      <c r="BA489" s="136">
        <v>27.25</v>
      </c>
      <c r="BB489" s="139">
        <v>15</v>
      </c>
      <c r="BC489" s="138">
        <v>95</v>
      </c>
    </row>
    <row r="490" spans="5:55" x14ac:dyDescent="0.3">
      <c r="E490" s="166">
        <v>27.44</v>
      </c>
      <c r="F490" s="167">
        <v>13</v>
      </c>
      <c r="G490" s="155" t="s">
        <v>869</v>
      </c>
      <c r="I490" s="136">
        <v>49.34</v>
      </c>
      <c r="J490" s="139">
        <v>17</v>
      </c>
      <c r="K490" s="138">
        <v>99</v>
      </c>
      <c r="M490" s="136">
        <v>26.51</v>
      </c>
      <c r="N490" s="139">
        <v>17</v>
      </c>
      <c r="O490" s="138">
        <v>99</v>
      </c>
      <c r="Q490" s="136">
        <v>50.35</v>
      </c>
      <c r="R490" s="139">
        <v>11</v>
      </c>
      <c r="S490" s="138">
        <v>63</v>
      </c>
      <c r="U490" s="136">
        <v>27.16</v>
      </c>
      <c r="V490" s="139">
        <v>4</v>
      </c>
      <c r="W490" s="138">
        <v>2</v>
      </c>
      <c r="Y490" s="136">
        <v>26.37</v>
      </c>
      <c r="Z490" s="139">
        <v>16</v>
      </c>
      <c r="AA490" s="138">
        <v>98</v>
      </c>
      <c r="AC490" s="136">
        <v>27.28</v>
      </c>
      <c r="AD490" s="139">
        <v>7</v>
      </c>
      <c r="AE490" s="138">
        <v>16</v>
      </c>
      <c r="AG490" s="136">
        <v>26.73</v>
      </c>
      <c r="AH490" s="137">
        <v>18</v>
      </c>
      <c r="AI490" s="138" t="s">
        <v>884</v>
      </c>
      <c r="AK490" s="136">
        <v>27.28</v>
      </c>
      <c r="AL490" s="139">
        <v>7</v>
      </c>
      <c r="AM490" s="138">
        <v>16</v>
      </c>
      <c r="AO490" s="136">
        <v>49.24</v>
      </c>
      <c r="AP490" s="139">
        <v>11</v>
      </c>
      <c r="AQ490" s="138">
        <v>63</v>
      </c>
      <c r="AS490" s="136">
        <v>26.47</v>
      </c>
      <c r="AT490" s="139">
        <v>17</v>
      </c>
      <c r="AU490" s="138">
        <v>99</v>
      </c>
      <c r="AW490" s="136">
        <v>49.32</v>
      </c>
      <c r="AX490" s="139">
        <v>11</v>
      </c>
      <c r="AY490" s="138">
        <v>63</v>
      </c>
      <c r="BA490" s="136">
        <v>27.27</v>
      </c>
      <c r="BB490" s="139">
        <v>16</v>
      </c>
      <c r="BC490" s="138">
        <v>98</v>
      </c>
    </row>
    <row r="491" spans="5:55" x14ac:dyDescent="0.3">
      <c r="E491" s="166">
        <v>27.46</v>
      </c>
      <c r="F491" s="167">
        <v>14</v>
      </c>
      <c r="G491" s="155" t="s">
        <v>870</v>
      </c>
      <c r="I491" s="136">
        <v>49.36</v>
      </c>
      <c r="J491" s="139">
        <v>18</v>
      </c>
      <c r="K491" s="138" t="s">
        <v>884</v>
      </c>
      <c r="M491" s="136">
        <v>26.53</v>
      </c>
      <c r="N491" s="139">
        <v>18</v>
      </c>
      <c r="O491" s="138" t="s">
        <v>884</v>
      </c>
      <c r="Q491" s="136">
        <v>50.37</v>
      </c>
      <c r="R491" s="139">
        <v>12</v>
      </c>
      <c r="S491" s="138">
        <v>75</v>
      </c>
      <c r="U491" s="136">
        <v>27.2</v>
      </c>
      <c r="V491" s="139">
        <v>5</v>
      </c>
      <c r="W491" s="138">
        <v>5</v>
      </c>
      <c r="Y491" s="136">
        <v>26.38</v>
      </c>
      <c r="Z491" s="139">
        <v>17</v>
      </c>
      <c r="AA491" s="138">
        <v>99</v>
      </c>
      <c r="AC491" s="136">
        <v>27.3</v>
      </c>
      <c r="AD491" s="139">
        <v>8</v>
      </c>
      <c r="AE491" s="138">
        <v>25</v>
      </c>
      <c r="AG491" s="136">
        <v>26.75</v>
      </c>
      <c r="AH491" s="137">
        <v>19</v>
      </c>
      <c r="AI491" s="138" t="s">
        <v>884</v>
      </c>
      <c r="AK491" s="136">
        <v>27.29</v>
      </c>
      <c r="AL491" s="139">
        <v>8</v>
      </c>
      <c r="AM491" s="138">
        <v>25</v>
      </c>
      <c r="AO491" s="136">
        <v>49.25</v>
      </c>
      <c r="AP491" s="139">
        <v>12</v>
      </c>
      <c r="AQ491" s="138">
        <v>75</v>
      </c>
      <c r="AS491" s="136">
        <v>26.49</v>
      </c>
      <c r="AT491" s="139">
        <v>18</v>
      </c>
      <c r="AU491" s="138" t="s">
        <v>884</v>
      </c>
      <c r="AW491" s="136">
        <v>49.34</v>
      </c>
      <c r="AX491" s="139">
        <v>12</v>
      </c>
      <c r="AY491" s="138">
        <v>75</v>
      </c>
      <c r="BA491" s="136">
        <v>27.28</v>
      </c>
      <c r="BB491" s="139">
        <v>17</v>
      </c>
      <c r="BC491" s="138">
        <v>99</v>
      </c>
    </row>
    <row r="492" spans="5:55" x14ac:dyDescent="0.3">
      <c r="E492" s="166">
        <v>27.48</v>
      </c>
      <c r="F492" s="167">
        <v>15</v>
      </c>
      <c r="G492" s="155" t="s">
        <v>871</v>
      </c>
      <c r="I492" s="136">
        <v>49.38</v>
      </c>
      <c r="J492" s="139">
        <v>19</v>
      </c>
      <c r="K492" s="138" t="s">
        <v>884</v>
      </c>
      <c r="M492" s="136">
        <v>26.54</v>
      </c>
      <c r="N492" s="139">
        <v>19</v>
      </c>
      <c r="O492" s="138" t="s">
        <v>884</v>
      </c>
      <c r="Q492" s="136">
        <v>50.38</v>
      </c>
      <c r="R492" s="139">
        <v>13</v>
      </c>
      <c r="S492" s="138">
        <v>85</v>
      </c>
      <c r="U492" s="136">
        <v>27.23</v>
      </c>
      <c r="V492" s="139">
        <v>6</v>
      </c>
      <c r="W492" s="138">
        <v>9</v>
      </c>
      <c r="Y492" s="136">
        <v>26.4</v>
      </c>
      <c r="Z492" s="139">
        <v>18</v>
      </c>
      <c r="AA492" s="138" t="s">
        <v>884</v>
      </c>
      <c r="AC492" s="136">
        <v>27.32</v>
      </c>
      <c r="AD492" s="139">
        <v>9</v>
      </c>
      <c r="AE492" s="138">
        <v>37</v>
      </c>
      <c r="AG492" s="136">
        <v>27</v>
      </c>
      <c r="AH492" s="137">
        <v>1</v>
      </c>
      <c r="AI492" s="138" t="s">
        <v>883</v>
      </c>
      <c r="AK492" s="136">
        <v>27.3</v>
      </c>
      <c r="AL492" s="139">
        <v>9</v>
      </c>
      <c r="AM492" s="138">
        <v>37</v>
      </c>
      <c r="AO492" s="136">
        <v>49.26</v>
      </c>
      <c r="AP492" s="139">
        <v>13</v>
      </c>
      <c r="AQ492" s="138">
        <v>85</v>
      </c>
      <c r="AS492" s="136">
        <v>26.49</v>
      </c>
      <c r="AT492" s="139">
        <v>19</v>
      </c>
      <c r="AU492" s="138" t="s">
        <v>884</v>
      </c>
      <c r="AW492" s="136">
        <v>49.36</v>
      </c>
      <c r="AX492" s="139">
        <v>13</v>
      </c>
      <c r="AY492" s="138">
        <v>85</v>
      </c>
      <c r="BA492" s="136">
        <v>27.29</v>
      </c>
      <c r="BB492" s="139">
        <v>18</v>
      </c>
      <c r="BC492" s="138" t="s">
        <v>884</v>
      </c>
    </row>
    <row r="493" spans="5:55" x14ac:dyDescent="0.3">
      <c r="E493" s="166">
        <v>27.5</v>
      </c>
      <c r="F493" s="167">
        <v>16</v>
      </c>
      <c r="G493" s="155" t="s">
        <v>872</v>
      </c>
      <c r="I493" s="136">
        <v>50</v>
      </c>
      <c r="J493" s="139">
        <v>1</v>
      </c>
      <c r="K493" s="138" t="s">
        <v>883</v>
      </c>
      <c r="M493" s="136">
        <v>27</v>
      </c>
      <c r="N493" s="139">
        <v>1</v>
      </c>
      <c r="O493" s="138" t="s">
        <v>883</v>
      </c>
      <c r="Q493" s="136">
        <v>50.4</v>
      </c>
      <c r="R493" s="139">
        <v>14</v>
      </c>
      <c r="S493" s="138">
        <v>91</v>
      </c>
      <c r="U493" s="136">
        <v>27.26</v>
      </c>
      <c r="V493" s="139">
        <v>7</v>
      </c>
      <c r="W493" s="138">
        <v>16</v>
      </c>
      <c r="Y493" s="136">
        <v>26.41</v>
      </c>
      <c r="Z493" s="139">
        <v>19</v>
      </c>
      <c r="AA493" s="138" t="s">
        <v>884</v>
      </c>
      <c r="AC493" s="136">
        <v>27.35</v>
      </c>
      <c r="AD493" s="139">
        <v>10</v>
      </c>
      <c r="AE493" s="138">
        <v>50</v>
      </c>
      <c r="AG493" s="136">
        <v>27.44</v>
      </c>
      <c r="AH493" s="137">
        <v>2</v>
      </c>
      <c r="AI493" s="138" t="s">
        <v>883</v>
      </c>
      <c r="AK493" s="136">
        <v>27.31</v>
      </c>
      <c r="AL493" s="139">
        <v>10</v>
      </c>
      <c r="AM493" s="138">
        <v>50</v>
      </c>
      <c r="AO493" s="136">
        <v>49.27</v>
      </c>
      <c r="AP493" s="139">
        <v>14</v>
      </c>
      <c r="AQ493" s="138">
        <v>91</v>
      </c>
      <c r="AS493" s="136">
        <v>27</v>
      </c>
      <c r="AT493" s="139">
        <v>1</v>
      </c>
      <c r="AU493" s="138" t="s">
        <v>883</v>
      </c>
      <c r="AW493" s="136">
        <v>49.38</v>
      </c>
      <c r="AX493" s="139">
        <v>14</v>
      </c>
      <c r="AY493" s="138">
        <v>91</v>
      </c>
      <c r="BA493" s="136">
        <v>27.31</v>
      </c>
      <c r="BB493" s="139">
        <v>19</v>
      </c>
      <c r="BC493" s="138" t="s">
        <v>884</v>
      </c>
    </row>
    <row r="494" spans="5:55" x14ac:dyDescent="0.3">
      <c r="E494" s="166">
        <v>27.52</v>
      </c>
      <c r="F494" s="167">
        <v>17</v>
      </c>
      <c r="G494" s="155" t="s">
        <v>873</v>
      </c>
      <c r="I494" s="136">
        <v>50.05</v>
      </c>
      <c r="J494" s="139">
        <v>2</v>
      </c>
      <c r="K494" s="138" t="s">
        <v>883</v>
      </c>
      <c r="M494" s="136">
        <v>27.23</v>
      </c>
      <c r="N494" s="139">
        <v>2</v>
      </c>
      <c r="O494" s="138" t="s">
        <v>883</v>
      </c>
      <c r="Q494" s="136">
        <v>50.41</v>
      </c>
      <c r="R494" s="139">
        <v>15</v>
      </c>
      <c r="S494" s="138">
        <v>95</v>
      </c>
      <c r="U494" s="136">
        <v>27.28</v>
      </c>
      <c r="V494" s="139">
        <v>8</v>
      </c>
      <c r="W494" s="138">
        <v>25</v>
      </c>
      <c r="Y494" s="136">
        <v>27</v>
      </c>
      <c r="Z494" s="139">
        <v>1</v>
      </c>
      <c r="AA494" s="138" t="s">
        <v>883</v>
      </c>
      <c r="AC494" s="136">
        <v>27.37</v>
      </c>
      <c r="AD494" s="139">
        <v>11</v>
      </c>
      <c r="AE494" s="138">
        <v>63</v>
      </c>
      <c r="AG494" s="136">
        <v>27.48</v>
      </c>
      <c r="AH494" s="137">
        <v>3</v>
      </c>
      <c r="AI494" s="138">
        <v>1</v>
      </c>
      <c r="AK494" s="136">
        <v>27.32</v>
      </c>
      <c r="AL494" s="139">
        <v>11</v>
      </c>
      <c r="AM494" s="138">
        <v>63</v>
      </c>
      <c r="AO494" s="136">
        <v>49.29</v>
      </c>
      <c r="AP494" s="139">
        <v>15</v>
      </c>
      <c r="AQ494" s="138">
        <v>95</v>
      </c>
      <c r="AS494" s="136">
        <v>27.23</v>
      </c>
      <c r="AT494" s="139">
        <v>2</v>
      </c>
      <c r="AU494" s="138" t="s">
        <v>883</v>
      </c>
      <c r="AW494" s="136">
        <v>49.4</v>
      </c>
      <c r="AX494" s="139">
        <v>15</v>
      </c>
      <c r="AY494" s="138">
        <v>95</v>
      </c>
      <c r="BA494" s="136">
        <v>28</v>
      </c>
      <c r="BB494" s="139">
        <v>1</v>
      </c>
      <c r="BC494" s="138" t="s">
        <v>883</v>
      </c>
    </row>
    <row r="495" spans="5:55" x14ac:dyDescent="0.3">
      <c r="E495" s="166">
        <v>27.54</v>
      </c>
      <c r="F495" s="167">
        <v>18</v>
      </c>
      <c r="G495" s="155" t="s">
        <v>874</v>
      </c>
      <c r="I495" s="136">
        <v>50.07</v>
      </c>
      <c r="J495" s="139">
        <v>3</v>
      </c>
      <c r="K495" s="138">
        <v>1</v>
      </c>
      <c r="M495" s="136">
        <v>27.28</v>
      </c>
      <c r="N495" s="139">
        <v>3</v>
      </c>
      <c r="O495" s="138">
        <v>1</v>
      </c>
      <c r="Q495" s="136">
        <v>50.43</v>
      </c>
      <c r="R495" s="139">
        <v>16</v>
      </c>
      <c r="S495" s="138">
        <v>98</v>
      </c>
      <c r="U495" s="136">
        <v>27.31</v>
      </c>
      <c r="V495" s="139">
        <v>9</v>
      </c>
      <c r="W495" s="138">
        <v>37</v>
      </c>
      <c r="Y495" s="136">
        <v>27.22</v>
      </c>
      <c r="Z495" s="139">
        <v>2</v>
      </c>
      <c r="AA495" s="138" t="s">
        <v>883</v>
      </c>
      <c r="AC495" s="136">
        <v>27.39</v>
      </c>
      <c r="AD495" s="139">
        <v>12</v>
      </c>
      <c r="AE495" s="138">
        <v>75</v>
      </c>
      <c r="AG495" s="136">
        <v>27.49</v>
      </c>
      <c r="AH495" s="137">
        <v>4</v>
      </c>
      <c r="AI495" s="138">
        <v>2</v>
      </c>
      <c r="AK495" s="136">
        <v>27.33</v>
      </c>
      <c r="AL495" s="139">
        <v>12</v>
      </c>
      <c r="AM495" s="138">
        <v>75</v>
      </c>
      <c r="AO495" s="136">
        <v>49.3</v>
      </c>
      <c r="AP495" s="139">
        <v>16</v>
      </c>
      <c r="AQ495" s="138">
        <v>98</v>
      </c>
      <c r="AS495" s="136">
        <v>27.25</v>
      </c>
      <c r="AT495" s="139">
        <v>3</v>
      </c>
      <c r="AU495" s="138">
        <v>1</v>
      </c>
      <c r="AW495" s="136">
        <v>49.42</v>
      </c>
      <c r="AX495" s="139">
        <v>16</v>
      </c>
      <c r="AY495" s="138">
        <v>98</v>
      </c>
      <c r="BA495" s="136">
        <v>28.09</v>
      </c>
      <c r="BB495" s="139">
        <v>2</v>
      </c>
      <c r="BC495" s="138" t="s">
        <v>883</v>
      </c>
    </row>
    <row r="496" spans="5:55" x14ac:dyDescent="0.3">
      <c r="E496" s="166">
        <v>27.57</v>
      </c>
      <c r="F496" s="167">
        <v>19</v>
      </c>
      <c r="G496" s="155" t="s">
        <v>874</v>
      </c>
      <c r="I496" s="136">
        <v>50.11</v>
      </c>
      <c r="J496" s="139">
        <v>4</v>
      </c>
      <c r="K496" s="138">
        <v>2</v>
      </c>
      <c r="M496" s="136">
        <v>27.31</v>
      </c>
      <c r="N496" s="139">
        <v>4</v>
      </c>
      <c r="O496" s="138">
        <v>2</v>
      </c>
      <c r="Q496" s="136">
        <v>50.45</v>
      </c>
      <c r="R496" s="139">
        <v>17</v>
      </c>
      <c r="S496" s="138">
        <v>99</v>
      </c>
      <c r="U496" s="136">
        <v>27.34</v>
      </c>
      <c r="V496" s="139">
        <v>10</v>
      </c>
      <c r="W496" s="138">
        <v>50</v>
      </c>
      <c r="Y496" s="136">
        <v>27.23</v>
      </c>
      <c r="Z496" s="139">
        <v>3</v>
      </c>
      <c r="AA496" s="138">
        <v>1</v>
      </c>
      <c r="AC496" s="136">
        <v>27.41</v>
      </c>
      <c r="AD496" s="139">
        <v>13</v>
      </c>
      <c r="AE496" s="138">
        <v>85</v>
      </c>
      <c r="AG496" s="136">
        <v>27.51</v>
      </c>
      <c r="AH496" s="137">
        <v>5</v>
      </c>
      <c r="AI496" s="138">
        <v>5</v>
      </c>
      <c r="AK496" s="136">
        <v>27.34</v>
      </c>
      <c r="AL496" s="139">
        <v>13</v>
      </c>
      <c r="AM496" s="138">
        <v>85</v>
      </c>
      <c r="AO496" s="136">
        <v>49.32</v>
      </c>
      <c r="AP496" s="139">
        <v>17</v>
      </c>
      <c r="AQ496" s="138">
        <v>99</v>
      </c>
      <c r="AS496" s="136">
        <v>27.27</v>
      </c>
      <c r="AT496" s="139">
        <v>4</v>
      </c>
      <c r="AU496" s="138">
        <v>2</v>
      </c>
      <c r="AW496" s="136">
        <v>49.44</v>
      </c>
      <c r="AX496" s="139">
        <v>17</v>
      </c>
      <c r="AY496" s="138">
        <v>99</v>
      </c>
      <c r="BA496" s="136">
        <v>28.12</v>
      </c>
      <c r="BB496" s="139">
        <v>3</v>
      </c>
      <c r="BC496" s="138">
        <v>1</v>
      </c>
    </row>
    <row r="497" spans="5:55" x14ac:dyDescent="0.3">
      <c r="E497" s="166">
        <v>28</v>
      </c>
      <c r="F497" s="167">
        <v>1</v>
      </c>
      <c r="G497" s="155" t="s">
        <v>862</v>
      </c>
      <c r="I497" s="136">
        <v>50.12</v>
      </c>
      <c r="J497" s="139">
        <v>5</v>
      </c>
      <c r="K497" s="138">
        <v>5</v>
      </c>
      <c r="M497" s="136">
        <v>27.33</v>
      </c>
      <c r="N497" s="139">
        <v>5</v>
      </c>
      <c r="O497" s="138">
        <v>5</v>
      </c>
      <c r="Q497" s="136">
        <v>50.46</v>
      </c>
      <c r="R497" s="139">
        <v>18</v>
      </c>
      <c r="S497" s="138" t="s">
        <v>884</v>
      </c>
      <c r="U497" s="136">
        <v>27.37</v>
      </c>
      <c r="V497" s="139">
        <v>11</v>
      </c>
      <c r="W497" s="138">
        <v>63</v>
      </c>
      <c r="Y497" s="136">
        <v>27.24</v>
      </c>
      <c r="Z497" s="139">
        <v>4</v>
      </c>
      <c r="AA497" s="138">
        <v>2</v>
      </c>
      <c r="AC497" s="136">
        <v>27.43</v>
      </c>
      <c r="AD497" s="139">
        <v>14</v>
      </c>
      <c r="AE497" s="138">
        <v>91</v>
      </c>
      <c r="AG497" s="136">
        <v>27.53</v>
      </c>
      <c r="AH497" s="137">
        <v>6</v>
      </c>
      <c r="AI497" s="138">
        <v>9</v>
      </c>
      <c r="AK497" s="136">
        <v>27.35</v>
      </c>
      <c r="AL497" s="139">
        <v>14</v>
      </c>
      <c r="AM497" s="138">
        <v>91</v>
      </c>
      <c r="AO497" s="136">
        <v>49.33</v>
      </c>
      <c r="AP497" s="139">
        <v>18</v>
      </c>
      <c r="AQ497" s="138" t="s">
        <v>884</v>
      </c>
      <c r="AS497" s="136">
        <v>27.28</v>
      </c>
      <c r="AT497" s="139">
        <v>5</v>
      </c>
      <c r="AU497" s="138">
        <v>5</v>
      </c>
      <c r="AW497" s="136">
        <v>49.46</v>
      </c>
      <c r="AX497" s="139">
        <v>18</v>
      </c>
      <c r="AY497" s="138" t="s">
        <v>884</v>
      </c>
      <c r="BA497" s="136">
        <v>28.13</v>
      </c>
      <c r="BB497" s="139">
        <v>4</v>
      </c>
      <c r="BC497" s="138">
        <v>2</v>
      </c>
    </row>
    <row r="498" spans="5:55" x14ac:dyDescent="0.3">
      <c r="E498" s="166">
        <v>28.22</v>
      </c>
      <c r="F498" s="167">
        <v>2</v>
      </c>
      <c r="G498" s="155" t="s">
        <v>862</v>
      </c>
      <c r="I498" s="136">
        <v>50.14</v>
      </c>
      <c r="J498" s="139">
        <v>6</v>
      </c>
      <c r="K498" s="138">
        <v>9</v>
      </c>
      <c r="M498" s="136">
        <v>27.35</v>
      </c>
      <c r="N498" s="139">
        <v>6</v>
      </c>
      <c r="O498" s="138">
        <v>9</v>
      </c>
      <c r="Q498" s="136">
        <v>50.47</v>
      </c>
      <c r="R498" s="139">
        <v>19</v>
      </c>
      <c r="S498" s="138" t="s">
        <v>884</v>
      </c>
      <c r="U498" s="136">
        <v>27.4</v>
      </c>
      <c r="V498" s="139">
        <v>12</v>
      </c>
      <c r="W498" s="138">
        <v>75</v>
      </c>
      <c r="Y498" s="136">
        <v>27.26</v>
      </c>
      <c r="Z498" s="139">
        <v>5</v>
      </c>
      <c r="AA498" s="138">
        <v>5</v>
      </c>
      <c r="AC498" s="136">
        <v>27.45</v>
      </c>
      <c r="AD498" s="139">
        <v>15</v>
      </c>
      <c r="AE498" s="138">
        <v>95</v>
      </c>
      <c r="AG498" s="136">
        <v>27.55</v>
      </c>
      <c r="AH498" s="137">
        <v>7</v>
      </c>
      <c r="AI498" s="138">
        <v>16</v>
      </c>
      <c r="AK498" s="136">
        <v>27.36</v>
      </c>
      <c r="AL498" s="139">
        <v>15</v>
      </c>
      <c r="AM498" s="138">
        <v>95</v>
      </c>
      <c r="AO498" s="136">
        <v>49.36</v>
      </c>
      <c r="AP498" s="139">
        <v>19</v>
      </c>
      <c r="AQ498" s="138" t="s">
        <v>884</v>
      </c>
      <c r="AS498" s="136">
        <v>27.3</v>
      </c>
      <c r="AT498" s="139">
        <v>6</v>
      </c>
      <c r="AU498" s="138">
        <v>9</v>
      </c>
      <c r="AW498" s="136">
        <v>49.51</v>
      </c>
      <c r="AX498" s="139">
        <v>19</v>
      </c>
      <c r="AY498" s="138" t="s">
        <v>884</v>
      </c>
      <c r="BA498" s="136">
        <v>28.14</v>
      </c>
      <c r="BB498" s="139">
        <v>5</v>
      </c>
      <c r="BC498" s="138">
        <v>5</v>
      </c>
    </row>
    <row r="499" spans="5:55" x14ac:dyDescent="0.3">
      <c r="E499" s="166">
        <v>28.24</v>
      </c>
      <c r="F499" s="167">
        <v>3</v>
      </c>
      <c r="G499" s="155" t="s">
        <v>876</v>
      </c>
      <c r="I499" s="136">
        <v>50.15</v>
      </c>
      <c r="J499" s="139">
        <v>7</v>
      </c>
      <c r="K499" s="138">
        <v>16</v>
      </c>
      <c r="M499" s="136">
        <v>27.37</v>
      </c>
      <c r="N499" s="139">
        <v>7</v>
      </c>
      <c r="O499" s="138">
        <v>16</v>
      </c>
      <c r="Q499" s="136">
        <v>51</v>
      </c>
      <c r="R499" s="139">
        <v>1</v>
      </c>
      <c r="S499" s="138" t="s">
        <v>883</v>
      </c>
      <c r="U499" s="136">
        <v>27.43</v>
      </c>
      <c r="V499" s="139">
        <v>13</v>
      </c>
      <c r="W499" s="138">
        <v>85</v>
      </c>
      <c r="Y499" s="136">
        <v>27.27</v>
      </c>
      <c r="Z499" s="139">
        <v>6</v>
      </c>
      <c r="AA499" s="138">
        <v>9</v>
      </c>
      <c r="AC499" s="136">
        <v>27.47</v>
      </c>
      <c r="AD499" s="139">
        <v>16</v>
      </c>
      <c r="AE499" s="138">
        <v>98</v>
      </c>
      <c r="AG499" s="136">
        <v>27.57</v>
      </c>
      <c r="AH499" s="137">
        <v>8</v>
      </c>
      <c r="AI499" s="138">
        <v>25</v>
      </c>
      <c r="AK499" s="136">
        <v>27.37</v>
      </c>
      <c r="AL499" s="139">
        <v>16</v>
      </c>
      <c r="AM499" s="138">
        <v>98</v>
      </c>
      <c r="AO499" s="136">
        <v>50</v>
      </c>
      <c r="AP499" s="139">
        <v>1</v>
      </c>
      <c r="AQ499" s="138" t="s">
        <v>883</v>
      </c>
      <c r="AS499" s="136">
        <v>27.31</v>
      </c>
      <c r="AT499" s="139">
        <v>7</v>
      </c>
      <c r="AU499" s="138">
        <v>16</v>
      </c>
      <c r="AW499" s="136">
        <v>50</v>
      </c>
      <c r="AX499" s="139">
        <v>1</v>
      </c>
      <c r="AY499" s="138" t="s">
        <v>883</v>
      </c>
      <c r="BA499" s="136">
        <v>28.15</v>
      </c>
      <c r="BB499" s="139">
        <v>6</v>
      </c>
      <c r="BC499" s="138">
        <v>9</v>
      </c>
    </row>
    <row r="500" spans="5:55" x14ac:dyDescent="0.3">
      <c r="E500" s="166">
        <v>28.26</v>
      </c>
      <c r="F500" s="167">
        <v>4</v>
      </c>
      <c r="G500" s="155" t="s">
        <v>863</v>
      </c>
      <c r="I500" s="136">
        <v>50.17</v>
      </c>
      <c r="J500" s="139">
        <v>8</v>
      </c>
      <c r="K500" s="138">
        <v>25</v>
      </c>
      <c r="M500" s="136">
        <v>27.39</v>
      </c>
      <c r="N500" s="139">
        <v>8</v>
      </c>
      <c r="O500" s="138">
        <v>25</v>
      </c>
      <c r="Q500" s="136">
        <v>51.11</v>
      </c>
      <c r="R500" s="139">
        <v>2</v>
      </c>
      <c r="S500" s="138" t="s">
        <v>883</v>
      </c>
      <c r="U500" s="136">
        <v>27.46</v>
      </c>
      <c r="V500" s="139">
        <v>14</v>
      </c>
      <c r="W500" s="138">
        <v>91</v>
      </c>
      <c r="Y500" s="136">
        <v>27.28</v>
      </c>
      <c r="Z500" s="139">
        <v>7</v>
      </c>
      <c r="AA500" s="138">
        <v>16</v>
      </c>
      <c r="AC500" s="136">
        <v>27.49</v>
      </c>
      <c r="AD500" s="139">
        <v>17</v>
      </c>
      <c r="AE500" s="138">
        <v>99</v>
      </c>
      <c r="AG500" s="136">
        <v>27.58</v>
      </c>
      <c r="AH500" s="137">
        <v>9</v>
      </c>
      <c r="AI500" s="138">
        <v>37</v>
      </c>
      <c r="AK500" s="136">
        <v>27.38</v>
      </c>
      <c r="AL500" s="139">
        <v>17</v>
      </c>
      <c r="AM500" s="138">
        <v>99</v>
      </c>
      <c r="AO500" s="136">
        <v>50.13</v>
      </c>
      <c r="AP500" s="139">
        <v>2</v>
      </c>
      <c r="AQ500" s="138" t="s">
        <v>883</v>
      </c>
      <c r="AS500" s="136">
        <v>27.33</v>
      </c>
      <c r="AT500" s="139">
        <v>8</v>
      </c>
      <c r="AU500" s="138">
        <v>25</v>
      </c>
      <c r="AW500" s="136">
        <v>50.12</v>
      </c>
      <c r="AX500" s="139">
        <v>2</v>
      </c>
      <c r="AY500" s="138" t="s">
        <v>883</v>
      </c>
      <c r="BA500" s="136">
        <v>28.16</v>
      </c>
      <c r="BB500" s="139">
        <v>7</v>
      </c>
      <c r="BC500" s="138">
        <v>16</v>
      </c>
    </row>
    <row r="501" spans="5:55" x14ac:dyDescent="0.3">
      <c r="E501" s="166">
        <v>28.28</v>
      </c>
      <c r="F501" s="167">
        <v>5</v>
      </c>
      <c r="G501" s="155" t="s">
        <v>877</v>
      </c>
      <c r="I501" s="136">
        <v>50.18</v>
      </c>
      <c r="J501" s="139">
        <v>9</v>
      </c>
      <c r="K501" s="138">
        <v>37</v>
      </c>
      <c r="M501" s="136">
        <v>27.41</v>
      </c>
      <c r="N501" s="139">
        <v>9</v>
      </c>
      <c r="O501" s="138">
        <v>37</v>
      </c>
      <c r="Q501" s="136">
        <v>51.21</v>
      </c>
      <c r="R501" s="139">
        <v>3</v>
      </c>
      <c r="S501" s="138">
        <v>1</v>
      </c>
      <c r="U501" s="136">
        <v>27.49</v>
      </c>
      <c r="V501" s="139">
        <v>15</v>
      </c>
      <c r="W501" s="138">
        <v>95</v>
      </c>
      <c r="Y501" s="136">
        <v>27.29</v>
      </c>
      <c r="Z501" s="139">
        <v>8</v>
      </c>
      <c r="AA501" s="138">
        <v>25</v>
      </c>
      <c r="AC501" s="136">
        <v>27.51</v>
      </c>
      <c r="AD501" s="139">
        <v>18</v>
      </c>
      <c r="AE501" s="138" t="s">
        <v>884</v>
      </c>
      <c r="AG501" s="136">
        <v>27.6</v>
      </c>
      <c r="AH501" s="137">
        <v>10</v>
      </c>
      <c r="AI501" s="138">
        <v>50</v>
      </c>
      <c r="AK501" s="136">
        <v>27.39</v>
      </c>
      <c r="AL501" s="139">
        <v>18</v>
      </c>
      <c r="AM501" s="138" t="s">
        <v>884</v>
      </c>
      <c r="AO501" s="136">
        <v>50.15</v>
      </c>
      <c r="AP501" s="139">
        <v>3</v>
      </c>
      <c r="AQ501" s="138">
        <v>1</v>
      </c>
      <c r="AS501" s="136">
        <v>27.31</v>
      </c>
      <c r="AT501" s="139">
        <v>9</v>
      </c>
      <c r="AU501" s="138">
        <v>37</v>
      </c>
      <c r="AW501" s="136">
        <v>50.15</v>
      </c>
      <c r="AX501" s="139">
        <v>3</v>
      </c>
      <c r="AY501" s="138">
        <v>1</v>
      </c>
      <c r="BA501" s="136">
        <v>28.17</v>
      </c>
      <c r="BB501" s="139">
        <v>8</v>
      </c>
      <c r="BC501" s="138">
        <v>25</v>
      </c>
    </row>
    <row r="502" spans="5:55" x14ac:dyDescent="0.3">
      <c r="E502" s="166">
        <v>28.3</v>
      </c>
      <c r="F502" s="167">
        <v>6</v>
      </c>
      <c r="G502" s="155" t="s">
        <v>864</v>
      </c>
      <c r="I502" s="136">
        <v>50.2</v>
      </c>
      <c r="J502" s="139">
        <v>10</v>
      </c>
      <c r="K502" s="138">
        <v>50</v>
      </c>
      <c r="M502" s="136">
        <v>27.42</v>
      </c>
      <c r="N502" s="139">
        <v>10</v>
      </c>
      <c r="O502" s="138">
        <v>50</v>
      </c>
      <c r="Q502" s="136">
        <v>51.25</v>
      </c>
      <c r="R502" s="139">
        <v>4</v>
      </c>
      <c r="S502" s="138">
        <v>2</v>
      </c>
      <c r="U502" s="136">
        <v>27.51</v>
      </c>
      <c r="V502" s="139">
        <v>16</v>
      </c>
      <c r="W502" s="138">
        <v>98</v>
      </c>
      <c r="Y502" s="136">
        <v>27.3</v>
      </c>
      <c r="Z502" s="139">
        <v>9</v>
      </c>
      <c r="AA502" s="138">
        <v>37</v>
      </c>
      <c r="AC502" s="136">
        <v>27.55</v>
      </c>
      <c r="AD502" s="139">
        <v>19</v>
      </c>
      <c r="AE502" s="138" t="s">
        <v>884</v>
      </c>
      <c r="AG502" s="136">
        <v>27.62</v>
      </c>
      <c r="AH502" s="137">
        <v>11</v>
      </c>
      <c r="AI502" s="138">
        <v>63</v>
      </c>
      <c r="AK502" s="136">
        <v>27.4</v>
      </c>
      <c r="AL502" s="139">
        <v>19</v>
      </c>
      <c r="AM502" s="138" t="s">
        <v>884</v>
      </c>
      <c r="AO502" s="136">
        <v>50.16</v>
      </c>
      <c r="AP502" s="139">
        <v>4</v>
      </c>
      <c r="AQ502" s="138">
        <v>2</v>
      </c>
      <c r="AS502" s="136">
        <v>27.36</v>
      </c>
      <c r="AT502" s="139">
        <v>10</v>
      </c>
      <c r="AU502" s="138">
        <v>50</v>
      </c>
      <c r="AW502" s="136">
        <v>50.17</v>
      </c>
      <c r="AX502" s="139">
        <v>4</v>
      </c>
      <c r="AY502" s="138">
        <v>2</v>
      </c>
      <c r="BA502" s="136">
        <v>28.18</v>
      </c>
      <c r="BB502" s="139">
        <v>9</v>
      </c>
      <c r="BC502" s="138">
        <v>37</v>
      </c>
    </row>
    <row r="503" spans="5:55" x14ac:dyDescent="0.3">
      <c r="E503" s="166">
        <v>28.32</v>
      </c>
      <c r="F503" s="167">
        <v>7</v>
      </c>
      <c r="G503" s="155" t="s">
        <v>878</v>
      </c>
      <c r="I503" s="136">
        <v>50.22</v>
      </c>
      <c r="J503" s="139">
        <v>11</v>
      </c>
      <c r="K503" s="138">
        <v>63</v>
      </c>
      <c r="M503" s="136">
        <v>27.44</v>
      </c>
      <c r="N503" s="139">
        <v>11</v>
      </c>
      <c r="O503" s="138">
        <v>63</v>
      </c>
      <c r="Q503" s="136">
        <v>51.27</v>
      </c>
      <c r="R503" s="139">
        <v>5</v>
      </c>
      <c r="S503" s="138">
        <v>5</v>
      </c>
      <c r="U503" s="136">
        <v>27.54</v>
      </c>
      <c r="V503" s="139">
        <v>17</v>
      </c>
      <c r="W503" s="138">
        <v>99</v>
      </c>
      <c r="Y503" s="136">
        <v>27.31</v>
      </c>
      <c r="Z503" s="139">
        <v>10</v>
      </c>
      <c r="AA503" s="138">
        <v>50</v>
      </c>
      <c r="AC503" s="136">
        <v>28</v>
      </c>
      <c r="AD503" s="139">
        <v>1</v>
      </c>
      <c r="AE503" s="138" t="s">
        <v>883</v>
      </c>
      <c r="AG503" s="136">
        <v>27.64</v>
      </c>
      <c r="AH503" s="137">
        <v>12</v>
      </c>
      <c r="AI503" s="138">
        <v>75</v>
      </c>
      <c r="AK503" s="136">
        <v>28</v>
      </c>
      <c r="AL503" s="139">
        <v>1</v>
      </c>
      <c r="AM503" s="138" t="s">
        <v>883</v>
      </c>
      <c r="AO503" s="136">
        <v>50.17</v>
      </c>
      <c r="AP503" s="139">
        <v>5</v>
      </c>
      <c r="AQ503" s="138">
        <v>5</v>
      </c>
      <c r="AS503" s="136">
        <v>27.37</v>
      </c>
      <c r="AT503" s="139">
        <v>11</v>
      </c>
      <c r="AU503" s="138">
        <v>63</v>
      </c>
      <c r="AW503" s="136">
        <v>50.19</v>
      </c>
      <c r="AX503" s="139">
        <v>5</v>
      </c>
      <c r="AY503" s="138">
        <v>5</v>
      </c>
      <c r="BA503" s="136">
        <v>28.19</v>
      </c>
      <c r="BB503" s="139">
        <v>10</v>
      </c>
      <c r="BC503" s="138">
        <v>50</v>
      </c>
    </row>
    <row r="504" spans="5:55" x14ac:dyDescent="0.3">
      <c r="E504" s="166">
        <v>28.34</v>
      </c>
      <c r="F504" s="167">
        <v>8</v>
      </c>
      <c r="G504" s="155" t="s">
        <v>865</v>
      </c>
      <c r="I504" s="136">
        <v>50.24</v>
      </c>
      <c r="J504" s="139">
        <v>12</v>
      </c>
      <c r="K504" s="138">
        <v>75</v>
      </c>
      <c r="M504" s="136">
        <v>27.46</v>
      </c>
      <c r="N504" s="139">
        <v>12</v>
      </c>
      <c r="O504" s="138">
        <v>75</v>
      </c>
      <c r="Q504" s="136">
        <v>51.29</v>
      </c>
      <c r="R504" s="139">
        <v>6</v>
      </c>
      <c r="S504" s="138">
        <v>9</v>
      </c>
      <c r="U504" s="136">
        <v>27.57</v>
      </c>
      <c r="V504" s="139">
        <v>18</v>
      </c>
      <c r="W504" s="138" t="s">
        <v>884</v>
      </c>
      <c r="Y504" s="136">
        <v>27.32</v>
      </c>
      <c r="Z504" s="139">
        <v>11</v>
      </c>
      <c r="AA504" s="138">
        <v>63</v>
      </c>
      <c r="AC504" s="136">
        <v>28.19</v>
      </c>
      <c r="AD504" s="139">
        <v>2</v>
      </c>
      <c r="AE504" s="138" t="s">
        <v>883</v>
      </c>
      <c r="AG504" s="136">
        <v>27.66</v>
      </c>
      <c r="AH504" s="137">
        <v>13</v>
      </c>
      <c r="AI504" s="138">
        <v>85</v>
      </c>
      <c r="AK504" s="136">
        <v>28.23</v>
      </c>
      <c r="AL504" s="139">
        <v>2</v>
      </c>
      <c r="AM504" s="138" t="s">
        <v>883</v>
      </c>
      <c r="AO504" s="136">
        <v>50.19</v>
      </c>
      <c r="AP504" s="139">
        <v>6</v>
      </c>
      <c r="AQ504" s="138">
        <v>9</v>
      </c>
      <c r="AS504" s="136">
        <v>27.39</v>
      </c>
      <c r="AT504" s="139">
        <v>12</v>
      </c>
      <c r="AU504" s="138">
        <v>75</v>
      </c>
      <c r="AW504" s="136">
        <v>50.21</v>
      </c>
      <c r="AX504" s="139">
        <v>6</v>
      </c>
      <c r="AY504" s="138">
        <v>9</v>
      </c>
      <c r="BA504" s="136">
        <v>28.21</v>
      </c>
      <c r="BB504" s="139">
        <v>11</v>
      </c>
      <c r="BC504" s="138">
        <v>63</v>
      </c>
    </row>
    <row r="505" spans="5:55" x14ac:dyDescent="0.3">
      <c r="E505" s="166">
        <v>28.36</v>
      </c>
      <c r="F505" s="167">
        <v>9</v>
      </c>
      <c r="G505" s="155" t="s">
        <v>879</v>
      </c>
      <c r="I505" s="136">
        <v>50.26</v>
      </c>
      <c r="J505" s="139">
        <v>13</v>
      </c>
      <c r="K505" s="138">
        <v>85</v>
      </c>
      <c r="M505" s="136">
        <v>27.47</v>
      </c>
      <c r="N505" s="139">
        <v>13</v>
      </c>
      <c r="O505" s="138">
        <v>85</v>
      </c>
      <c r="Q505" s="136">
        <v>51.3</v>
      </c>
      <c r="R505" s="139">
        <v>7</v>
      </c>
      <c r="S505" s="138">
        <v>16</v>
      </c>
      <c r="U505" s="136">
        <v>27.62</v>
      </c>
      <c r="V505" s="139">
        <v>19</v>
      </c>
      <c r="W505" s="138" t="s">
        <v>884</v>
      </c>
      <c r="Y505" s="136">
        <v>27.33</v>
      </c>
      <c r="Z505" s="139">
        <v>12</v>
      </c>
      <c r="AA505" s="138">
        <v>75</v>
      </c>
      <c r="AC505" s="136">
        <v>28.21</v>
      </c>
      <c r="AD505" s="139">
        <v>3</v>
      </c>
      <c r="AE505" s="138">
        <v>1</v>
      </c>
      <c r="AG505" s="136">
        <v>27.67</v>
      </c>
      <c r="AH505" s="137">
        <v>14</v>
      </c>
      <c r="AI505" s="138">
        <v>91</v>
      </c>
      <c r="AK505" s="136">
        <v>28.24</v>
      </c>
      <c r="AL505" s="139">
        <v>3</v>
      </c>
      <c r="AM505" s="138">
        <v>1</v>
      </c>
      <c r="AO505" s="136">
        <v>50.2</v>
      </c>
      <c r="AP505" s="139">
        <v>7</v>
      </c>
      <c r="AQ505" s="138">
        <v>16</v>
      </c>
      <c r="AS505" s="136">
        <v>27.4</v>
      </c>
      <c r="AT505" s="139">
        <v>13</v>
      </c>
      <c r="AU505" s="138">
        <v>85</v>
      </c>
      <c r="AW505" s="136">
        <v>50.23</v>
      </c>
      <c r="AX505" s="139">
        <v>7</v>
      </c>
      <c r="AY505" s="138">
        <v>16</v>
      </c>
      <c r="BA505" s="136">
        <v>28.22</v>
      </c>
      <c r="BB505" s="139">
        <v>12</v>
      </c>
      <c r="BC505" s="138">
        <v>75</v>
      </c>
    </row>
    <row r="506" spans="5:55" x14ac:dyDescent="0.3">
      <c r="E506" s="166">
        <v>28.38</v>
      </c>
      <c r="F506" s="167">
        <v>10</v>
      </c>
      <c r="G506" s="155" t="s">
        <v>866</v>
      </c>
      <c r="I506" s="136">
        <v>50.28</v>
      </c>
      <c r="J506" s="139">
        <v>14</v>
      </c>
      <c r="K506" s="138">
        <v>91</v>
      </c>
      <c r="M506" s="136">
        <v>27.48</v>
      </c>
      <c r="N506" s="139">
        <v>14</v>
      </c>
      <c r="O506" s="138">
        <v>91</v>
      </c>
      <c r="Q506" s="136">
        <v>51.31</v>
      </c>
      <c r="R506" s="139">
        <v>8</v>
      </c>
      <c r="S506" s="138">
        <v>25</v>
      </c>
      <c r="U506" s="136">
        <v>28</v>
      </c>
      <c r="V506" s="139">
        <v>1</v>
      </c>
      <c r="W506" s="138" t="s">
        <v>883</v>
      </c>
      <c r="Y506" s="136">
        <v>27.35</v>
      </c>
      <c r="Z506" s="139">
        <v>13</v>
      </c>
      <c r="AA506" s="138">
        <v>85</v>
      </c>
      <c r="AC506" s="136">
        <v>28.23</v>
      </c>
      <c r="AD506" s="139">
        <v>4</v>
      </c>
      <c r="AE506" s="138">
        <v>2</v>
      </c>
      <c r="AG506" s="136">
        <v>27.69</v>
      </c>
      <c r="AH506" s="137">
        <v>15</v>
      </c>
      <c r="AI506" s="138">
        <v>95</v>
      </c>
      <c r="AK506" s="136">
        <v>28.25</v>
      </c>
      <c r="AL506" s="139">
        <v>4</v>
      </c>
      <c r="AM506" s="138">
        <v>2</v>
      </c>
      <c r="AO506" s="136">
        <v>50.21</v>
      </c>
      <c r="AP506" s="139">
        <v>8</v>
      </c>
      <c r="AQ506" s="138">
        <v>25</v>
      </c>
      <c r="AS506" s="136">
        <v>27.42</v>
      </c>
      <c r="AT506" s="139">
        <v>14</v>
      </c>
      <c r="AU506" s="138">
        <v>91</v>
      </c>
      <c r="AW506" s="136">
        <v>50.25</v>
      </c>
      <c r="AX506" s="139">
        <v>8</v>
      </c>
      <c r="AY506" s="138">
        <v>25</v>
      </c>
      <c r="BA506" s="136">
        <v>28.23</v>
      </c>
      <c r="BB506" s="139">
        <v>13</v>
      </c>
      <c r="BC506" s="138">
        <v>85</v>
      </c>
    </row>
    <row r="507" spans="5:55" x14ac:dyDescent="0.3">
      <c r="E507" s="166">
        <v>28.4</v>
      </c>
      <c r="F507" s="167">
        <v>11</v>
      </c>
      <c r="G507" s="155" t="s">
        <v>867</v>
      </c>
      <c r="I507" s="136">
        <v>50.3</v>
      </c>
      <c r="J507" s="139">
        <v>15</v>
      </c>
      <c r="K507" s="138">
        <v>95</v>
      </c>
      <c r="M507" s="136">
        <v>27.49</v>
      </c>
      <c r="N507" s="139">
        <v>15</v>
      </c>
      <c r="O507" s="138">
        <v>95</v>
      </c>
      <c r="Q507" s="136">
        <v>51.33</v>
      </c>
      <c r="R507" s="139">
        <v>9</v>
      </c>
      <c r="S507" s="138">
        <v>37</v>
      </c>
      <c r="U507" s="136">
        <v>28.11</v>
      </c>
      <c r="V507" s="139">
        <v>2</v>
      </c>
      <c r="W507" s="138" t="s">
        <v>883</v>
      </c>
      <c r="Y507" s="136">
        <v>27.36</v>
      </c>
      <c r="Z507" s="139">
        <v>14</v>
      </c>
      <c r="AA507" s="138">
        <v>91</v>
      </c>
      <c r="AC507" s="136">
        <v>28.25</v>
      </c>
      <c r="AD507" s="139">
        <v>5</v>
      </c>
      <c r="AE507" s="138">
        <v>5</v>
      </c>
      <c r="AG507" s="136">
        <v>27.71</v>
      </c>
      <c r="AH507" s="137">
        <v>16</v>
      </c>
      <c r="AI507" s="138">
        <v>98</v>
      </c>
      <c r="AK507" s="136">
        <v>28.26</v>
      </c>
      <c r="AL507" s="139">
        <v>5</v>
      </c>
      <c r="AM507" s="138">
        <v>5</v>
      </c>
      <c r="AO507" s="136">
        <v>50.22</v>
      </c>
      <c r="AP507" s="139">
        <v>9</v>
      </c>
      <c r="AQ507" s="138">
        <v>37</v>
      </c>
      <c r="AS507" s="136">
        <v>27.43</v>
      </c>
      <c r="AT507" s="139">
        <v>15</v>
      </c>
      <c r="AU507" s="138">
        <v>95</v>
      </c>
      <c r="AW507" s="136">
        <v>50.27</v>
      </c>
      <c r="AX507" s="139">
        <v>9</v>
      </c>
      <c r="AY507" s="138">
        <v>37</v>
      </c>
      <c r="BA507" s="136">
        <v>28.24</v>
      </c>
      <c r="BB507" s="139">
        <v>14</v>
      </c>
      <c r="BC507" s="138">
        <v>91</v>
      </c>
    </row>
    <row r="508" spans="5:55" x14ac:dyDescent="0.3">
      <c r="E508" s="166">
        <v>28.42</v>
      </c>
      <c r="F508" s="167">
        <v>12</v>
      </c>
      <c r="G508" s="155" t="s">
        <v>868</v>
      </c>
      <c r="I508" s="136">
        <v>50.32</v>
      </c>
      <c r="J508" s="139">
        <v>16</v>
      </c>
      <c r="K508" s="138">
        <v>98</v>
      </c>
      <c r="M508" s="136">
        <v>27.51</v>
      </c>
      <c r="N508" s="139">
        <v>16</v>
      </c>
      <c r="O508" s="138">
        <v>98</v>
      </c>
      <c r="Q508" s="136">
        <v>51.35</v>
      </c>
      <c r="R508" s="139">
        <v>10</v>
      </c>
      <c r="S508" s="138">
        <v>50</v>
      </c>
      <c r="U508" s="136">
        <v>28.14</v>
      </c>
      <c r="V508" s="139">
        <v>3</v>
      </c>
      <c r="W508" s="138">
        <v>1</v>
      </c>
      <c r="Y508" s="136">
        <v>27.37</v>
      </c>
      <c r="Z508" s="139">
        <v>15</v>
      </c>
      <c r="AA508" s="138">
        <v>95</v>
      </c>
      <c r="AC508" s="136">
        <v>28.27</v>
      </c>
      <c r="AD508" s="139">
        <v>6</v>
      </c>
      <c r="AE508" s="138">
        <v>9</v>
      </c>
      <c r="AG508" s="136">
        <v>27.73</v>
      </c>
      <c r="AH508" s="137">
        <v>17</v>
      </c>
      <c r="AI508" s="138">
        <v>99</v>
      </c>
      <c r="AK508" s="136">
        <v>28.27</v>
      </c>
      <c r="AL508" s="139">
        <v>6</v>
      </c>
      <c r="AM508" s="138">
        <v>9</v>
      </c>
      <c r="AO508" s="136">
        <v>50.23</v>
      </c>
      <c r="AP508" s="139">
        <v>10</v>
      </c>
      <c r="AQ508" s="138">
        <v>50</v>
      </c>
      <c r="AS508" s="136">
        <v>27.45</v>
      </c>
      <c r="AT508" s="139">
        <v>16</v>
      </c>
      <c r="AU508" s="138">
        <v>98</v>
      </c>
      <c r="AW508" s="136">
        <v>50.29</v>
      </c>
      <c r="AX508" s="139">
        <v>10</v>
      </c>
      <c r="AY508" s="138">
        <v>50</v>
      </c>
      <c r="BA508" s="136">
        <v>28.25</v>
      </c>
      <c r="BB508" s="139">
        <v>15</v>
      </c>
      <c r="BC508" s="138">
        <v>95</v>
      </c>
    </row>
    <row r="509" spans="5:55" x14ac:dyDescent="0.3">
      <c r="E509" s="166">
        <v>28.44</v>
      </c>
      <c r="F509" s="167">
        <v>13</v>
      </c>
      <c r="G509" s="155" t="s">
        <v>869</v>
      </c>
      <c r="I509" s="136">
        <v>50.34</v>
      </c>
      <c r="J509" s="139">
        <v>17</v>
      </c>
      <c r="K509" s="138">
        <v>99</v>
      </c>
      <c r="M509" s="136">
        <v>27.52</v>
      </c>
      <c r="N509" s="139">
        <v>17</v>
      </c>
      <c r="O509" s="138">
        <v>99</v>
      </c>
      <c r="Q509" s="136">
        <v>51.37</v>
      </c>
      <c r="R509" s="139">
        <v>11</v>
      </c>
      <c r="S509" s="138">
        <v>63</v>
      </c>
      <c r="U509" s="136">
        <v>28.16</v>
      </c>
      <c r="V509" s="139">
        <v>4</v>
      </c>
      <c r="W509" s="138">
        <v>2</v>
      </c>
      <c r="Y509" s="136">
        <v>27.38</v>
      </c>
      <c r="Z509" s="139">
        <v>16</v>
      </c>
      <c r="AA509" s="138">
        <v>98</v>
      </c>
      <c r="AC509" s="136">
        <v>28.28</v>
      </c>
      <c r="AD509" s="139">
        <v>7</v>
      </c>
      <c r="AE509" s="138">
        <v>16</v>
      </c>
      <c r="AG509" s="136">
        <v>27.75</v>
      </c>
      <c r="AH509" s="137">
        <v>18</v>
      </c>
      <c r="AI509" s="138" t="s">
        <v>884</v>
      </c>
      <c r="AK509" s="136">
        <v>28.28</v>
      </c>
      <c r="AL509" s="139">
        <v>7</v>
      </c>
      <c r="AM509" s="138">
        <v>16</v>
      </c>
      <c r="AO509" s="136">
        <v>50.24</v>
      </c>
      <c r="AP509" s="139">
        <v>11</v>
      </c>
      <c r="AQ509" s="138">
        <v>63</v>
      </c>
      <c r="AS509" s="136">
        <v>27.46</v>
      </c>
      <c r="AT509" s="139">
        <v>17</v>
      </c>
      <c r="AU509" s="138">
        <v>99</v>
      </c>
      <c r="AW509" s="136">
        <v>50.32</v>
      </c>
      <c r="AX509" s="139">
        <v>11</v>
      </c>
      <c r="AY509" s="138">
        <v>63</v>
      </c>
      <c r="BA509" s="136">
        <v>28.27</v>
      </c>
      <c r="BB509" s="139">
        <v>16</v>
      </c>
      <c r="BC509" s="138">
        <v>98</v>
      </c>
    </row>
    <row r="510" spans="5:55" x14ac:dyDescent="0.3">
      <c r="E510" s="166">
        <v>28.46</v>
      </c>
      <c r="F510" s="167">
        <v>14</v>
      </c>
      <c r="G510" s="155" t="s">
        <v>870</v>
      </c>
      <c r="I510" s="136">
        <v>50.36</v>
      </c>
      <c r="J510" s="139">
        <v>18</v>
      </c>
      <c r="K510" s="138" t="s">
        <v>884</v>
      </c>
      <c r="M510" s="136">
        <v>27.54</v>
      </c>
      <c r="N510" s="139">
        <v>18</v>
      </c>
      <c r="O510" s="138" t="s">
        <v>884</v>
      </c>
      <c r="Q510" s="136">
        <v>51.38</v>
      </c>
      <c r="R510" s="139">
        <v>12</v>
      </c>
      <c r="S510" s="138">
        <v>75</v>
      </c>
      <c r="U510" s="136">
        <v>28.2</v>
      </c>
      <c r="V510" s="139">
        <v>5</v>
      </c>
      <c r="W510" s="138">
        <v>5</v>
      </c>
      <c r="Y510" s="136">
        <v>27.4</v>
      </c>
      <c r="Z510" s="139">
        <v>17</v>
      </c>
      <c r="AA510" s="138">
        <v>99</v>
      </c>
      <c r="AC510" s="136">
        <v>28.3</v>
      </c>
      <c r="AD510" s="139">
        <v>8</v>
      </c>
      <c r="AE510" s="138">
        <v>25</v>
      </c>
      <c r="AG510" s="136">
        <v>27.76</v>
      </c>
      <c r="AH510" s="137">
        <v>19</v>
      </c>
      <c r="AI510" s="138" t="s">
        <v>884</v>
      </c>
      <c r="AK510" s="136">
        <v>28.29</v>
      </c>
      <c r="AL510" s="139">
        <v>8</v>
      </c>
      <c r="AM510" s="138">
        <v>25</v>
      </c>
      <c r="AO510" s="136">
        <v>50.25</v>
      </c>
      <c r="AP510" s="139">
        <v>12</v>
      </c>
      <c r="AQ510" s="138">
        <v>75</v>
      </c>
      <c r="AS510" s="136">
        <v>27.48</v>
      </c>
      <c r="AT510" s="139">
        <v>18</v>
      </c>
      <c r="AU510" s="138" t="s">
        <v>884</v>
      </c>
      <c r="AW510" s="136">
        <v>50.34</v>
      </c>
      <c r="AX510" s="139">
        <v>12</v>
      </c>
      <c r="AY510" s="138">
        <v>75</v>
      </c>
      <c r="BA510" s="136">
        <v>28.28</v>
      </c>
      <c r="BB510" s="139">
        <v>17</v>
      </c>
      <c r="BC510" s="138">
        <v>99</v>
      </c>
    </row>
    <row r="511" spans="5:55" x14ac:dyDescent="0.3">
      <c r="E511" s="166">
        <v>28.48</v>
      </c>
      <c r="F511" s="167">
        <v>15</v>
      </c>
      <c r="G511" s="155" t="s">
        <v>871</v>
      </c>
      <c r="I511" s="136">
        <v>50.38</v>
      </c>
      <c r="J511" s="139">
        <v>19</v>
      </c>
      <c r="K511" s="138" t="s">
        <v>884</v>
      </c>
      <c r="M511" s="136">
        <v>27.55</v>
      </c>
      <c r="N511" s="139">
        <v>19</v>
      </c>
      <c r="O511" s="138" t="s">
        <v>884</v>
      </c>
      <c r="Q511" s="136">
        <v>51.39</v>
      </c>
      <c r="R511" s="139">
        <v>13</v>
      </c>
      <c r="S511" s="138">
        <v>85</v>
      </c>
      <c r="U511" s="136">
        <v>28.23</v>
      </c>
      <c r="V511" s="139">
        <v>6</v>
      </c>
      <c r="W511" s="138">
        <v>9</v>
      </c>
      <c r="Y511" s="136">
        <v>27.41</v>
      </c>
      <c r="Z511" s="139">
        <v>18</v>
      </c>
      <c r="AA511" s="138" t="s">
        <v>884</v>
      </c>
      <c r="AC511" s="136">
        <v>28.32</v>
      </c>
      <c r="AD511" s="139">
        <v>9</v>
      </c>
      <c r="AE511" s="138">
        <v>37</v>
      </c>
      <c r="AG511" s="136">
        <v>28</v>
      </c>
      <c r="AH511" s="137">
        <v>1</v>
      </c>
      <c r="AI511" s="138" t="s">
        <v>883</v>
      </c>
      <c r="AK511" s="136">
        <v>28.3</v>
      </c>
      <c r="AL511" s="139">
        <v>9</v>
      </c>
      <c r="AM511" s="138">
        <v>37</v>
      </c>
      <c r="AO511" s="136">
        <v>50.26</v>
      </c>
      <c r="AP511" s="139">
        <v>13</v>
      </c>
      <c r="AQ511" s="138">
        <v>85</v>
      </c>
      <c r="AS511" s="136">
        <v>27.5</v>
      </c>
      <c r="AT511" s="139">
        <v>19</v>
      </c>
      <c r="AU511" s="138" t="s">
        <v>884</v>
      </c>
      <c r="AW511" s="136">
        <v>50.36</v>
      </c>
      <c r="AX511" s="139">
        <v>13</v>
      </c>
      <c r="AY511" s="138">
        <v>85</v>
      </c>
      <c r="BA511" s="136">
        <v>28.29</v>
      </c>
      <c r="BB511" s="139">
        <v>18</v>
      </c>
      <c r="BC511" s="138" t="s">
        <v>884</v>
      </c>
    </row>
    <row r="512" spans="5:55" x14ac:dyDescent="0.3">
      <c r="E512" s="166">
        <v>28.5</v>
      </c>
      <c r="F512" s="167">
        <v>16</v>
      </c>
      <c r="G512" s="155" t="s">
        <v>872</v>
      </c>
      <c r="I512" s="136">
        <v>51</v>
      </c>
      <c r="J512" s="139">
        <v>1</v>
      </c>
      <c r="K512" s="138" t="s">
        <v>883</v>
      </c>
      <c r="M512" s="136">
        <v>28</v>
      </c>
      <c r="N512" s="139">
        <v>1</v>
      </c>
      <c r="O512" s="138" t="s">
        <v>883</v>
      </c>
      <c r="Q512" s="136">
        <v>51.41</v>
      </c>
      <c r="R512" s="139">
        <v>14</v>
      </c>
      <c r="S512" s="138">
        <v>91</v>
      </c>
      <c r="U512" s="136">
        <v>28.26</v>
      </c>
      <c r="V512" s="139">
        <v>7</v>
      </c>
      <c r="W512" s="138">
        <v>16</v>
      </c>
      <c r="Y512" s="136">
        <v>27.42</v>
      </c>
      <c r="Z512" s="139">
        <v>19</v>
      </c>
      <c r="AA512" s="138" t="s">
        <v>884</v>
      </c>
      <c r="AC512" s="136">
        <v>28.35</v>
      </c>
      <c r="AD512" s="139">
        <v>10</v>
      </c>
      <c r="AE512" s="138">
        <v>50</v>
      </c>
      <c r="AG512" s="136">
        <v>28.44</v>
      </c>
      <c r="AH512" s="137">
        <v>2</v>
      </c>
      <c r="AI512" s="138" t="s">
        <v>883</v>
      </c>
      <c r="AK512" s="136">
        <v>28.31</v>
      </c>
      <c r="AL512" s="139">
        <v>10</v>
      </c>
      <c r="AM512" s="138">
        <v>50</v>
      </c>
      <c r="AO512" s="136">
        <v>50.27</v>
      </c>
      <c r="AP512" s="139">
        <v>14</v>
      </c>
      <c r="AQ512" s="138">
        <v>91</v>
      </c>
      <c r="AS512" s="136">
        <v>28</v>
      </c>
      <c r="AT512" s="139">
        <v>1</v>
      </c>
      <c r="AU512" s="138" t="s">
        <v>883</v>
      </c>
      <c r="AW512" s="136">
        <v>50.38</v>
      </c>
      <c r="AX512" s="139">
        <v>14</v>
      </c>
      <c r="AY512" s="138">
        <v>91</v>
      </c>
      <c r="BA512" s="136">
        <v>28.31</v>
      </c>
      <c r="BB512" s="139">
        <v>19</v>
      </c>
      <c r="BC512" s="138" t="s">
        <v>884</v>
      </c>
    </row>
    <row r="513" spans="5:55" x14ac:dyDescent="0.3">
      <c r="E513" s="166">
        <v>28.52</v>
      </c>
      <c r="F513" s="167">
        <v>17</v>
      </c>
      <c r="G513" s="155" t="s">
        <v>873</v>
      </c>
      <c r="I513" s="136">
        <v>51.06</v>
      </c>
      <c r="J513" s="139">
        <v>2</v>
      </c>
      <c r="K513" s="138" t="s">
        <v>883</v>
      </c>
      <c r="M513" s="136">
        <v>28.23</v>
      </c>
      <c r="N513" s="139">
        <v>2</v>
      </c>
      <c r="O513" s="138" t="s">
        <v>883</v>
      </c>
      <c r="Q513" s="136">
        <v>51.42</v>
      </c>
      <c r="R513" s="139">
        <v>15</v>
      </c>
      <c r="S513" s="138">
        <v>95</v>
      </c>
      <c r="U513" s="136">
        <v>28.28</v>
      </c>
      <c r="V513" s="139">
        <v>8</v>
      </c>
      <c r="W513" s="138">
        <v>25</v>
      </c>
      <c r="Y513" s="136">
        <v>28</v>
      </c>
      <c r="Z513" s="139">
        <v>1</v>
      </c>
      <c r="AA513" s="138" t="s">
        <v>883</v>
      </c>
      <c r="AC513" s="136">
        <v>28.37</v>
      </c>
      <c r="AD513" s="139">
        <v>11</v>
      </c>
      <c r="AE513" s="138">
        <v>63</v>
      </c>
      <c r="AG513" s="136">
        <v>28.48</v>
      </c>
      <c r="AH513" s="137">
        <v>3</v>
      </c>
      <c r="AI513" s="138">
        <v>1</v>
      </c>
      <c r="AK513" s="136">
        <v>28.32</v>
      </c>
      <c r="AL513" s="139">
        <v>11</v>
      </c>
      <c r="AM513" s="138">
        <v>63</v>
      </c>
      <c r="AO513" s="136">
        <v>50.29</v>
      </c>
      <c r="AP513" s="139">
        <v>15</v>
      </c>
      <c r="AQ513" s="138">
        <v>95</v>
      </c>
      <c r="AS513" s="136">
        <v>28.23</v>
      </c>
      <c r="AT513" s="139">
        <v>2</v>
      </c>
      <c r="AU513" s="138" t="s">
        <v>883</v>
      </c>
      <c r="AW513" s="136">
        <v>50.4</v>
      </c>
      <c r="AX513" s="139">
        <v>15</v>
      </c>
      <c r="AY513" s="138">
        <v>95</v>
      </c>
      <c r="BA513" s="136">
        <v>29</v>
      </c>
      <c r="BB513" s="139">
        <v>1</v>
      </c>
      <c r="BC513" s="138" t="s">
        <v>883</v>
      </c>
    </row>
    <row r="514" spans="5:55" x14ac:dyDescent="0.3">
      <c r="E514" s="166">
        <v>28.54</v>
      </c>
      <c r="F514" s="167">
        <v>18</v>
      </c>
      <c r="G514" s="155" t="s">
        <v>874</v>
      </c>
      <c r="I514" s="136">
        <v>51.11</v>
      </c>
      <c r="J514" s="139">
        <v>3</v>
      </c>
      <c r="K514" s="138">
        <v>1</v>
      </c>
      <c r="M514" s="136">
        <v>28.28</v>
      </c>
      <c r="N514" s="139">
        <v>3</v>
      </c>
      <c r="O514" s="138">
        <v>1</v>
      </c>
      <c r="Q514" s="136">
        <v>51.43</v>
      </c>
      <c r="R514" s="139">
        <v>16</v>
      </c>
      <c r="S514" s="138">
        <v>98</v>
      </c>
      <c r="U514" s="136">
        <v>28.31</v>
      </c>
      <c r="V514" s="139">
        <v>9</v>
      </c>
      <c r="W514" s="138">
        <v>37</v>
      </c>
      <c r="Y514" s="136">
        <v>28.22</v>
      </c>
      <c r="Z514" s="139">
        <v>2</v>
      </c>
      <c r="AA514" s="138" t="s">
        <v>883</v>
      </c>
      <c r="AC514" s="136">
        <v>28.39</v>
      </c>
      <c r="AD514" s="139">
        <v>12</v>
      </c>
      <c r="AE514" s="138">
        <v>75</v>
      </c>
      <c r="AG514" s="136">
        <v>28.49</v>
      </c>
      <c r="AH514" s="137">
        <v>4</v>
      </c>
      <c r="AI514" s="138">
        <v>2</v>
      </c>
      <c r="AK514" s="136">
        <v>28.33</v>
      </c>
      <c r="AL514" s="139">
        <v>12</v>
      </c>
      <c r="AM514" s="138">
        <v>75</v>
      </c>
      <c r="AO514" s="136">
        <v>50.3</v>
      </c>
      <c r="AP514" s="139">
        <v>16</v>
      </c>
      <c r="AQ514" s="138">
        <v>98</v>
      </c>
      <c r="AS514" s="136">
        <v>28.25</v>
      </c>
      <c r="AT514" s="139">
        <v>3</v>
      </c>
      <c r="AU514" s="138">
        <v>1</v>
      </c>
      <c r="AW514" s="136">
        <v>50.42</v>
      </c>
      <c r="AX514" s="139">
        <v>16</v>
      </c>
      <c r="AY514" s="138">
        <v>98</v>
      </c>
      <c r="BA514" s="136">
        <v>29.09</v>
      </c>
      <c r="BB514" s="139">
        <v>2</v>
      </c>
      <c r="BC514" s="138" t="s">
        <v>883</v>
      </c>
    </row>
    <row r="515" spans="5:55" x14ac:dyDescent="0.3">
      <c r="E515" s="166">
        <v>28.57</v>
      </c>
      <c r="F515" s="167">
        <v>19</v>
      </c>
      <c r="G515" s="155" t="s">
        <v>874</v>
      </c>
      <c r="I515" s="136">
        <v>51.12</v>
      </c>
      <c r="J515" s="139">
        <v>4</v>
      </c>
      <c r="K515" s="138">
        <v>2</v>
      </c>
      <c r="M515" s="136">
        <v>28.31</v>
      </c>
      <c r="N515" s="139">
        <v>4</v>
      </c>
      <c r="O515" s="138">
        <v>2</v>
      </c>
      <c r="Q515" s="136">
        <v>51.45</v>
      </c>
      <c r="R515" s="139">
        <v>17</v>
      </c>
      <c r="S515" s="138">
        <v>99</v>
      </c>
      <c r="U515" s="136">
        <v>28.34</v>
      </c>
      <c r="V515" s="139">
        <v>10</v>
      </c>
      <c r="W515" s="138">
        <v>50</v>
      </c>
      <c r="Y515" s="136">
        <v>28.23</v>
      </c>
      <c r="Z515" s="139">
        <v>3</v>
      </c>
      <c r="AA515" s="138">
        <v>1</v>
      </c>
      <c r="AC515" s="136">
        <v>28.41</v>
      </c>
      <c r="AD515" s="139">
        <v>13</v>
      </c>
      <c r="AE515" s="138">
        <v>85</v>
      </c>
      <c r="AG515" s="136">
        <v>28.51</v>
      </c>
      <c r="AH515" s="137">
        <v>5</v>
      </c>
      <c r="AI515" s="138">
        <v>5</v>
      </c>
      <c r="AK515" s="136">
        <v>28.34</v>
      </c>
      <c r="AL515" s="139">
        <v>13</v>
      </c>
      <c r="AM515" s="138">
        <v>85</v>
      </c>
      <c r="AO515" s="136">
        <v>50.32</v>
      </c>
      <c r="AP515" s="139">
        <v>17</v>
      </c>
      <c r="AQ515" s="138">
        <v>99</v>
      </c>
      <c r="AS515" s="136">
        <v>28.27</v>
      </c>
      <c r="AT515" s="139">
        <v>4</v>
      </c>
      <c r="AU515" s="138">
        <v>2</v>
      </c>
      <c r="AW515" s="136">
        <v>50.44</v>
      </c>
      <c r="AX515" s="139">
        <v>17</v>
      </c>
      <c r="AY515" s="138">
        <v>99</v>
      </c>
      <c r="BA515" s="136">
        <v>29.12</v>
      </c>
      <c r="BB515" s="139">
        <v>3</v>
      </c>
      <c r="BC515" s="138">
        <v>1</v>
      </c>
    </row>
    <row r="516" spans="5:55" x14ac:dyDescent="0.3">
      <c r="E516" s="166">
        <v>29</v>
      </c>
      <c r="F516" s="167">
        <v>1</v>
      </c>
      <c r="G516" s="155" t="s">
        <v>862</v>
      </c>
      <c r="I516" s="136">
        <v>51.14</v>
      </c>
      <c r="J516" s="139">
        <v>5</v>
      </c>
      <c r="K516" s="138">
        <v>5</v>
      </c>
      <c r="M516" s="136">
        <v>28.33</v>
      </c>
      <c r="N516" s="139">
        <v>5</v>
      </c>
      <c r="O516" s="138">
        <v>5</v>
      </c>
      <c r="Q516" s="136">
        <v>51.46</v>
      </c>
      <c r="R516" s="139">
        <v>18</v>
      </c>
      <c r="S516" s="138" t="s">
        <v>884</v>
      </c>
      <c r="U516" s="136">
        <v>28.37</v>
      </c>
      <c r="V516" s="139">
        <v>11</v>
      </c>
      <c r="W516" s="138">
        <v>63</v>
      </c>
      <c r="Y516" s="136">
        <v>28.24</v>
      </c>
      <c r="Z516" s="139">
        <v>4</v>
      </c>
      <c r="AA516" s="138">
        <v>2</v>
      </c>
      <c r="AC516" s="136">
        <v>28.43</v>
      </c>
      <c r="AD516" s="139">
        <v>14</v>
      </c>
      <c r="AE516" s="138">
        <v>91</v>
      </c>
      <c r="AG516" s="136">
        <v>28.53</v>
      </c>
      <c r="AH516" s="137">
        <v>6</v>
      </c>
      <c r="AI516" s="138">
        <v>9</v>
      </c>
      <c r="AK516" s="136">
        <v>28.35</v>
      </c>
      <c r="AL516" s="139">
        <v>14</v>
      </c>
      <c r="AM516" s="138">
        <v>91</v>
      </c>
      <c r="AO516" s="136">
        <v>50.33</v>
      </c>
      <c r="AP516" s="139">
        <v>18</v>
      </c>
      <c r="AQ516" s="138" t="s">
        <v>884</v>
      </c>
      <c r="AS516" s="136">
        <v>28.28</v>
      </c>
      <c r="AT516" s="139">
        <v>5</v>
      </c>
      <c r="AU516" s="138">
        <v>5</v>
      </c>
      <c r="AW516" s="136">
        <v>50.46</v>
      </c>
      <c r="AX516" s="139">
        <v>18</v>
      </c>
      <c r="AY516" s="138" t="s">
        <v>884</v>
      </c>
      <c r="BA516" s="136">
        <v>29.13</v>
      </c>
      <c r="BB516" s="139">
        <v>4</v>
      </c>
      <c r="BC516" s="138">
        <v>2</v>
      </c>
    </row>
    <row r="517" spans="5:55" x14ac:dyDescent="0.3">
      <c r="E517" s="166">
        <v>29.22</v>
      </c>
      <c r="F517" s="167">
        <v>2</v>
      </c>
      <c r="G517" s="155" t="s">
        <v>862</v>
      </c>
      <c r="I517" s="136">
        <v>51.15</v>
      </c>
      <c r="J517" s="139">
        <v>6</v>
      </c>
      <c r="K517" s="138">
        <v>9</v>
      </c>
      <c r="M517" s="136">
        <v>28.35</v>
      </c>
      <c r="N517" s="139">
        <v>6</v>
      </c>
      <c r="O517" s="138">
        <v>9</v>
      </c>
      <c r="Q517" s="136">
        <v>51.48</v>
      </c>
      <c r="R517" s="139">
        <v>19</v>
      </c>
      <c r="S517" s="138" t="s">
        <v>884</v>
      </c>
      <c r="U517" s="136">
        <v>28.4</v>
      </c>
      <c r="V517" s="139">
        <v>12</v>
      </c>
      <c r="W517" s="138">
        <v>75</v>
      </c>
      <c r="Y517" s="136">
        <v>28.26</v>
      </c>
      <c r="Z517" s="139">
        <v>5</v>
      </c>
      <c r="AA517" s="138">
        <v>5</v>
      </c>
      <c r="AC517" s="136">
        <v>28.45</v>
      </c>
      <c r="AD517" s="139">
        <v>15</v>
      </c>
      <c r="AE517" s="138">
        <v>95</v>
      </c>
      <c r="AG517" s="136">
        <v>28.55</v>
      </c>
      <c r="AH517" s="137">
        <v>7</v>
      </c>
      <c r="AI517" s="138">
        <v>16</v>
      </c>
      <c r="AK517" s="136">
        <v>28.36</v>
      </c>
      <c r="AL517" s="139">
        <v>15</v>
      </c>
      <c r="AM517" s="138">
        <v>95</v>
      </c>
      <c r="AO517" s="136">
        <v>50.36</v>
      </c>
      <c r="AP517" s="139">
        <v>19</v>
      </c>
      <c r="AQ517" s="138" t="s">
        <v>884</v>
      </c>
      <c r="AS517" s="136">
        <v>28.3</v>
      </c>
      <c r="AT517" s="139">
        <v>6</v>
      </c>
      <c r="AU517" s="138">
        <v>9</v>
      </c>
      <c r="AW517" s="136">
        <v>50.51</v>
      </c>
      <c r="AX517" s="139">
        <v>19</v>
      </c>
      <c r="AY517" s="138" t="s">
        <v>884</v>
      </c>
      <c r="BA517" s="136">
        <v>29.14</v>
      </c>
      <c r="BB517" s="139">
        <v>5</v>
      </c>
      <c r="BC517" s="138">
        <v>5</v>
      </c>
    </row>
    <row r="518" spans="5:55" x14ac:dyDescent="0.3">
      <c r="E518" s="166">
        <v>29.24</v>
      </c>
      <c r="F518" s="167">
        <v>3</v>
      </c>
      <c r="G518" s="155" t="s">
        <v>876</v>
      </c>
      <c r="I518" s="136">
        <v>51.17</v>
      </c>
      <c r="J518" s="139">
        <v>7</v>
      </c>
      <c r="K518" s="138">
        <v>16</v>
      </c>
      <c r="M518" s="136">
        <v>28.37</v>
      </c>
      <c r="N518" s="139">
        <v>7</v>
      </c>
      <c r="O518" s="138">
        <v>16</v>
      </c>
      <c r="Q518" s="136">
        <v>52</v>
      </c>
      <c r="R518" s="139">
        <v>1</v>
      </c>
      <c r="S518" s="138" t="s">
        <v>883</v>
      </c>
      <c r="U518" s="136">
        <v>28.43</v>
      </c>
      <c r="V518" s="139">
        <v>13</v>
      </c>
      <c r="W518" s="138">
        <v>85</v>
      </c>
      <c r="Y518" s="136">
        <v>28.27</v>
      </c>
      <c r="Z518" s="139">
        <v>6</v>
      </c>
      <c r="AA518" s="138">
        <v>9</v>
      </c>
      <c r="AC518" s="136">
        <v>28.47</v>
      </c>
      <c r="AD518" s="139">
        <v>16</v>
      </c>
      <c r="AE518" s="138">
        <v>98</v>
      </c>
      <c r="AG518" s="136">
        <v>28.57</v>
      </c>
      <c r="AH518" s="137">
        <v>8</v>
      </c>
      <c r="AI518" s="138">
        <v>25</v>
      </c>
      <c r="AK518" s="136">
        <v>28.37</v>
      </c>
      <c r="AL518" s="139">
        <v>16</v>
      </c>
      <c r="AM518" s="138">
        <v>98</v>
      </c>
      <c r="AO518" s="136">
        <v>51</v>
      </c>
      <c r="AP518" s="139">
        <v>1</v>
      </c>
      <c r="AQ518" s="138" t="s">
        <v>883</v>
      </c>
      <c r="AS518" s="136">
        <v>28.31</v>
      </c>
      <c r="AT518" s="139">
        <v>7</v>
      </c>
      <c r="AU518" s="138">
        <v>16</v>
      </c>
      <c r="AW518" s="136">
        <v>51</v>
      </c>
      <c r="AX518" s="139">
        <v>1</v>
      </c>
      <c r="AY518" s="138" t="s">
        <v>883</v>
      </c>
      <c r="BA518" s="136">
        <v>29.15</v>
      </c>
      <c r="BB518" s="139">
        <v>6</v>
      </c>
      <c r="BC518" s="138">
        <v>9</v>
      </c>
    </row>
    <row r="519" spans="5:55" x14ac:dyDescent="0.3">
      <c r="E519" s="166">
        <v>29.26</v>
      </c>
      <c r="F519" s="167">
        <v>4</v>
      </c>
      <c r="G519" s="155" t="s">
        <v>863</v>
      </c>
      <c r="I519" s="136">
        <v>51.19</v>
      </c>
      <c r="J519" s="139">
        <v>8</v>
      </c>
      <c r="K519" s="138">
        <v>25</v>
      </c>
      <c r="M519" s="136">
        <v>28.39</v>
      </c>
      <c r="N519" s="139">
        <v>8</v>
      </c>
      <c r="O519" s="138">
        <v>25</v>
      </c>
      <c r="Q519" s="136">
        <v>52.13</v>
      </c>
      <c r="R519" s="139">
        <v>2</v>
      </c>
      <c r="S519" s="138" t="s">
        <v>883</v>
      </c>
      <c r="U519" s="136">
        <v>28.46</v>
      </c>
      <c r="V519" s="139">
        <v>14</v>
      </c>
      <c r="W519" s="138">
        <v>91</v>
      </c>
      <c r="Y519" s="136">
        <v>28.28</v>
      </c>
      <c r="Z519" s="139">
        <v>7</v>
      </c>
      <c r="AA519" s="138">
        <v>16</v>
      </c>
      <c r="AC519" s="136">
        <v>28.49</v>
      </c>
      <c r="AD519" s="139">
        <v>17</v>
      </c>
      <c r="AE519" s="138">
        <v>99</v>
      </c>
      <c r="AG519" s="136">
        <v>28.58</v>
      </c>
      <c r="AH519" s="137">
        <v>9</v>
      </c>
      <c r="AI519" s="138">
        <v>37</v>
      </c>
      <c r="AK519" s="136">
        <v>28.38</v>
      </c>
      <c r="AL519" s="139">
        <v>17</v>
      </c>
      <c r="AM519" s="138">
        <v>99</v>
      </c>
      <c r="AO519" s="136">
        <v>51.14</v>
      </c>
      <c r="AP519" s="139">
        <v>2</v>
      </c>
      <c r="AQ519" s="138" t="s">
        <v>883</v>
      </c>
      <c r="AS519" s="136">
        <v>28.33</v>
      </c>
      <c r="AT519" s="139">
        <v>8</v>
      </c>
      <c r="AU519" s="138">
        <v>25</v>
      </c>
      <c r="AW519" s="136">
        <v>51.15</v>
      </c>
      <c r="AX519" s="139">
        <v>2</v>
      </c>
      <c r="AY519" s="138" t="s">
        <v>883</v>
      </c>
      <c r="BA519" s="136">
        <v>29.16</v>
      </c>
      <c r="BB519" s="139">
        <v>7</v>
      </c>
      <c r="BC519" s="138">
        <v>16</v>
      </c>
    </row>
    <row r="520" spans="5:55" x14ac:dyDescent="0.3">
      <c r="E520" s="166">
        <v>29.28</v>
      </c>
      <c r="F520" s="167">
        <v>5</v>
      </c>
      <c r="G520" s="155" t="s">
        <v>877</v>
      </c>
      <c r="I520" s="136">
        <v>51.2</v>
      </c>
      <c r="J520" s="139">
        <v>9</v>
      </c>
      <c r="K520" s="138">
        <v>37</v>
      </c>
      <c r="M520" s="136">
        <v>28.41</v>
      </c>
      <c r="N520" s="139">
        <v>9</v>
      </c>
      <c r="O520" s="138">
        <v>37</v>
      </c>
      <c r="Q520" s="136">
        <v>52.21</v>
      </c>
      <c r="R520" s="139">
        <v>3</v>
      </c>
      <c r="S520" s="138">
        <v>1</v>
      </c>
      <c r="U520" s="136">
        <v>28.49</v>
      </c>
      <c r="V520" s="139">
        <v>15</v>
      </c>
      <c r="W520" s="138">
        <v>95</v>
      </c>
      <c r="Y520" s="136">
        <v>28.29</v>
      </c>
      <c r="Z520" s="139">
        <v>8</v>
      </c>
      <c r="AA520" s="138">
        <v>25</v>
      </c>
      <c r="AC520" s="136">
        <v>28.51</v>
      </c>
      <c r="AD520" s="139">
        <v>18</v>
      </c>
      <c r="AE520" s="138" t="s">
        <v>884</v>
      </c>
      <c r="AG520" s="136">
        <v>28.6</v>
      </c>
      <c r="AH520" s="137">
        <v>10</v>
      </c>
      <c r="AI520" s="138">
        <v>50</v>
      </c>
      <c r="AK520" s="136">
        <v>28.39</v>
      </c>
      <c r="AL520" s="139">
        <v>18</v>
      </c>
      <c r="AM520" s="138" t="s">
        <v>884</v>
      </c>
      <c r="AO520" s="136">
        <v>51.16</v>
      </c>
      <c r="AP520" s="139">
        <v>3</v>
      </c>
      <c r="AQ520" s="138">
        <v>1</v>
      </c>
      <c r="AS520" s="136">
        <v>28.34</v>
      </c>
      <c r="AT520" s="139">
        <v>9</v>
      </c>
      <c r="AU520" s="138">
        <v>37</v>
      </c>
      <c r="AW520" s="136">
        <v>51.17</v>
      </c>
      <c r="AX520" s="139">
        <v>3</v>
      </c>
      <c r="AY520" s="138">
        <v>1</v>
      </c>
      <c r="BA520" s="136">
        <v>29.17</v>
      </c>
      <c r="BB520" s="139">
        <v>8</v>
      </c>
      <c r="BC520" s="138">
        <v>25</v>
      </c>
    </row>
    <row r="521" spans="5:55" x14ac:dyDescent="0.3">
      <c r="E521" s="166">
        <v>29.3</v>
      </c>
      <c r="F521" s="167">
        <v>6</v>
      </c>
      <c r="G521" s="155" t="s">
        <v>864</v>
      </c>
      <c r="I521" s="136">
        <v>51.22</v>
      </c>
      <c r="J521" s="139">
        <v>10</v>
      </c>
      <c r="K521" s="138">
        <v>50</v>
      </c>
      <c r="M521" s="136">
        <v>28.42</v>
      </c>
      <c r="N521" s="139">
        <v>10</v>
      </c>
      <c r="O521" s="138">
        <v>50</v>
      </c>
      <c r="Q521" s="136">
        <v>52.25</v>
      </c>
      <c r="R521" s="139">
        <v>4</v>
      </c>
      <c r="S521" s="138">
        <v>2</v>
      </c>
      <c r="U521" s="136">
        <v>28.51</v>
      </c>
      <c r="V521" s="139">
        <v>16</v>
      </c>
      <c r="W521" s="138">
        <v>98</v>
      </c>
      <c r="Y521" s="136">
        <v>28.3</v>
      </c>
      <c r="Z521" s="139">
        <v>9</v>
      </c>
      <c r="AA521" s="138">
        <v>37</v>
      </c>
      <c r="AC521" s="136">
        <v>28.55</v>
      </c>
      <c r="AD521" s="139">
        <v>19</v>
      </c>
      <c r="AE521" s="138" t="s">
        <v>884</v>
      </c>
      <c r="AG521" s="136">
        <v>28.62</v>
      </c>
      <c r="AH521" s="137">
        <v>11</v>
      </c>
      <c r="AI521" s="138">
        <v>63</v>
      </c>
      <c r="AK521" s="136">
        <v>28.4</v>
      </c>
      <c r="AL521" s="139">
        <v>19</v>
      </c>
      <c r="AM521" s="138" t="s">
        <v>884</v>
      </c>
      <c r="AO521" s="136">
        <v>51.17</v>
      </c>
      <c r="AP521" s="139">
        <v>4</v>
      </c>
      <c r="AQ521" s="138">
        <v>2</v>
      </c>
      <c r="AS521" s="136">
        <v>28.36</v>
      </c>
      <c r="AT521" s="139">
        <v>10</v>
      </c>
      <c r="AU521" s="138">
        <v>50</v>
      </c>
      <c r="AW521" s="136">
        <v>51.19</v>
      </c>
      <c r="AX521" s="139">
        <v>4</v>
      </c>
      <c r="AY521" s="138">
        <v>2</v>
      </c>
      <c r="BA521" s="136">
        <v>29.18</v>
      </c>
      <c r="BB521" s="139">
        <v>9</v>
      </c>
      <c r="BC521" s="138">
        <v>37</v>
      </c>
    </row>
    <row r="522" spans="5:55" x14ac:dyDescent="0.3">
      <c r="E522" s="166">
        <v>29.32</v>
      </c>
      <c r="F522" s="167">
        <v>7</v>
      </c>
      <c r="G522" s="155" t="s">
        <v>878</v>
      </c>
      <c r="I522" s="136">
        <v>51.24</v>
      </c>
      <c r="J522" s="139">
        <v>11</v>
      </c>
      <c r="K522" s="138">
        <v>63</v>
      </c>
      <c r="M522" s="136">
        <v>28.44</v>
      </c>
      <c r="N522" s="139">
        <v>11</v>
      </c>
      <c r="O522" s="138">
        <v>63</v>
      </c>
      <c r="Q522" s="136">
        <v>52.27</v>
      </c>
      <c r="R522" s="139">
        <v>5</v>
      </c>
      <c r="S522" s="138">
        <v>5</v>
      </c>
      <c r="U522" s="136">
        <v>28.54</v>
      </c>
      <c r="V522" s="139">
        <v>17</v>
      </c>
      <c r="W522" s="138">
        <v>99</v>
      </c>
      <c r="Y522" s="136">
        <v>28.31</v>
      </c>
      <c r="Z522" s="139">
        <v>10</v>
      </c>
      <c r="AA522" s="138">
        <v>50</v>
      </c>
      <c r="AC522" s="136">
        <v>29</v>
      </c>
      <c r="AD522" s="139">
        <v>1</v>
      </c>
      <c r="AE522" s="138" t="s">
        <v>883</v>
      </c>
      <c r="AG522" s="136">
        <v>28.64</v>
      </c>
      <c r="AH522" s="137">
        <v>12</v>
      </c>
      <c r="AI522" s="138">
        <v>75</v>
      </c>
      <c r="AK522" s="136">
        <v>29</v>
      </c>
      <c r="AL522" s="139">
        <v>1</v>
      </c>
      <c r="AM522" s="138" t="s">
        <v>883</v>
      </c>
      <c r="AO522" s="136">
        <v>51.19</v>
      </c>
      <c r="AP522" s="139">
        <v>5</v>
      </c>
      <c r="AQ522" s="138">
        <v>5</v>
      </c>
      <c r="AS522" s="136">
        <v>28.37</v>
      </c>
      <c r="AT522" s="139">
        <v>11</v>
      </c>
      <c r="AU522" s="138">
        <v>63</v>
      </c>
      <c r="AW522" s="136">
        <v>51.21</v>
      </c>
      <c r="AX522" s="139">
        <v>5</v>
      </c>
      <c r="AY522" s="138">
        <v>5</v>
      </c>
      <c r="BA522" s="136">
        <v>29.19</v>
      </c>
      <c r="BB522" s="139">
        <v>10</v>
      </c>
      <c r="BC522" s="138">
        <v>50</v>
      </c>
    </row>
    <row r="523" spans="5:55" x14ac:dyDescent="0.3">
      <c r="E523" s="166">
        <v>29.34</v>
      </c>
      <c r="F523" s="167">
        <v>8</v>
      </c>
      <c r="G523" s="155" t="s">
        <v>865</v>
      </c>
      <c r="I523" s="136">
        <v>51.25</v>
      </c>
      <c r="J523" s="139">
        <v>12</v>
      </c>
      <c r="K523" s="138">
        <v>75</v>
      </c>
      <c r="M523" s="136">
        <v>28.46</v>
      </c>
      <c r="N523" s="139">
        <v>12</v>
      </c>
      <c r="O523" s="138">
        <v>75</v>
      </c>
      <c r="Q523" s="136">
        <v>52.29</v>
      </c>
      <c r="R523" s="139">
        <v>6</v>
      </c>
      <c r="S523" s="138">
        <v>9</v>
      </c>
      <c r="U523" s="136">
        <v>28.57</v>
      </c>
      <c r="V523" s="139">
        <v>18</v>
      </c>
      <c r="W523" s="138" t="s">
        <v>884</v>
      </c>
      <c r="Y523" s="136">
        <v>28.32</v>
      </c>
      <c r="Z523" s="139">
        <v>11</v>
      </c>
      <c r="AA523" s="138">
        <v>63</v>
      </c>
      <c r="AC523" s="136">
        <v>29.19</v>
      </c>
      <c r="AD523" s="139">
        <v>2</v>
      </c>
      <c r="AE523" s="138" t="s">
        <v>883</v>
      </c>
      <c r="AG523" s="136">
        <v>28.66</v>
      </c>
      <c r="AH523" s="137">
        <v>13</v>
      </c>
      <c r="AI523" s="138">
        <v>85</v>
      </c>
      <c r="AK523" s="136">
        <v>29.23</v>
      </c>
      <c r="AL523" s="139">
        <v>2</v>
      </c>
      <c r="AM523" s="138" t="s">
        <v>883</v>
      </c>
      <c r="AO523" s="136">
        <v>51.2</v>
      </c>
      <c r="AP523" s="139">
        <v>6</v>
      </c>
      <c r="AQ523" s="138">
        <v>9</v>
      </c>
      <c r="AS523" s="136">
        <v>28.39</v>
      </c>
      <c r="AT523" s="139">
        <v>12</v>
      </c>
      <c r="AU523" s="138">
        <v>75</v>
      </c>
      <c r="AW523" s="136">
        <v>51.23</v>
      </c>
      <c r="AX523" s="139">
        <v>6</v>
      </c>
      <c r="AY523" s="138">
        <v>9</v>
      </c>
      <c r="BA523" s="136">
        <v>29.21</v>
      </c>
      <c r="BB523" s="139">
        <v>11</v>
      </c>
      <c r="BC523" s="138">
        <v>63</v>
      </c>
    </row>
    <row r="524" spans="5:55" x14ac:dyDescent="0.3">
      <c r="E524" s="166">
        <v>29.36</v>
      </c>
      <c r="F524" s="167">
        <v>9</v>
      </c>
      <c r="G524" s="155" t="s">
        <v>879</v>
      </c>
      <c r="I524" s="136">
        <v>51.27</v>
      </c>
      <c r="J524" s="139">
        <v>13</v>
      </c>
      <c r="K524" s="138">
        <v>85</v>
      </c>
      <c r="M524" s="136">
        <v>28.47</v>
      </c>
      <c r="N524" s="139">
        <v>13</v>
      </c>
      <c r="O524" s="138">
        <v>85</v>
      </c>
      <c r="Q524" s="136">
        <v>52.3</v>
      </c>
      <c r="R524" s="139">
        <v>7</v>
      </c>
      <c r="S524" s="138">
        <v>16</v>
      </c>
      <c r="U524" s="136">
        <v>28.62</v>
      </c>
      <c r="V524" s="139">
        <v>19</v>
      </c>
      <c r="W524" s="138" t="s">
        <v>884</v>
      </c>
      <c r="Y524" s="136">
        <v>28.33</v>
      </c>
      <c r="Z524" s="139">
        <v>12</v>
      </c>
      <c r="AA524" s="138">
        <v>75</v>
      </c>
      <c r="AC524" s="136">
        <v>29.21</v>
      </c>
      <c r="AD524" s="139">
        <v>3</v>
      </c>
      <c r="AE524" s="138">
        <v>1</v>
      </c>
      <c r="AG524" s="136">
        <v>28.67</v>
      </c>
      <c r="AH524" s="137">
        <v>14</v>
      </c>
      <c r="AI524" s="138">
        <v>91</v>
      </c>
      <c r="AK524" s="136">
        <v>29.24</v>
      </c>
      <c r="AL524" s="139">
        <v>3</v>
      </c>
      <c r="AM524" s="138">
        <v>1</v>
      </c>
      <c r="AO524" s="136">
        <v>51.21</v>
      </c>
      <c r="AP524" s="139">
        <v>7</v>
      </c>
      <c r="AQ524" s="138">
        <v>16</v>
      </c>
      <c r="AS524" s="136">
        <v>28.4</v>
      </c>
      <c r="AT524" s="139">
        <v>13</v>
      </c>
      <c r="AU524" s="138">
        <v>85</v>
      </c>
      <c r="AW524" s="136">
        <v>51.25</v>
      </c>
      <c r="AX524" s="139">
        <v>7</v>
      </c>
      <c r="AY524" s="138">
        <v>16</v>
      </c>
      <c r="BA524" s="136">
        <v>29.22</v>
      </c>
      <c r="BB524" s="139">
        <v>12</v>
      </c>
      <c r="BC524" s="138">
        <v>75</v>
      </c>
    </row>
    <row r="525" spans="5:55" x14ac:dyDescent="0.3">
      <c r="E525" s="166">
        <v>29.38</v>
      </c>
      <c r="F525" s="167">
        <v>10</v>
      </c>
      <c r="G525" s="155" t="s">
        <v>866</v>
      </c>
      <c r="I525" s="136">
        <v>51.29</v>
      </c>
      <c r="J525" s="139">
        <v>14</v>
      </c>
      <c r="K525" s="138">
        <v>91</v>
      </c>
      <c r="M525" s="136">
        <v>28.48</v>
      </c>
      <c r="N525" s="139">
        <v>14</v>
      </c>
      <c r="O525" s="138">
        <v>91</v>
      </c>
      <c r="Q525" s="136">
        <v>52.31</v>
      </c>
      <c r="R525" s="139">
        <v>8</v>
      </c>
      <c r="S525" s="138">
        <v>25</v>
      </c>
      <c r="U525" s="136">
        <v>29</v>
      </c>
      <c r="V525" s="139">
        <v>1</v>
      </c>
      <c r="W525" s="138" t="s">
        <v>883</v>
      </c>
      <c r="Y525" s="136">
        <v>28.35</v>
      </c>
      <c r="Z525" s="139">
        <v>13</v>
      </c>
      <c r="AA525" s="138">
        <v>85</v>
      </c>
      <c r="AC525" s="136">
        <v>29.23</v>
      </c>
      <c r="AD525" s="139">
        <v>4</v>
      </c>
      <c r="AE525" s="138">
        <v>2</v>
      </c>
      <c r="AG525" s="136">
        <v>28.69</v>
      </c>
      <c r="AH525" s="137">
        <v>15</v>
      </c>
      <c r="AI525" s="138">
        <v>95</v>
      </c>
      <c r="AK525" s="136">
        <v>29.25</v>
      </c>
      <c r="AL525" s="139">
        <v>4</v>
      </c>
      <c r="AM525" s="138">
        <v>2</v>
      </c>
      <c r="AO525" s="136">
        <v>51.22</v>
      </c>
      <c r="AP525" s="139">
        <v>8</v>
      </c>
      <c r="AQ525" s="138">
        <v>25</v>
      </c>
      <c r="AS525" s="136">
        <v>28.42</v>
      </c>
      <c r="AT525" s="139">
        <v>14</v>
      </c>
      <c r="AU525" s="138">
        <v>91</v>
      </c>
      <c r="AW525" s="136">
        <v>51.27</v>
      </c>
      <c r="AX525" s="139">
        <v>8</v>
      </c>
      <c r="AY525" s="138">
        <v>25</v>
      </c>
      <c r="BA525" s="136">
        <v>29.23</v>
      </c>
      <c r="BB525" s="139">
        <v>13</v>
      </c>
      <c r="BC525" s="138">
        <v>85</v>
      </c>
    </row>
    <row r="526" spans="5:55" x14ac:dyDescent="0.3">
      <c r="E526" s="166">
        <v>29.4</v>
      </c>
      <c r="F526" s="167">
        <v>11</v>
      </c>
      <c r="G526" s="155" t="s">
        <v>867</v>
      </c>
      <c r="I526" s="136">
        <v>51.31</v>
      </c>
      <c r="J526" s="139">
        <v>15</v>
      </c>
      <c r="K526" s="138">
        <v>95</v>
      </c>
      <c r="M526" s="136">
        <v>28.49</v>
      </c>
      <c r="N526" s="139">
        <v>15</v>
      </c>
      <c r="O526" s="138">
        <v>95</v>
      </c>
      <c r="Q526" s="136">
        <v>52.33</v>
      </c>
      <c r="R526" s="139">
        <v>9</v>
      </c>
      <c r="S526" s="138">
        <v>37</v>
      </c>
      <c r="U526" s="136">
        <v>29.11</v>
      </c>
      <c r="V526" s="139">
        <v>2</v>
      </c>
      <c r="W526" s="138" t="s">
        <v>883</v>
      </c>
      <c r="Y526" s="136">
        <v>28.36</v>
      </c>
      <c r="Z526" s="139">
        <v>14</v>
      </c>
      <c r="AA526" s="138">
        <v>91</v>
      </c>
      <c r="AC526" s="136">
        <v>29.25</v>
      </c>
      <c r="AD526" s="139">
        <v>5</v>
      </c>
      <c r="AE526" s="138">
        <v>5</v>
      </c>
      <c r="AG526" s="136">
        <v>28.71</v>
      </c>
      <c r="AH526" s="137">
        <v>16</v>
      </c>
      <c r="AI526" s="138">
        <v>98</v>
      </c>
      <c r="AK526" s="136">
        <v>29.26</v>
      </c>
      <c r="AL526" s="139">
        <v>5</v>
      </c>
      <c r="AM526" s="138">
        <v>5</v>
      </c>
      <c r="AO526" s="136">
        <v>51.23</v>
      </c>
      <c r="AP526" s="139">
        <v>9</v>
      </c>
      <c r="AQ526" s="138">
        <v>37</v>
      </c>
      <c r="AS526" s="136">
        <v>28.43</v>
      </c>
      <c r="AT526" s="139">
        <v>15</v>
      </c>
      <c r="AU526" s="138">
        <v>95</v>
      </c>
      <c r="AW526" s="136">
        <v>51.29</v>
      </c>
      <c r="AX526" s="139">
        <v>9</v>
      </c>
      <c r="AY526" s="138">
        <v>37</v>
      </c>
      <c r="BA526" s="136">
        <v>29.24</v>
      </c>
      <c r="BB526" s="139">
        <v>14</v>
      </c>
      <c r="BC526" s="138">
        <v>91</v>
      </c>
    </row>
    <row r="527" spans="5:55" x14ac:dyDescent="0.3">
      <c r="E527" s="166">
        <v>29.42</v>
      </c>
      <c r="F527" s="167">
        <v>12</v>
      </c>
      <c r="G527" s="155" t="s">
        <v>868</v>
      </c>
      <c r="I527" s="136">
        <v>51.32</v>
      </c>
      <c r="J527" s="139">
        <v>16</v>
      </c>
      <c r="K527" s="138">
        <v>98</v>
      </c>
      <c r="M527" s="136">
        <v>28.51</v>
      </c>
      <c r="N527" s="139">
        <v>16</v>
      </c>
      <c r="O527" s="138">
        <v>98</v>
      </c>
      <c r="Q527" s="136">
        <v>52.35</v>
      </c>
      <c r="R527" s="139">
        <v>10</v>
      </c>
      <c r="S527" s="138">
        <v>50</v>
      </c>
      <c r="U527" s="136">
        <v>29.14</v>
      </c>
      <c r="V527" s="139">
        <v>3</v>
      </c>
      <c r="W527" s="138">
        <v>1</v>
      </c>
      <c r="Y527" s="136">
        <v>28.37</v>
      </c>
      <c r="Z527" s="139">
        <v>15</v>
      </c>
      <c r="AA527" s="138">
        <v>95</v>
      </c>
      <c r="AC527" s="136">
        <v>29.27</v>
      </c>
      <c r="AD527" s="139">
        <v>6</v>
      </c>
      <c r="AE527" s="138">
        <v>9</v>
      </c>
      <c r="AG527" s="136">
        <v>28.73</v>
      </c>
      <c r="AH527" s="137">
        <v>17</v>
      </c>
      <c r="AI527" s="138">
        <v>99</v>
      </c>
      <c r="AK527" s="136">
        <v>29.27</v>
      </c>
      <c r="AL527" s="139">
        <v>6</v>
      </c>
      <c r="AM527" s="138">
        <v>9</v>
      </c>
      <c r="AO527" s="136">
        <v>51.24</v>
      </c>
      <c r="AP527" s="139">
        <v>10</v>
      </c>
      <c r="AQ527" s="138">
        <v>50</v>
      </c>
      <c r="AS527" s="136">
        <v>28.45</v>
      </c>
      <c r="AT527" s="139">
        <v>16</v>
      </c>
      <c r="AU527" s="138">
        <v>98</v>
      </c>
      <c r="AW527" s="136">
        <v>51.32</v>
      </c>
      <c r="AX527" s="139">
        <v>10</v>
      </c>
      <c r="AY527" s="138">
        <v>50</v>
      </c>
      <c r="BA527" s="136">
        <v>29.25</v>
      </c>
      <c r="BB527" s="139">
        <v>15</v>
      </c>
      <c r="BC527" s="138">
        <v>95</v>
      </c>
    </row>
    <row r="528" spans="5:55" x14ac:dyDescent="0.3">
      <c r="E528" s="166">
        <v>29.44</v>
      </c>
      <c r="F528" s="167">
        <v>13</v>
      </c>
      <c r="G528" s="155" t="s">
        <v>869</v>
      </c>
      <c r="I528" s="136">
        <v>51.34</v>
      </c>
      <c r="J528" s="139">
        <v>17</v>
      </c>
      <c r="K528" s="138">
        <v>99</v>
      </c>
      <c r="M528" s="136">
        <v>28.52</v>
      </c>
      <c r="N528" s="139">
        <v>17</v>
      </c>
      <c r="O528" s="138">
        <v>99</v>
      </c>
      <c r="Q528" s="136">
        <v>52.37</v>
      </c>
      <c r="R528" s="139">
        <v>11</v>
      </c>
      <c r="S528" s="138">
        <v>63</v>
      </c>
      <c r="U528" s="136">
        <v>29.16</v>
      </c>
      <c r="V528" s="139">
        <v>4</v>
      </c>
      <c r="W528" s="138">
        <v>2</v>
      </c>
      <c r="Y528" s="136">
        <v>28.38</v>
      </c>
      <c r="Z528" s="139">
        <v>16</v>
      </c>
      <c r="AA528" s="138">
        <v>98</v>
      </c>
      <c r="AC528" s="136">
        <v>29.28</v>
      </c>
      <c r="AD528" s="139">
        <v>7</v>
      </c>
      <c r="AE528" s="138">
        <v>16</v>
      </c>
      <c r="AG528" s="136">
        <v>28.75</v>
      </c>
      <c r="AH528" s="137">
        <v>18</v>
      </c>
      <c r="AI528" s="138" t="s">
        <v>884</v>
      </c>
      <c r="AK528" s="136">
        <v>29.28</v>
      </c>
      <c r="AL528" s="139">
        <v>7</v>
      </c>
      <c r="AM528" s="138">
        <v>16</v>
      </c>
      <c r="AO528" s="136">
        <v>51.25</v>
      </c>
      <c r="AP528" s="139">
        <v>11</v>
      </c>
      <c r="AQ528" s="138">
        <v>63</v>
      </c>
      <c r="AS528" s="136">
        <v>28.46</v>
      </c>
      <c r="AT528" s="139">
        <v>17</v>
      </c>
      <c r="AU528" s="138">
        <v>99</v>
      </c>
      <c r="AW528" s="136">
        <v>51.34</v>
      </c>
      <c r="AX528" s="139">
        <v>11</v>
      </c>
      <c r="AY528" s="138">
        <v>63</v>
      </c>
      <c r="BA528" s="136">
        <v>29.27</v>
      </c>
      <c r="BB528" s="139">
        <v>16</v>
      </c>
      <c r="BC528" s="138">
        <v>98</v>
      </c>
    </row>
    <row r="529" spans="5:55" x14ac:dyDescent="0.3">
      <c r="E529" s="166">
        <v>29.46</v>
      </c>
      <c r="F529" s="167">
        <v>14</v>
      </c>
      <c r="G529" s="155" t="s">
        <v>870</v>
      </c>
      <c r="I529" s="136">
        <v>51.36</v>
      </c>
      <c r="J529" s="139">
        <v>18</v>
      </c>
      <c r="K529" s="138" t="s">
        <v>884</v>
      </c>
      <c r="M529" s="136">
        <v>28.54</v>
      </c>
      <c r="N529" s="139">
        <v>18</v>
      </c>
      <c r="O529" s="138" t="s">
        <v>884</v>
      </c>
      <c r="Q529" s="136">
        <v>52.38</v>
      </c>
      <c r="R529" s="139">
        <v>12</v>
      </c>
      <c r="S529" s="138">
        <v>75</v>
      </c>
      <c r="U529" s="136">
        <v>29.2</v>
      </c>
      <c r="V529" s="139">
        <v>5</v>
      </c>
      <c r="W529" s="138">
        <v>5</v>
      </c>
      <c r="Y529" s="136">
        <v>28.4</v>
      </c>
      <c r="Z529" s="139">
        <v>17</v>
      </c>
      <c r="AA529" s="138">
        <v>99</v>
      </c>
      <c r="AC529" s="136">
        <v>29.3</v>
      </c>
      <c r="AD529" s="139">
        <v>8</v>
      </c>
      <c r="AE529" s="138">
        <v>25</v>
      </c>
      <c r="AG529" s="136">
        <v>28.76</v>
      </c>
      <c r="AH529" s="137">
        <v>19</v>
      </c>
      <c r="AI529" s="138" t="s">
        <v>884</v>
      </c>
      <c r="AK529" s="136">
        <v>29.29</v>
      </c>
      <c r="AL529" s="139">
        <v>8</v>
      </c>
      <c r="AM529" s="138">
        <v>25</v>
      </c>
      <c r="AO529" s="136">
        <v>51.26</v>
      </c>
      <c r="AP529" s="139">
        <v>12</v>
      </c>
      <c r="AQ529" s="138">
        <v>75</v>
      </c>
      <c r="AS529" s="136">
        <v>28.48</v>
      </c>
      <c r="AT529" s="139">
        <v>18</v>
      </c>
      <c r="AU529" s="138" t="s">
        <v>884</v>
      </c>
      <c r="AW529" s="136">
        <v>51.36</v>
      </c>
      <c r="AX529" s="139">
        <v>12</v>
      </c>
      <c r="AY529" s="138">
        <v>75</v>
      </c>
      <c r="BA529" s="136">
        <v>29.28</v>
      </c>
      <c r="BB529" s="139">
        <v>17</v>
      </c>
      <c r="BC529" s="138">
        <v>99</v>
      </c>
    </row>
    <row r="530" spans="5:55" x14ac:dyDescent="0.3">
      <c r="E530" s="166">
        <v>29.48</v>
      </c>
      <c r="F530" s="167">
        <v>15</v>
      </c>
      <c r="G530" s="155" t="s">
        <v>871</v>
      </c>
      <c r="I530" s="136">
        <v>51.39</v>
      </c>
      <c r="J530" s="139">
        <v>19</v>
      </c>
      <c r="K530" s="138" t="s">
        <v>884</v>
      </c>
      <c r="M530" s="136">
        <v>28.55</v>
      </c>
      <c r="N530" s="139">
        <v>19</v>
      </c>
      <c r="O530" s="138" t="s">
        <v>884</v>
      </c>
      <c r="Q530" s="136">
        <v>52.39</v>
      </c>
      <c r="R530" s="139">
        <v>13</v>
      </c>
      <c r="S530" s="138">
        <v>85</v>
      </c>
      <c r="U530" s="136">
        <v>29.23</v>
      </c>
      <c r="V530" s="139">
        <v>6</v>
      </c>
      <c r="W530" s="138">
        <v>9</v>
      </c>
      <c r="Y530" s="136">
        <v>28.41</v>
      </c>
      <c r="Z530" s="139">
        <v>18</v>
      </c>
      <c r="AA530" s="138" t="s">
        <v>884</v>
      </c>
      <c r="AC530" s="136">
        <v>29.32</v>
      </c>
      <c r="AD530" s="139">
        <v>9</v>
      </c>
      <c r="AE530" s="138">
        <v>37</v>
      </c>
      <c r="AG530" s="136">
        <v>29</v>
      </c>
      <c r="AH530" s="137">
        <v>1</v>
      </c>
      <c r="AI530" s="138" t="s">
        <v>883</v>
      </c>
      <c r="AK530" s="136">
        <v>29.3</v>
      </c>
      <c r="AL530" s="139">
        <v>9</v>
      </c>
      <c r="AM530" s="138">
        <v>37</v>
      </c>
      <c r="AO530" s="136">
        <v>51.27</v>
      </c>
      <c r="AP530" s="139">
        <v>13</v>
      </c>
      <c r="AQ530" s="138">
        <v>85</v>
      </c>
      <c r="AS530" s="136">
        <v>28.5</v>
      </c>
      <c r="AT530" s="139">
        <v>19</v>
      </c>
      <c r="AU530" s="138" t="s">
        <v>884</v>
      </c>
      <c r="AW530" s="136">
        <v>51.38</v>
      </c>
      <c r="AX530" s="139">
        <v>13</v>
      </c>
      <c r="AY530" s="138">
        <v>85</v>
      </c>
      <c r="BA530" s="136">
        <v>29.29</v>
      </c>
      <c r="BB530" s="139">
        <v>18</v>
      </c>
      <c r="BC530" s="138" t="s">
        <v>884</v>
      </c>
    </row>
    <row r="531" spans="5:55" x14ac:dyDescent="0.3">
      <c r="E531" s="166">
        <v>29.5</v>
      </c>
      <c r="F531" s="167">
        <v>16</v>
      </c>
      <c r="G531" s="155" t="s">
        <v>872</v>
      </c>
      <c r="I531" s="136">
        <v>52</v>
      </c>
      <c r="J531" s="139">
        <v>1</v>
      </c>
      <c r="K531" s="138" t="s">
        <v>883</v>
      </c>
      <c r="M531" s="136">
        <v>29</v>
      </c>
      <c r="N531" s="139">
        <v>1</v>
      </c>
      <c r="O531" s="138" t="s">
        <v>883</v>
      </c>
      <c r="Q531" s="136">
        <v>52.41</v>
      </c>
      <c r="R531" s="139">
        <v>14</v>
      </c>
      <c r="S531" s="138">
        <v>91</v>
      </c>
      <c r="U531" s="136">
        <v>29.26</v>
      </c>
      <c r="V531" s="139">
        <v>7</v>
      </c>
      <c r="W531" s="138">
        <v>16</v>
      </c>
      <c r="Y531" s="136">
        <v>28.42</v>
      </c>
      <c r="Z531" s="139">
        <v>19</v>
      </c>
      <c r="AA531" s="138" t="s">
        <v>884</v>
      </c>
      <c r="AC531" s="136">
        <v>29.35</v>
      </c>
      <c r="AD531" s="139">
        <v>10</v>
      </c>
      <c r="AE531" s="138">
        <v>50</v>
      </c>
      <c r="AG531" s="136">
        <v>29.44</v>
      </c>
      <c r="AH531" s="137">
        <v>2</v>
      </c>
      <c r="AI531" s="138" t="s">
        <v>883</v>
      </c>
      <c r="AK531" s="136">
        <v>29.31</v>
      </c>
      <c r="AL531" s="139">
        <v>10</v>
      </c>
      <c r="AM531" s="138">
        <v>50</v>
      </c>
      <c r="AO531" s="136">
        <v>51.29</v>
      </c>
      <c r="AP531" s="139">
        <v>14</v>
      </c>
      <c r="AQ531" s="138">
        <v>91</v>
      </c>
      <c r="AS531" s="136">
        <v>29</v>
      </c>
      <c r="AT531" s="139">
        <v>1</v>
      </c>
      <c r="AU531" s="138" t="s">
        <v>883</v>
      </c>
      <c r="AW531" s="136">
        <v>51.4</v>
      </c>
      <c r="AX531" s="139">
        <v>14</v>
      </c>
      <c r="AY531" s="138">
        <v>91</v>
      </c>
      <c r="BA531" s="136">
        <v>29.31</v>
      </c>
      <c r="BB531" s="139">
        <v>19</v>
      </c>
      <c r="BC531" s="138" t="s">
        <v>884</v>
      </c>
    </row>
    <row r="532" spans="5:55" x14ac:dyDescent="0.3">
      <c r="E532" s="166">
        <v>29.52</v>
      </c>
      <c r="F532" s="167">
        <v>17</v>
      </c>
      <c r="G532" s="155" t="s">
        <v>873</v>
      </c>
      <c r="I532" s="136">
        <v>52.06</v>
      </c>
      <c r="J532" s="139">
        <v>2</v>
      </c>
      <c r="K532" s="138" t="s">
        <v>883</v>
      </c>
      <c r="M532" s="136">
        <v>29.23</v>
      </c>
      <c r="N532" s="139">
        <v>2</v>
      </c>
      <c r="O532" s="138" t="s">
        <v>883</v>
      </c>
      <c r="Q532" s="136">
        <v>52.42</v>
      </c>
      <c r="R532" s="139">
        <v>15</v>
      </c>
      <c r="S532" s="138">
        <v>95</v>
      </c>
      <c r="U532" s="136">
        <v>29.28</v>
      </c>
      <c r="V532" s="139">
        <v>8</v>
      </c>
      <c r="W532" s="138">
        <v>25</v>
      </c>
      <c r="Y532" s="136">
        <v>29</v>
      </c>
      <c r="Z532" s="139">
        <v>1</v>
      </c>
      <c r="AA532" s="138" t="s">
        <v>883</v>
      </c>
      <c r="AC532" s="136">
        <v>29.37</v>
      </c>
      <c r="AD532" s="139">
        <v>11</v>
      </c>
      <c r="AE532" s="138">
        <v>63</v>
      </c>
      <c r="AG532" s="136">
        <v>29.48</v>
      </c>
      <c r="AH532" s="137">
        <v>3</v>
      </c>
      <c r="AI532" s="138">
        <v>1</v>
      </c>
      <c r="AK532" s="136">
        <v>29.32</v>
      </c>
      <c r="AL532" s="139">
        <v>11</v>
      </c>
      <c r="AM532" s="138">
        <v>63</v>
      </c>
      <c r="AO532" s="136">
        <v>51.3</v>
      </c>
      <c r="AP532" s="139">
        <v>15</v>
      </c>
      <c r="AQ532" s="138">
        <v>95</v>
      </c>
      <c r="AS532" s="136">
        <v>29.23</v>
      </c>
      <c r="AT532" s="139">
        <v>2</v>
      </c>
      <c r="AU532" s="138" t="s">
        <v>883</v>
      </c>
      <c r="AW532" s="136">
        <v>51.42</v>
      </c>
      <c r="AX532" s="139">
        <v>15</v>
      </c>
      <c r="AY532" s="138">
        <v>95</v>
      </c>
      <c r="BA532" s="136">
        <v>30</v>
      </c>
      <c r="BB532" s="139">
        <v>1</v>
      </c>
      <c r="BC532" s="138" t="s">
        <v>883</v>
      </c>
    </row>
    <row r="533" spans="5:55" x14ac:dyDescent="0.3">
      <c r="E533" s="166">
        <v>29.54</v>
      </c>
      <c r="F533" s="167">
        <v>18</v>
      </c>
      <c r="G533" s="155" t="s">
        <v>874</v>
      </c>
      <c r="I533" s="136">
        <v>52.11</v>
      </c>
      <c r="J533" s="139">
        <v>3</v>
      </c>
      <c r="K533" s="138">
        <v>1</v>
      </c>
      <c r="M533" s="136">
        <v>29.28</v>
      </c>
      <c r="N533" s="139">
        <v>3</v>
      </c>
      <c r="O533" s="138">
        <v>1</v>
      </c>
      <c r="Q533" s="136">
        <v>52.43</v>
      </c>
      <c r="R533" s="139">
        <v>16</v>
      </c>
      <c r="S533" s="138">
        <v>98</v>
      </c>
      <c r="U533" s="136">
        <v>29.31</v>
      </c>
      <c r="V533" s="139">
        <v>9</v>
      </c>
      <c r="W533" s="138">
        <v>37</v>
      </c>
      <c r="Y533" s="136">
        <v>29.22</v>
      </c>
      <c r="Z533" s="139">
        <v>2</v>
      </c>
      <c r="AA533" s="138" t="s">
        <v>883</v>
      </c>
      <c r="AC533" s="136">
        <v>29.39</v>
      </c>
      <c r="AD533" s="139">
        <v>12</v>
      </c>
      <c r="AE533" s="138">
        <v>75</v>
      </c>
      <c r="AG533" s="136">
        <v>29.49</v>
      </c>
      <c r="AH533" s="137">
        <v>4</v>
      </c>
      <c r="AI533" s="138">
        <v>2</v>
      </c>
      <c r="AK533" s="136">
        <v>29.33</v>
      </c>
      <c r="AL533" s="139">
        <v>12</v>
      </c>
      <c r="AM533" s="138">
        <v>75</v>
      </c>
      <c r="AO533" s="136">
        <v>51.32</v>
      </c>
      <c r="AP533" s="139">
        <v>16</v>
      </c>
      <c r="AQ533" s="138">
        <v>98</v>
      </c>
      <c r="AS533" s="136">
        <v>29.26</v>
      </c>
      <c r="AT533" s="139">
        <v>3</v>
      </c>
      <c r="AU533" s="138">
        <v>1</v>
      </c>
      <c r="AW533" s="136">
        <v>51.44</v>
      </c>
      <c r="AX533" s="139">
        <v>16</v>
      </c>
      <c r="AY533" s="138">
        <v>98</v>
      </c>
      <c r="BA533" s="136">
        <v>30.11</v>
      </c>
      <c r="BB533" s="139">
        <v>2</v>
      </c>
      <c r="BC533" s="138" t="s">
        <v>883</v>
      </c>
    </row>
    <row r="534" spans="5:55" x14ac:dyDescent="0.3">
      <c r="E534" s="166">
        <v>29.57</v>
      </c>
      <c r="F534" s="167">
        <v>19</v>
      </c>
      <c r="G534" s="155" t="s">
        <v>874</v>
      </c>
      <c r="I534" s="136">
        <v>52.12</v>
      </c>
      <c r="J534" s="139">
        <v>4</v>
      </c>
      <c r="K534" s="138">
        <v>2</v>
      </c>
      <c r="M534" s="136">
        <v>29.31</v>
      </c>
      <c r="N534" s="139">
        <v>4</v>
      </c>
      <c r="O534" s="138">
        <v>2</v>
      </c>
      <c r="Q534" s="136">
        <v>52.45</v>
      </c>
      <c r="R534" s="139">
        <v>17</v>
      </c>
      <c r="S534" s="138">
        <v>99</v>
      </c>
      <c r="U534" s="136">
        <v>29.34</v>
      </c>
      <c r="V534" s="139">
        <v>10</v>
      </c>
      <c r="W534" s="138">
        <v>50</v>
      </c>
      <c r="Y534" s="136">
        <v>29.23</v>
      </c>
      <c r="Z534" s="139">
        <v>3</v>
      </c>
      <c r="AA534" s="138">
        <v>1</v>
      </c>
      <c r="AC534" s="136">
        <v>29.41</v>
      </c>
      <c r="AD534" s="139">
        <v>13</v>
      </c>
      <c r="AE534" s="138">
        <v>85</v>
      </c>
      <c r="AG534" s="136">
        <v>29.51</v>
      </c>
      <c r="AH534" s="137">
        <v>5</v>
      </c>
      <c r="AI534" s="138">
        <v>5</v>
      </c>
      <c r="AK534" s="136">
        <v>29.34</v>
      </c>
      <c r="AL534" s="139">
        <v>13</v>
      </c>
      <c r="AM534" s="138">
        <v>85</v>
      </c>
      <c r="AO534" s="136">
        <v>51.33</v>
      </c>
      <c r="AP534" s="139">
        <v>17</v>
      </c>
      <c r="AQ534" s="138">
        <v>99</v>
      </c>
      <c r="AS534" s="136">
        <v>29.27</v>
      </c>
      <c r="AT534" s="139">
        <v>4</v>
      </c>
      <c r="AU534" s="138">
        <v>2</v>
      </c>
      <c r="AW534" s="136">
        <v>51.46</v>
      </c>
      <c r="AX534" s="139">
        <v>17</v>
      </c>
      <c r="AY534" s="138">
        <v>99</v>
      </c>
      <c r="BA534" s="136">
        <v>30.13</v>
      </c>
      <c r="BB534" s="139">
        <v>3</v>
      </c>
      <c r="BC534" s="138">
        <v>1</v>
      </c>
    </row>
    <row r="535" spans="5:55" x14ac:dyDescent="0.3">
      <c r="E535" s="166">
        <v>30</v>
      </c>
      <c r="F535" s="167">
        <v>1</v>
      </c>
      <c r="G535" s="155" t="s">
        <v>862</v>
      </c>
      <c r="I535" s="136">
        <v>52.14</v>
      </c>
      <c r="J535" s="139">
        <v>5</v>
      </c>
      <c r="K535" s="138">
        <v>5</v>
      </c>
      <c r="M535" s="136">
        <v>29.33</v>
      </c>
      <c r="N535" s="139">
        <v>5</v>
      </c>
      <c r="O535" s="138">
        <v>5</v>
      </c>
      <c r="Q535" s="136">
        <v>52.46</v>
      </c>
      <c r="R535" s="139">
        <v>18</v>
      </c>
      <c r="S535" s="138" t="s">
        <v>884</v>
      </c>
      <c r="U535" s="136">
        <v>29.37</v>
      </c>
      <c r="V535" s="139">
        <v>11</v>
      </c>
      <c r="W535" s="138">
        <v>63</v>
      </c>
      <c r="Y535" s="136">
        <v>29.24</v>
      </c>
      <c r="Z535" s="139">
        <v>4</v>
      </c>
      <c r="AA535" s="138">
        <v>2</v>
      </c>
      <c r="AC535" s="136">
        <v>29.43</v>
      </c>
      <c r="AD535" s="139">
        <v>14</v>
      </c>
      <c r="AE535" s="138">
        <v>91</v>
      </c>
      <c r="AG535" s="136">
        <v>29.53</v>
      </c>
      <c r="AH535" s="137">
        <v>6</v>
      </c>
      <c r="AI535" s="138">
        <v>9</v>
      </c>
      <c r="AK535" s="136">
        <v>29.35</v>
      </c>
      <c r="AL535" s="139">
        <v>14</v>
      </c>
      <c r="AM535" s="138">
        <v>91</v>
      </c>
      <c r="AO535" s="136">
        <v>51.34</v>
      </c>
      <c r="AP535" s="139">
        <v>18</v>
      </c>
      <c r="AQ535" s="138" t="s">
        <v>884</v>
      </c>
      <c r="AS535" s="136">
        <v>29.28</v>
      </c>
      <c r="AT535" s="139">
        <v>5</v>
      </c>
      <c r="AU535" s="138">
        <v>5</v>
      </c>
      <c r="AW535" s="136">
        <v>51.49</v>
      </c>
      <c r="AX535" s="139">
        <v>18</v>
      </c>
      <c r="AY535" s="138" t="s">
        <v>884</v>
      </c>
      <c r="BA535" s="136">
        <v>30.14</v>
      </c>
      <c r="BB535" s="139">
        <v>4</v>
      </c>
      <c r="BC535" s="138">
        <v>2</v>
      </c>
    </row>
    <row r="536" spans="5:55" x14ac:dyDescent="0.3">
      <c r="E536" s="166">
        <v>30.25</v>
      </c>
      <c r="F536" s="167">
        <v>2</v>
      </c>
      <c r="G536" s="155" t="s">
        <v>862</v>
      </c>
      <c r="I536" s="136">
        <v>52.15</v>
      </c>
      <c r="J536" s="139">
        <v>6</v>
      </c>
      <c r="K536" s="138">
        <v>9</v>
      </c>
      <c r="M536" s="136">
        <v>29.35</v>
      </c>
      <c r="N536" s="139">
        <v>6</v>
      </c>
      <c r="O536" s="138">
        <v>9</v>
      </c>
      <c r="Q536" s="136">
        <v>52.48</v>
      </c>
      <c r="R536" s="139">
        <v>19</v>
      </c>
      <c r="S536" s="138" t="s">
        <v>884</v>
      </c>
      <c r="U536" s="136">
        <v>29.4</v>
      </c>
      <c r="V536" s="139">
        <v>12</v>
      </c>
      <c r="W536" s="138">
        <v>75</v>
      </c>
      <c r="Y536" s="136">
        <v>29.26</v>
      </c>
      <c r="Z536" s="139">
        <v>5</v>
      </c>
      <c r="AA536" s="138">
        <v>5</v>
      </c>
      <c r="AC536" s="136">
        <v>29.45</v>
      </c>
      <c r="AD536" s="139">
        <v>15</v>
      </c>
      <c r="AE536" s="138">
        <v>95</v>
      </c>
      <c r="AG536" s="136">
        <v>29.55</v>
      </c>
      <c r="AH536" s="137">
        <v>7</v>
      </c>
      <c r="AI536" s="138">
        <v>16</v>
      </c>
      <c r="AK536" s="136">
        <v>29.36</v>
      </c>
      <c r="AL536" s="139">
        <v>15</v>
      </c>
      <c r="AM536" s="138">
        <v>95</v>
      </c>
      <c r="AO536" s="136">
        <v>51.37</v>
      </c>
      <c r="AP536" s="139">
        <v>19</v>
      </c>
      <c r="AQ536" s="138" t="s">
        <v>884</v>
      </c>
      <c r="AS536" s="136">
        <v>29.3</v>
      </c>
      <c r="AT536" s="139">
        <v>6</v>
      </c>
      <c r="AU536" s="138">
        <v>9</v>
      </c>
      <c r="AW536" s="136">
        <v>51.51</v>
      </c>
      <c r="AX536" s="139">
        <v>19</v>
      </c>
      <c r="AY536" s="138" t="s">
        <v>884</v>
      </c>
      <c r="BA536" s="136">
        <v>30.15</v>
      </c>
      <c r="BB536" s="139">
        <v>5</v>
      </c>
      <c r="BC536" s="138">
        <v>5</v>
      </c>
    </row>
    <row r="537" spans="5:55" x14ac:dyDescent="0.3">
      <c r="E537" s="166">
        <v>30.28</v>
      </c>
      <c r="F537" s="167">
        <v>3</v>
      </c>
      <c r="G537" s="155" t="s">
        <v>876</v>
      </c>
      <c r="I537" s="136">
        <v>52.17</v>
      </c>
      <c r="J537" s="139">
        <v>7</v>
      </c>
      <c r="K537" s="138">
        <v>16</v>
      </c>
      <c r="M537" s="136">
        <v>29.37</v>
      </c>
      <c r="N537" s="139">
        <v>7</v>
      </c>
      <c r="O537" s="138">
        <v>16</v>
      </c>
      <c r="Q537" s="136">
        <v>53</v>
      </c>
      <c r="R537" s="139">
        <v>1</v>
      </c>
      <c r="S537" s="138" t="s">
        <v>883</v>
      </c>
      <c r="U537" s="136">
        <v>29.43</v>
      </c>
      <c r="V537" s="139">
        <v>13</v>
      </c>
      <c r="W537" s="138">
        <v>85</v>
      </c>
      <c r="Y537" s="136">
        <v>29.27</v>
      </c>
      <c r="Z537" s="139">
        <v>6</v>
      </c>
      <c r="AA537" s="138">
        <v>9</v>
      </c>
      <c r="AC537" s="136">
        <v>29.47</v>
      </c>
      <c r="AD537" s="139">
        <v>16</v>
      </c>
      <c r="AE537" s="138">
        <v>98</v>
      </c>
      <c r="AG537" s="136">
        <v>29.57</v>
      </c>
      <c r="AH537" s="137">
        <v>8</v>
      </c>
      <c r="AI537" s="138">
        <v>25</v>
      </c>
      <c r="AK537" s="136">
        <v>29.37</v>
      </c>
      <c r="AL537" s="139">
        <v>16</v>
      </c>
      <c r="AM537" s="138">
        <v>98</v>
      </c>
      <c r="AO537" s="136">
        <v>52</v>
      </c>
      <c r="AP537" s="139">
        <v>1</v>
      </c>
      <c r="AQ537" s="138" t="s">
        <v>883</v>
      </c>
      <c r="AS537" s="136">
        <v>29.31</v>
      </c>
      <c r="AT537" s="139">
        <v>7</v>
      </c>
      <c r="AU537" s="138">
        <v>16</v>
      </c>
      <c r="AW537" s="136">
        <v>52</v>
      </c>
      <c r="AX537" s="139">
        <v>1</v>
      </c>
      <c r="AY537" s="138" t="s">
        <v>883</v>
      </c>
      <c r="BA537" s="136">
        <v>30.16</v>
      </c>
      <c r="BB537" s="139">
        <v>6</v>
      </c>
      <c r="BC537" s="138">
        <v>9</v>
      </c>
    </row>
    <row r="538" spans="5:55" x14ac:dyDescent="0.3">
      <c r="E538" s="166">
        <v>30.3</v>
      </c>
      <c r="F538" s="167">
        <v>4</v>
      </c>
      <c r="G538" s="155" t="s">
        <v>863</v>
      </c>
      <c r="I538" s="136">
        <v>52.19</v>
      </c>
      <c r="J538" s="139">
        <v>8</v>
      </c>
      <c r="K538" s="138">
        <v>25</v>
      </c>
      <c r="M538" s="136">
        <v>29.39</v>
      </c>
      <c r="N538" s="139">
        <v>8</v>
      </c>
      <c r="O538" s="138">
        <v>25</v>
      </c>
      <c r="Q538" s="136">
        <v>53.13</v>
      </c>
      <c r="R538" s="139">
        <v>2</v>
      </c>
      <c r="S538" s="138" t="s">
        <v>883</v>
      </c>
      <c r="U538" s="136">
        <v>29.46</v>
      </c>
      <c r="V538" s="139">
        <v>14</v>
      </c>
      <c r="W538" s="138">
        <v>91</v>
      </c>
      <c r="Y538" s="136">
        <v>29.28</v>
      </c>
      <c r="Z538" s="139">
        <v>7</v>
      </c>
      <c r="AA538" s="138">
        <v>16</v>
      </c>
      <c r="AC538" s="136">
        <v>29.49</v>
      </c>
      <c r="AD538" s="139">
        <v>17</v>
      </c>
      <c r="AE538" s="138">
        <v>99</v>
      </c>
      <c r="AG538" s="136">
        <v>29.58</v>
      </c>
      <c r="AH538" s="137">
        <v>9</v>
      </c>
      <c r="AI538" s="138">
        <v>37</v>
      </c>
      <c r="AK538" s="136">
        <v>29.38</v>
      </c>
      <c r="AL538" s="139">
        <v>17</v>
      </c>
      <c r="AM538" s="138">
        <v>99</v>
      </c>
      <c r="AO538" s="136">
        <v>52.14</v>
      </c>
      <c r="AP538" s="139">
        <v>2</v>
      </c>
      <c r="AQ538" s="138" t="s">
        <v>883</v>
      </c>
      <c r="AS538" s="136">
        <v>29.33</v>
      </c>
      <c r="AT538" s="139">
        <v>8</v>
      </c>
      <c r="AU538" s="138">
        <v>25</v>
      </c>
      <c r="AW538" s="136">
        <v>52.15</v>
      </c>
      <c r="AX538" s="139">
        <v>2</v>
      </c>
      <c r="AY538" s="138" t="s">
        <v>883</v>
      </c>
      <c r="BA538" s="136">
        <v>30.17</v>
      </c>
      <c r="BB538" s="139">
        <v>7</v>
      </c>
      <c r="BC538" s="138">
        <v>16</v>
      </c>
    </row>
    <row r="539" spans="5:55" x14ac:dyDescent="0.3">
      <c r="E539" s="166">
        <v>30.32</v>
      </c>
      <c r="F539" s="167">
        <v>5</v>
      </c>
      <c r="G539" s="155" t="s">
        <v>877</v>
      </c>
      <c r="I539" s="136">
        <v>52.2</v>
      </c>
      <c r="J539" s="139">
        <v>9</v>
      </c>
      <c r="K539" s="138">
        <v>37</v>
      </c>
      <c r="M539" s="136">
        <v>29.41</v>
      </c>
      <c r="N539" s="139">
        <v>9</v>
      </c>
      <c r="O539" s="138">
        <v>37</v>
      </c>
      <c r="Q539" s="136">
        <v>53.21</v>
      </c>
      <c r="R539" s="139">
        <v>3</v>
      </c>
      <c r="S539" s="138">
        <v>1</v>
      </c>
      <c r="U539" s="136">
        <v>29.49</v>
      </c>
      <c r="V539" s="139">
        <v>15</v>
      </c>
      <c r="W539" s="138">
        <v>95</v>
      </c>
      <c r="Y539" s="136">
        <v>29.29</v>
      </c>
      <c r="Z539" s="139">
        <v>8</v>
      </c>
      <c r="AA539" s="138">
        <v>25</v>
      </c>
      <c r="AC539" s="136">
        <v>29.51</v>
      </c>
      <c r="AD539" s="139">
        <v>18</v>
      </c>
      <c r="AE539" s="138" t="s">
        <v>884</v>
      </c>
      <c r="AG539" s="136">
        <v>29.6</v>
      </c>
      <c r="AH539" s="137">
        <v>10</v>
      </c>
      <c r="AI539" s="138">
        <v>50</v>
      </c>
      <c r="AK539" s="136">
        <v>29.39</v>
      </c>
      <c r="AL539" s="139">
        <v>18</v>
      </c>
      <c r="AM539" s="138" t="s">
        <v>884</v>
      </c>
      <c r="AO539" s="136">
        <v>52.16</v>
      </c>
      <c r="AP539" s="139">
        <v>3</v>
      </c>
      <c r="AQ539" s="138">
        <v>1</v>
      </c>
      <c r="AS539" s="136">
        <v>29.34</v>
      </c>
      <c r="AT539" s="139">
        <v>9</v>
      </c>
      <c r="AU539" s="138">
        <v>37</v>
      </c>
      <c r="AW539" s="136">
        <v>52.17</v>
      </c>
      <c r="AX539" s="139">
        <v>3</v>
      </c>
      <c r="AY539" s="138">
        <v>1</v>
      </c>
      <c r="BA539" s="136">
        <v>30.19</v>
      </c>
      <c r="BB539" s="139">
        <v>8</v>
      </c>
      <c r="BC539" s="138">
        <v>25</v>
      </c>
    </row>
    <row r="540" spans="5:55" x14ac:dyDescent="0.3">
      <c r="E540" s="166">
        <v>30.34</v>
      </c>
      <c r="F540" s="167">
        <v>6</v>
      </c>
      <c r="G540" s="155" t="s">
        <v>864</v>
      </c>
      <c r="I540" s="136">
        <v>52.22</v>
      </c>
      <c r="J540" s="139">
        <v>10</v>
      </c>
      <c r="K540" s="138">
        <v>50</v>
      </c>
      <c r="M540" s="136">
        <v>29.42</v>
      </c>
      <c r="N540" s="139">
        <v>10</v>
      </c>
      <c r="O540" s="138">
        <v>50</v>
      </c>
      <c r="Q540" s="136">
        <v>53.25</v>
      </c>
      <c r="R540" s="139">
        <v>4</v>
      </c>
      <c r="S540" s="138">
        <v>2</v>
      </c>
      <c r="U540" s="136">
        <v>29.51</v>
      </c>
      <c r="V540" s="139">
        <v>16</v>
      </c>
      <c r="W540" s="138">
        <v>98</v>
      </c>
      <c r="Y540" s="136">
        <v>29.3</v>
      </c>
      <c r="Z540" s="139">
        <v>9</v>
      </c>
      <c r="AA540" s="138">
        <v>37</v>
      </c>
      <c r="AC540" s="136">
        <v>29.55</v>
      </c>
      <c r="AD540" s="139">
        <v>19</v>
      </c>
      <c r="AE540" s="138" t="s">
        <v>884</v>
      </c>
      <c r="AG540" s="136">
        <v>29.62</v>
      </c>
      <c r="AH540" s="137">
        <v>11</v>
      </c>
      <c r="AI540" s="138">
        <v>63</v>
      </c>
      <c r="AK540" s="136">
        <v>29.4</v>
      </c>
      <c r="AL540" s="139">
        <v>19</v>
      </c>
      <c r="AM540" s="138" t="s">
        <v>884</v>
      </c>
      <c r="AO540" s="136">
        <v>52.17</v>
      </c>
      <c r="AP540" s="139">
        <v>4</v>
      </c>
      <c r="AQ540" s="138">
        <v>2</v>
      </c>
      <c r="AS540" s="136">
        <v>29.36</v>
      </c>
      <c r="AT540" s="139">
        <v>10</v>
      </c>
      <c r="AU540" s="138">
        <v>50</v>
      </c>
      <c r="AW540" s="136">
        <v>52.19</v>
      </c>
      <c r="AX540" s="139">
        <v>4</v>
      </c>
      <c r="AY540" s="138">
        <v>2</v>
      </c>
      <c r="BA540" s="136">
        <v>30.2</v>
      </c>
      <c r="BB540" s="139">
        <v>9</v>
      </c>
      <c r="BC540" s="138">
        <v>37</v>
      </c>
    </row>
    <row r="541" spans="5:55" x14ac:dyDescent="0.3">
      <c r="E541" s="166">
        <v>30.36</v>
      </c>
      <c r="F541" s="167">
        <v>7</v>
      </c>
      <c r="G541" s="155" t="s">
        <v>878</v>
      </c>
      <c r="I541" s="136">
        <v>52.24</v>
      </c>
      <c r="J541" s="139">
        <v>11</v>
      </c>
      <c r="K541" s="138">
        <v>63</v>
      </c>
      <c r="M541" s="136">
        <v>29.44</v>
      </c>
      <c r="N541" s="139">
        <v>11</v>
      </c>
      <c r="O541" s="138">
        <v>63</v>
      </c>
      <c r="Q541" s="136">
        <v>53.27</v>
      </c>
      <c r="R541" s="139">
        <v>5</v>
      </c>
      <c r="S541" s="138">
        <v>5</v>
      </c>
      <c r="U541" s="136">
        <v>29.54</v>
      </c>
      <c r="V541" s="139">
        <v>17</v>
      </c>
      <c r="W541" s="138">
        <v>99</v>
      </c>
      <c r="Y541" s="136">
        <v>29.31</v>
      </c>
      <c r="Z541" s="139">
        <v>10</v>
      </c>
      <c r="AA541" s="138">
        <v>50</v>
      </c>
      <c r="AC541" s="136">
        <v>30</v>
      </c>
      <c r="AD541" s="139">
        <v>1</v>
      </c>
      <c r="AE541" s="138" t="s">
        <v>883</v>
      </c>
      <c r="AG541" s="136">
        <v>29.64</v>
      </c>
      <c r="AH541" s="137">
        <v>12</v>
      </c>
      <c r="AI541" s="138">
        <v>75</v>
      </c>
      <c r="AK541" s="136">
        <v>30</v>
      </c>
      <c r="AL541" s="139">
        <v>1</v>
      </c>
      <c r="AM541" s="138" t="s">
        <v>883</v>
      </c>
      <c r="AO541" s="136">
        <v>52.19</v>
      </c>
      <c r="AP541" s="139">
        <v>5</v>
      </c>
      <c r="AQ541" s="138">
        <v>5</v>
      </c>
      <c r="AS541" s="136">
        <v>29.37</v>
      </c>
      <c r="AT541" s="139">
        <v>11</v>
      </c>
      <c r="AU541" s="138">
        <v>63</v>
      </c>
      <c r="AW541" s="136">
        <v>52.21</v>
      </c>
      <c r="AX541" s="139">
        <v>5</v>
      </c>
      <c r="AY541" s="138">
        <v>5</v>
      </c>
      <c r="BA541" s="136">
        <v>30.21</v>
      </c>
      <c r="BB541" s="139">
        <v>10</v>
      </c>
      <c r="BC541" s="138">
        <v>50</v>
      </c>
    </row>
    <row r="542" spans="5:55" x14ac:dyDescent="0.3">
      <c r="E542" s="166">
        <v>30.38</v>
      </c>
      <c r="F542" s="167">
        <v>8</v>
      </c>
      <c r="G542" s="155" t="s">
        <v>865</v>
      </c>
      <c r="I542" s="136">
        <v>52.25</v>
      </c>
      <c r="J542" s="139">
        <v>12</v>
      </c>
      <c r="K542" s="138">
        <v>75</v>
      </c>
      <c r="M542" s="136">
        <v>29.46</v>
      </c>
      <c r="N542" s="139">
        <v>12</v>
      </c>
      <c r="O542" s="138">
        <v>75</v>
      </c>
      <c r="Q542" s="136">
        <v>53.29</v>
      </c>
      <c r="R542" s="139">
        <v>6</v>
      </c>
      <c r="S542" s="138">
        <v>9</v>
      </c>
      <c r="U542" s="136">
        <v>29.57</v>
      </c>
      <c r="V542" s="139">
        <v>18</v>
      </c>
      <c r="W542" s="138" t="s">
        <v>884</v>
      </c>
      <c r="Y542" s="136">
        <v>29.32</v>
      </c>
      <c r="Z542" s="139">
        <v>11</v>
      </c>
      <c r="AA542" s="138">
        <v>63</v>
      </c>
      <c r="AC542" s="136">
        <v>30.21</v>
      </c>
      <c r="AD542" s="139">
        <v>2</v>
      </c>
      <c r="AE542" s="138" t="s">
        <v>883</v>
      </c>
      <c r="AG542" s="136">
        <v>29.66</v>
      </c>
      <c r="AH542" s="137">
        <v>13</v>
      </c>
      <c r="AI542" s="138">
        <v>85</v>
      </c>
      <c r="AK542" s="136">
        <v>30.23</v>
      </c>
      <c r="AL542" s="139">
        <v>2</v>
      </c>
      <c r="AM542" s="138" t="s">
        <v>883</v>
      </c>
      <c r="AO542" s="136">
        <v>52.2</v>
      </c>
      <c r="AP542" s="139">
        <v>6</v>
      </c>
      <c r="AQ542" s="138">
        <v>9</v>
      </c>
      <c r="AS542" s="136">
        <v>29.39</v>
      </c>
      <c r="AT542" s="139">
        <v>12</v>
      </c>
      <c r="AU542" s="138">
        <v>75</v>
      </c>
      <c r="AW542" s="136">
        <v>52.23</v>
      </c>
      <c r="AX542" s="139">
        <v>6</v>
      </c>
      <c r="AY542" s="138">
        <v>9</v>
      </c>
      <c r="BA542" s="136">
        <v>30.23</v>
      </c>
      <c r="BB542" s="139">
        <v>11</v>
      </c>
      <c r="BC542" s="138">
        <v>63</v>
      </c>
    </row>
    <row r="543" spans="5:55" x14ac:dyDescent="0.3">
      <c r="E543" s="166">
        <v>30.4</v>
      </c>
      <c r="F543" s="167">
        <v>9</v>
      </c>
      <c r="G543" s="155" t="s">
        <v>879</v>
      </c>
      <c r="I543" s="136">
        <v>52.27</v>
      </c>
      <c r="J543" s="139">
        <v>13</v>
      </c>
      <c r="K543" s="138">
        <v>85</v>
      </c>
      <c r="M543" s="136">
        <v>29.47</v>
      </c>
      <c r="N543" s="139">
        <v>13</v>
      </c>
      <c r="O543" s="138">
        <v>85</v>
      </c>
      <c r="Q543" s="136">
        <v>53.3</v>
      </c>
      <c r="R543" s="139">
        <v>7</v>
      </c>
      <c r="S543" s="138">
        <v>16</v>
      </c>
      <c r="U543" s="136">
        <v>29.62</v>
      </c>
      <c r="V543" s="139">
        <v>19</v>
      </c>
      <c r="W543" s="138" t="s">
        <v>884</v>
      </c>
      <c r="Y543" s="136">
        <v>29.33</v>
      </c>
      <c r="Z543" s="139">
        <v>12</v>
      </c>
      <c r="AA543" s="138">
        <v>75</v>
      </c>
      <c r="AC543" s="136">
        <v>30.24</v>
      </c>
      <c r="AD543" s="139">
        <v>3</v>
      </c>
      <c r="AE543" s="138">
        <v>1</v>
      </c>
      <c r="AG543" s="136">
        <v>29.67</v>
      </c>
      <c r="AH543" s="137">
        <v>14</v>
      </c>
      <c r="AI543" s="138">
        <v>91</v>
      </c>
      <c r="AK543" s="136">
        <v>30.25</v>
      </c>
      <c r="AL543" s="139">
        <v>3</v>
      </c>
      <c r="AM543" s="138">
        <v>1</v>
      </c>
      <c r="AO543" s="136">
        <v>52.21</v>
      </c>
      <c r="AP543" s="139">
        <v>7</v>
      </c>
      <c r="AQ543" s="138">
        <v>16</v>
      </c>
      <c r="AS543" s="136">
        <v>29.4</v>
      </c>
      <c r="AT543" s="139">
        <v>13</v>
      </c>
      <c r="AU543" s="138">
        <v>85</v>
      </c>
      <c r="AW543" s="136">
        <v>52.25</v>
      </c>
      <c r="AX543" s="139">
        <v>7</v>
      </c>
      <c r="AY543" s="138">
        <v>16</v>
      </c>
      <c r="BA543" s="136">
        <v>30.24</v>
      </c>
      <c r="BB543" s="139">
        <v>12</v>
      </c>
      <c r="BC543" s="138">
        <v>75</v>
      </c>
    </row>
    <row r="544" spans="5:55" x14ac:dyDescent="0.3">
      <c r="E544" s="166">
        <v>30.42</v>
      </c>
      <c r="F544" s="167">
        <v>10</v>
      </c>
      <c r="G544" s="155" t="s">
        <v>866</v>
      </c>
      <c r="I544" s="136">
        <v>52.29</v>
      </c>
      <c r="J544" s="139">
        <v>14</v>
      </c>
      <c r="K544" s="138">
        <v>91</v>
      </c>
      <c r="M544" s="136">
        <v>29.48</v>
      </c>
      <c r="N544" s="139">
        <v>14</v>
      </c>
      <c r="O544" s="138">
        <v>91</v>
      </c>
      <c r="Q544" s="136">
        <v>53.31</v>
      </c>
      <c r="R544" s="139">
        <v>8</v>
      </c>
      <c r="S544" s="138">
        <v>25</v>
      </c>
      <c r="U544" s="136">
        <v>30</v>
      </c>
      <c r="V544" s="139">
        <v>1</v>
      </c>
      <c r="W544" s="138" t="s">
        <v>883</v>
      </c>
      <c r="Y544" s="136">
        <v>29.35</v>
      </c>
      <c r="Z544" s="139">
        <v>13</v>
      </c>
      <c r="AA544" s="138">
        <v>85</v>
      </c>
      <c r="AC544" s="136">
        <v>30.26</v>
      </c>
      <c r="AD544" s="139">
        <v>4</v>
      </c>
      <c r="AE544" s="138">
        <v>2</v>
      </c>
      <c r="AG544" s="136">
        <v>29.69</v>
      </c>
      <c r="AH544" s="137">
        <v>15</v>
      </c>
      <c r="AI544" s="138">
        <v>95</v>
      </c>
      <c r="AK544" s="136">
        <v>30.26</v>
      </c>
      <c r="AL544" s="139">
        <v>4</v>
      </c>
      <c r="AM544" s="138">
        <v>2</v>
      </c>
      <c r="AO544" s="136">
        <v>52.22</v>
      </c>
      <c r="AP544" s="139">
        <v>8</v>
      </c>
      <c r="AQ544" s="138">
        <v>25</v>
      </c>
      <c r="AS544" s="136">
        <v>29.42</v>
      </c>
      <c r="AT544" s="139">
        <v>14</v>
      </c>
      <c r="AU544" s="138">
        <v>91</v>
      </c>
      <c r="AW544" s="136">
        <v>52.27</v>
      </c>
      <c r="AX544" s="139">
        <v>8</v>
      </c>
      <c r="AY544" s="138">
        <v>25</v>
      </c>
      <c r="BA544" s="136">
        <v>30.25</v>
      </c>
      <c r="BB544" s="139">
        <v>13</v>
      </c>
      <c r="BC544" s="138">
        <v>85</v>
      </c>
    </row>
    <row r="545" spans="5:55" x14ac:dyDescent="0.3">
      <c r="E545" s="166">
        <v>30.44</v>
      </c>
      <c r="F545" s="167">
        <v>11</v>
      </c>
      <c r="G545" s="155" t="s">
        <v>867</v>
      </c>
      <c r="I545" s="136">
        <v>52.31</v>
      </c>
      <c r="J545" s="139">
        <v>15</v>
      </c>
      <c r="K545" s="138">
        <v>95</v>
      </c>
      <c r="M545" s="136">
        <v>29.49</v>
      </c>
      <c r="N545" s="139">
        <v>15</v>
      </c>
      <c r="O545" s="138">
        <v>95</v>
      </c>
      <c r="Q545" s="136">
        <v>53.33</v>
      </c>
      <c r="R545" s="139">
        <v>9</v>
      </c>
      <c r="S545" s="138">
        <v>37</v>
      </c>
      <c r="U545" s="136">
        <v>30.14</v>
      </c>
      <c r="V545" s="139">
        <v>2</v>
      </c>
      <c r="W545" s="138" t="s">
        <v>883</v>
      </c>
      <c r="Y545" s="136">
        <v>29.36</v>
      </c>
      <c r="Z545" s="139">
        <v>14</v>
      </c>
      <c r="AA545" s="138">
        <v>91</v>
      </c>
      <c r="AC545" s="136">
        <v>30.28</v>
      </c>
      <c r="AD545" s="139">
        <v>5</v>
      </c>
      <c r="AE545" s="138">
        <v>5</v>
      </c>
      <c r="AG545" s="136">
        <v>29.71</v>
      </c>
      <c r="AH545" s="137">
        <v>16</v>
      </c>
      <c r="AI545" s="138">
        <v>98</v>
      </c>
      <c r="AK545" s="136">
        <v>30.27</v>
      </c>
      <c r="AL545" s="139">
        <v>5</v>
      </c>
      <c r="AM545" s="138">
        <v>5</v>
      </c>
      <c r="AO545" s="136">
        <v>52.23</v>
      </c>
      <c r="AP545" s="139">
        <v>9</v>
      </c>
      <c r="AQ545" s="138">
        <v>37</v>
      </c>
      <c r="AS545" s="136">
        <v>29.43</v>
      </c>
      <c r="AT545" s="139">
        <v>15</v>
      </c>
      <c r="AU545" s="138">
        <v>95</v>
      </c>
      <c r="AW545" s="136">
        <v>52.29</v>
      </c>
      <c r="AX545" s="139">
        <v>9</v>
      </c>
      <c r="AY545" s="138">
        <v>37</v>
      </c>
      <c r="BA545" s="136">
        <v>30.27</v>
      </c>
      <c r="BB545" s="139">
        <v>14</v>
      </c>
      <c r="BC545" s="138">
        <v>91</v>
      </c>
    </row>
    <row r="546" spans="5:55" x14ac:dyDescent="0.3">
      <c r="E546" s="166">
        <v>30.46</v>
      </c>
      <c r="F546" s="167">
        <v>12</v>
      </c>
      <c r="G546" s="155" t="s">
        <v>868</v>
      </c>
      <c r="I546" s="136">
        <v>52.32</v>
      </c>
      <c r="J546" s="139">
        <v>16</v>
      </c>
      <c r="K546" s="138">
        <v>98</v>
      </c>
      <c r="M546" s="136">
        <v>29.51</v>
      </c>
      <c r="N546" s="139">
        <v>16</v>
      </c>
      <c r="O546" s="138">
        <v>98</v>
      </c>
      <c r="Q546" s="136">
        <v>53.35</v>
      </c>
      <c r="R546" s="139">
        <v>10</v>
      </c>
      <c r="S546" s="138">
        <v>50</v>
      </c>
      <c r="U546" s="136">
        <v>30.2</v>
      </c>
      <c r="V546" s="139">
        <v>3</v>
      </c>
      <c r="W546" s="138">
        <v>1</v>
      </c>
      <c r="Y546" s="136">
        <v>29.37</v>
      </c>
      <c r="Z546" s="139">
        <v>15</v>
      </c>
      <c r="AA546" s="138">
        <v>95</v>
      </c>
      <c r="AC546" s="136">
        <v>30.3</v>
      </c>
      <c r="AD546" s="139">
        <v>6</v>
      </c>
      <c r="AE546" s="138">
        <v>9</v>
      </c>
      <c r="AG546" s="136">
        <v>29.73</v>
      </c>
      <c r="AH546" s="137">
        <v>17</v>
      </c>
      <c r="AI546" s="138">
        <v>99</v>
      </c>
      <c r="AK546" s="136">
        <v>30.28</v>
      </c>
      <c r="AL546" s="139">
        <v>6</v>
      </c>
      <c r="AM546" s="138">
        <v>9</v>
      </c>
      <c r="AO546" s="136">
        <v>52.24</v>
      </c>
      <c r="AP546" s="139">
        <v>10</v>
      </c>
      <c r="AQ546" s="138">
        <v>50</v>
      </c>
      <c r="AS546" s="136">
        <v>29.45</v>
      </c>
      <c r="AT546" s="139">
        <v>16</v>
      </c>
      <c r="AU546" s="138">
        <v>98</v>
      </c>
      <c r="AW546" s="136">
        <v>52.32</v>
      </c>
      <c r="AX546" s="139">
        <v>10</v>
      </c>
      <c r="AY546" s="138">
        <v>50</v>
      </c>
      <c r="BA546" s="136">
        <v>30.28</v>
      </c>
      <c r="BB546" s="139">
        <v>15</v>
      </c>
      <c r="BC546" s="138">
        <v>95</v>
      </c>
    </row>
    <row r="547" spans="5:55" x14ac:dyDescent="0.3">
      <c r="E547" s="166">
        <v>30.48</v>
      </c>
      <c r="F547" s="167">
        <v>13</v>
      </c>
      <c r="G547" s="155" t="s">
        <v>869</v>
      </c>
      <c r="I547" s="136">
        <v>52.34</v>
      </c>
      <c r="J547" s="139">
        <v>17</v>
      </c>
      <c r="K547" s="138">
        <v>99</v>
      </c>
      <c r="M547" s="136">
        <v>29.52</v>
      </c>
      <c r="N547" s="139">
        <v>17</v>
      </c>
      <c r="O547" s="138">
        <v>99</v>
      </c>
      <c r="Q547" s="136">
        <v>53.37</v>
      </c>
      <c r="R547" s="139">
        <v>11</v>
      </c>
      <c r="S547" s="138">
        <v>63</v>
      </c>
      <c r="U547" s="136">
        <v>30.23</v>
      </c>
      <c r="V547" s="139">
        <v>4</v>
      </c>
      <c r="W547" s="138">
        <v>2</v>
      </c>
      <c r="Y547" s="136">
        <v>29.38</v>
      </c>
      <c r="Z547" s="139">
        <v>16</v>
      </c>
      <c r="AA547" s="138">
        <v>98</v>
      </c>
      <c r="AC547" s="136">
        <v>30.32</v>
      </c>
      <c r="AD547" s="139">
        <v>7</v>
      </c>
      <c r="AE547" s="138">
        <v>16</v>
      </c>
      <c r="AG547" s="136">
        <v>29.75</v>
      </c>
      <c r="AH547" s="137">
        <v>18</v>
      </c>
      <c r="AI547" s="138" t="s">
        <v>884</v>
      </c>
      <c r="AK547" s="136">
        <v>30.29</v>
      </c>
      <c r="AL547" s="139">
        <v>7</v>
      </c>
      <c r="AM547" s="138">
        <v>16</v>
      </c>
      <c r="AO547" s="136">
        <v>52.25</v>
      </c>
      <c r="AP547" s="139">
        <v>11</v>
      </c>
      <c r="AQ547" s="138">
        <v>63</v>
      </c>
      <c r="AS547" s="136">
        <v>29.46</v>
      </c>
      <c r="AT547" s="139">
        <v>17</v>
      </c>
      <c r="AU547" s="138">
        <v>99</v>
      </c>
      <c r="AW547" s="136">
        <v>52.34</v>
      </c>
      <c r="AX547" s="139">
        <v>11</v>
      </c>
      <c r="AY547" s="138">
        <v>63</v>
      </c>
      <c r="BA547" s="136">
        <v>30.29</v>
      </c>
      <c r="BB547" s="139">
        <v>16</v>
      </c>
      <c r="BC547" s="138">
        <v>98</v>
      </c>
    </row>
    <row r="548" spans="5:55" x14ac:dyDescent="0.3">
      <c r="E548" s="166">
        <v>30.5</v>
      </c>
      <c r="F548" s="167">
        <v>14</v>
      </c>
      <c r="G548" s="155" t="s">
        <v>870</v>
      </c>
      <c r="I548" s="136">
        <v>52.36</v>
      </c>
      <c r="J548" s="139">
        <v>18</v>
      </c>
      <c r="K548" s="138" t="s">
        <v>884</v>
      </c>
      <c r="M548" s="136">
        <v>29.54</v>
      </c>
      <c r="N548" s="139">
        <v>18</v>
      </c>
      <c r="O548" s="138" t="s">
        <v>884</v>
      </c>
      <c r="Q548" s="136">
        <v>53.38</v>
      </c>
      <c r="R548" s="139">
        <v>12</v>
      </c>
      <c r="S548" s="138">
        <v>75</v>
      </c>
      <c r="U548" s="136">
        <v>30.26</v>
      </c>
      <c r="V548" s="139">
        <v>5</v>
      </c>
      <c r="W548" s="138">
        <v>5</v>
      </c>
      <c r="Y548" s="136">
        <v>29.4</v>
      </c>
      <c r="Z548" s="139">
        <v>17</v>
      </c>
      <c r="AA548" s="138">
        <v>99</v>
      </c>
      <c r="AC548" s="136">
        <v>30.35</v>
      </c>
      <c r="AD548" s="139">
        <v>8</v>
      </c>
      <c r="AE548" s="138">
        <v>25</v>
      </c>
      <c r="AG548" s="136">
        <v>29.76</v>
      </c>
      <c r="AH548" s="137">
        <v>19</v>
      </c>
      <c r="AI548" s="138" t="s">
        <v>884</v>
      </c>
      <c r="AK548" s="136">
        <v>30.3</v>
      </c>
      <c r="AL548" s="139">
        <v>8</v>
      </c>
      <c r="AM548" s="138">
        <v>25</v>
      </c>
      <c r="AO548" s="136">
        <v>52.26</v>
      </c>
      <c r="AP548" s="139">
        <v>12</v>
      </c>
      <c r="AQ548" s="138">
        <v>75</v>
      </c>
      <c r="AS548" s="136">
        <v>29.48</v>
      </c>
      <c r="AT548" s="139">
        <v>18</v>
      </c>
      <c r="AU548" s="138" t="s">
        <v>884</v>
      </c>
      <c r="AW548" s="136">
        <v>52.36</v>
      </c>
      <c r="AX548" s="139">
        <v>12</v>
      </c>
      <c r="AY548" s="138">
        <v>75</v>
      </c>
      <c r="BA548" s="136">
        <v>30.31</v>
      </c>
      <c r="BB548" s="139">
        <v>17</v>
      </c>
      <c r="BC548" s="138">
        <v>99</v>
      </c>
    </row>
    <row r="549" spans="5:55" x14ac:dyDescent="0.3">
      <c r="E549" s="166">
        <v>30.52</v>
      </c>
      <c r="F549" s="167">
        <v>15</v>
      </c>
      <c r="G549" s="155" t="s">
        <v>871</v>
      </c>
      <c r="I549" s="136">
        <v>52.39</v>
      </c>
      <c r="J549" s="139">
        <v>19</v>
      </c>
      <c r="K549" s="138" t="s">
        <v>884</v>
      </c>
      <c r="M549" s="136">
        <v>29.55</v>
      </c>
      <c r="N549" s="139">
        <v>19</v>
      </c>
      <c r="O549" s="138" t="s">
        <v>884</v>
      </c>
      <c r="Q549" s="136">
        <v>53.39</v>
      </c>
      <c r="R549" s="139">
        <v>13</v>
      </c>
      <c r="S549" s="138">
        <v>85</v>
      </c>
      <c r="U549" s="136">
        <v>30.28</v>
      </c>
      <c r="V549" s="139">
        <v>6</v>
      </c>
      <c r="W549" s="138">
        <v>9</v>
      </c>
      <c r="Y549" s="136">
        <v>29.41</v>
      </c>
      <c r="Z549" s="139">
        <v>18</v>
      </c>
      <c r="AA549" s="138" t="s">
        <v>884</v>
      </c>
      <c r="AC549" s="136">
        <v>30.37</v>
      </c>
      <c r="AD549" s="139">
        <v>9</v>
      </c>
      <c r="AE549" s="138">
        <v>37</v>
      </c>
      <c r="AG549" s="136">
        <v>30</v>
      </c>
      <c r="AH549" s="137">
        <v>1</v>
      </c>
      <c r="AI549" s="138" t="s">
        <v>883</v>
      </c>
      <c r="AK549" s="136">
        <v>30.31</v>
      </c>
      <c r="AL549" s="139">
        <v>9</v>
      </c>
      <c r="AM549" s="138">
        <v>37</v>
      </c>
      <c r="AO549" s="136">
        <v>52.27</v>
      </c>
      <c r="AP549" s="139">
        <v>13</v>
      </c>
      <c r="AQ549" s="138">
        <v>85</v>
      </c>
      <c r="AS549" s="136">
        <v>29.5</v>
      </c>
      <c r="AT549" s="139">
        <v>19</v>
      </c>
      <c r="AU549" s="138" t="s">
        <v>884</v>
      </c>
      <c r="AW549" s="136">
        <v>52.38</v>
      </c>
      <c r="AX549" s="139">
        <v>13</v>
      </c>
      <c r="AY549" s="138">
        <v>85</v>
      </c>
      <c r="BA549" s="136">
        <v>30.32</v>
      </c>
      <c r="BB549" s="139">
        <v>18</v>
      </c>
      <c r="BC549" s="138" t="s">
        <v>884</v>
      </c>
    </row>
    <row r="550" spans="5:55" x14ac:dyDescent="0.3">
      <c r="E550" s="166">
        <v>30.54</v>
      </c>
      <c r="F550" s="167">
        <v>16</v>
      </c>
      <c r="G550" s="155" t="s">
        <v>872</v>
      </c>
      <c r="I550" s="136">
        <v>53</v>
      </c>
      <c r="J550" s="139">
        <v>1</v>
      </c>
      <c r="K550" s="138" t="s">
        <v>883</v>
      </c>
      <c r="M550" s="136">
        <v>30</v>
      </c>
      <c r="N550" s="139">
        <v>1</v>
      </c>
      <c r="O550" s="138" t="s">
        <v>883</v>
      </c>
      <c r="Q550" s="136">
        <v>53.41</v>
      </c>
      <c r="R550" s="139">
        <v>14</v>
      </c>
      <c r="S550" s="138">
        <v>91</v>
      </c>
      <c r="U550" s="136">
        <v>30.31</v>
      </c>
      <c r="V550" s="139">
        <v>7</v>
      </c>
      <c r="W550" s="138">
        <v>16</v>
      </c>
      <c r="Y550" s="136">
        <v>29.42</v>
      </c>
      <c r="Z550" s="139">
        <v>19</v>
      </c>
      <c r="AA550" s="138" t="s">
        <v>884</v>
      </c>
      <c r="AC550" s="136">
        <v>30.39</v>
      </c>
      <c r="AD550" s="139">
        <v>10</v>
      </c>
      <c r="AE550" s="138">
        <v>50</v>
      </c>
      <c r="AG550" s="136">
        <v>30.46</v>
      </c>
      <c r="AH550" s="137">
        <v>2</v>
      </c>
      <c r="AI550" s="138" t="s">
        <v>883</v>
      </c>
      <c r="AK550" s="136">
        <v>30.32</v>
      </c>
      <c r="AL550" s="139">
        <v>10</v>
      </c>
      <c r="AM550" s="138">
        <v>50</v>
      </c>
      <c r="AO550" s="136">
        <v>52.29</v>
      </c>
      <c r="AP550" s="139">
        <v>14</v>
      </c>
      <c r="AQ550" s="138">
        <v>91</v>
      </c>
      <c r="AS550" s="136">
        <v>30</v>
      </c>
      <c r="AT550" s="139">
        <v>1</v>
      </c>
      <c r="AU550" s="138" t="s">
        <v>883</v>
      </c>
      <c r="AW550" s="136">
        <v>52.4</v>
      </c>
      <c r="AX550" s="139">
        <v>14</v>
      </c>
      <c r="AY550" s="138">
        <v>91</v>
      </c>
      <c r="BA550" s="136">
        <v>30.35</v>
      </c>
      <c r="BB550" s="139">
        <v>19</v>
      </c>
      <c r="BC550" s="138" t="s">
        <v>884</v>
      </c>
    </row>
    <row r="551" spans="5:55" x14ac:dyDescent="0.3">
      <c r="E551" s="166">
        <v>30.56</v>
      </c>
      <c r="F551" s="167">
        <v>17</v>
      </c>
      <c r="G551" s="155" t="s">
        <v>873</v>
      </c>
      <c r="I551" s="136">
        <v>53.06</v>
      </c>
      <c r="J551" s="139">
        <v>2</v>
      </c>
      <c r="K551" s="138" t="s">
        <v>883</v>
      </c>
      <c r="M551" s="136">
        <v>30.25</v>
      </c>
      <c r="N551" s="139">
        <v>2</v>
      </c>
      <c r="O551" s="138" t="s">
        <v>883</v>
      </c>
      <c r="Q551" s="136">
        <v>53.42</v>
      </c>
      <c r="R551" s="139">
        <v>15</v>
      </c>
      <c r="S551" s="138">
        <v>95</v>
      </c>
      <c r="U551" s="136">
        <v>30.34</v>
      </c>
      <c r="V551" s="139">
        <v>8</v>
      </c>
      <c r="W551" s="138">
        <v>25</v>
      </c>
      <c r="Y551" s="136">
        <v>30</v>
      </c>
      <c r="Z551" s="139">
        <v>1</v>
      </c>
      <c r="AA551" s="138" t="s">
        <v>883</v>
      </c>
      <c r="AC551" s="136">
        <v>30.41</v>
      </c>
      <c r="AD551" s="139">
        <v>11</v>
      </c>
      <c r="AE551" s="138">
        <v>63</v>
      </c>
      <c r="AG551" s="136">
        <v>30.49</v>
      </c>
      <c r="AH551" s="137">
        <v>3</v>
      </c>
      <c r="AI551" s="138">
        <v>1</v>
      </c>
      <c r="AK551" s="136">
        <v>30.33</v>
      </c>
      <c r="AL551" s="139">
        <v>11</v>
      </c>
      <c r="AM551" s="138">
        <v>63</v>
      </c>
      <c r="AO551" s="136">
        <v>52.3</v>
      </c>
      <c r="AP551" s="139">
        <v>15</v>
      </c>
      <c r="AQ551" s="138">
        <v>95</v>
      </c>
      <c r="AS551" s="136">
        <v>30.25</v>
      </c>
      <c r="AT551" s="139">
        <v>2</v>
      </c>
      <c r="AU551" s="138" t="s">
        <v>883</v>
      </c>
      <c r="AW551" s="136">
        <v>52.42</v>
      </c>
      <c r="AX551" s="139">
        <v>15</v>
      </c>
      <c r="AY551" s="138">
        <v>95</v>
      </c>
      <c r="BA551" s="136">
        <v>31</v>
      </c>
      <c r="BB551" s="139">
        <v>1</v>
      </c>
      <c r="BC551" s="138" t="s">
        <v>883</v>
      </c>
    </row>
    <row r="552" spans="5:55" x14ac:dyDescent="0.3">
      <c r="E552" s="166">
        <v>30.58</v>
      </c>
      <c r="F552" s="167">
        <v>18</v>
      </c>
      <c r="G552" s="155" t="s">
        <v>874</v>
      </c>
      <c r="I552" s="136">
        <v>53.11</v>
      </c>
      <c r="J552" s="139">
        <v>3</v>
      </c>
      <c r="K552" s="138">
        <v>1</v>
      </c>
      <c r="M552" s="136">
        <v>30.31</v>
      </c>
      <c r="N552" s="139">
        <v>3</v>
      </c>
      <c r="O552" s="138">
        <v>1</v>
      </c>
      <c r="Q552" s="136">
        <v>53.43</v>
      </c>
      <c r="R552" s="139">
        <v>16</v>
      </c>
      <c r="S552" s="138">
        <v>98</v>
      </c>
      <c r="U552" s="136">
        <v>30.37</v>
      </c>
      <c r="V552" s="139">
        <v>9</v>
      </c>
      <c r="W552" s="138">
        <v>37</v>
      </c>
      <c r="Y552" s="136">
        <v>30.23</v>
      </c>
      <c r="Z552" s="139">
        <v>2</v>
      </c>
      <c r="AA552" s="138" t="s">
        <v>883</v>
      </c>
      <c r="AC552" s="136">
        <v>30.43</v>
      </c>
      <c r="AD552" s="139">
        <v>12</v>
      </c>
      <c r="AE552" s="138">
        <v>75</v>
      </c>
      <c r="AG552" s="136">
        <v>30.51</v>
      </c>
      <c r="AH552" s="137">
        <v>4</v>
      </c>
      <c r="AI552" s="138">
        <v>2</v>
      </c>
      <c r="AK552" s="136">
        <v>30.34</v>
      </c>
      <c r="AL552" s="139">
        <v>12</v>
      </c>
      <c r="AM552" s="138">
        <v>75</v>
      </c>
      <c r="AO552" s="136">
        <v>52.32</v>
      </c>
      <c r="AP552" s="139">
        <v>16</v>
      </c>
      <c r="AQ552" s="138">
        <v>98</v>
      </c>
      <c r="AS552" s="136">
        <v>30.26</v>
      </c>
      <c r="AT552" s="139">
        <v>3</v>
      </c>
      <c r="AU552" s="138">
        <v>1</v>
      </c>
      <c r="AW552" s="136">
        <v>52.44</v>
      </c>
      <c r="AX552" s="139">
        <v>16</v>
      </c>
      <c r="AY552" s="138">
        <v>98</v>
      </c>
      <c r="BA552" s="136">
        <v>31.11</v>
      </c>
      <c r="BB552" s="139">
        <v>2</v>
      </c>
      <c r="BC552" s="138" t="s">
        <v>883</v>
      </c>
    </row>
    <row r="553" spans="5:55" x14ac:dyDescent="0.3">
      <c r="E553" s="166">
        <v>30.6</v>
      </c>
      <c r="F553" s="167">
        <v>19</v>
      </c>
      <c r="G553" s="155" t="s">
        <v>874</v>
      </c>
      <c r="I553" s="136">
        <v>53.12</v>
      </c>
      <c r="J553" s="139">
        <v>4</v>
      </c>
      <c r="K553" s="138">
        <v>2</v>
      </c>
      <c r="M553" s="136">
        <v>30.33</v>
      </c>
      <c r="N553" s="139">
        <v>4</v>
      </c>
      <c r="O553" s="138">
        <v>2</v>
      </c>
      <c r="Q553" s="136">
        <v>53.45</v>
      </c>
      <c r="R553" s="139">
        <v>17</v>
      </c>
      <c r="S553" s="138">
        <v>99</v>
      </c>
      <c r="U553" s="136">
        <v>30.4</v>
      </c>
      <c r="V553" s="139">
        <v>10</v>
      </c>
      <c r="W553" s="138">
        <v>50</v>
      </c>
      <c r="Y553" s="136">
        <v>30.24</v>
      </c>
      <c r="Z553" s="139">
        <v>3</v>
      </c>
      <c r="AA553" s="138">
        <v>1</v>
      </c>
      <c r="AC553" s="136">
        <v>30.45</v>
      </c>
      <c r="AD553" s="139">
        <v>13</v>
      </c>
      <c r="AE553" s="138">
        <v>85</v>
      </c>
      <c r="AG553" s="136">
        <v>30.53</v>
      </c>
      <c r="AH553" s="137">
        <v>5</v>
      </c>
      <c r="AI553" s="138">
        <v>5</v>
      </c>
      <c r="AK553" s="136">
        <v>30.35</v>
      </c>
      <c r="AL553" s="139">
        <v>13</v>
      </c>
      <c r="AM553" s="138">
        <v>85</v>
      </c>
      <c r="AO553" s="136">
        <v>52.33</v>
      </c>
      <c r="AP553" s="139">
        <v>17</v>
      </c>
      <c r="AQ553" s="138">
        <v>99</v>
      </c>
      <c r="AS553" s="136">
        <v>30.28</v>
      </c>
      <c r="AT553" s="139">
        <v>4</v>
      </c>
      <c r="AU553" s="138">
        <v>2</v>
      </c>
      <c r="AW553" s="136">
        <v>52.46</v>
      </c>
      <c r="AX553" s="139">
        <v>17</v>
      </c>
      <c r="AY553" s="138">
        <v>99</v>
      </c>
      <c r="BA553" s="136">
        <v>31.13</v>
      </c>
      <c r="BB553" s="139">
        <v>3</v>
      </c>
      <c r="BC553" s="138">
        <v>1</v>
      </c>
    </row>
    <row r="554" spans="5:55" x14ac:dyDescent="0.3">
      <c r="E554" s="166">
        <v>31</v>
      </c>
      <c r="F554" s="167">
        <v>1</v>
      </c>
      <c r="G554" s="155" t="s">
        <v>862</v>
      </c>
      <c r="I554" s="136">
        <v>53.14</v>
      </c>
      <c r="J554" s="139">
        <v>5</v>
      </c>
      <c r="K554" s="138">
        <v>5</v>
      </c>
      <c r="M554" s="136">
        <v>30.35</v>
      </c>
      <c r="N554" s="139">
        <v>5</v>
      </c>
      <c r="O554" s="138">
        <v>5</v>
      </c>
      <c r="Q554" s="136">
        <v>53.46</v>
      </c>
      <c r="R554" s="139">
        <v>18</v>
      </c>
      <c r="S554" s="138" t="s">
        <v>884</v>
      </c>
      <c r="U554" s="136">
        <v>30.43</v>
      </c>
      <c r="V554" s="139">
        <v>11</v>
      </c>
      <c r="W554" s="138">
        <v>63</v>
      </c>
      <c r="Y554" s="136">
        <v>30.26</v>
      </c>
      <c r="Z554" s="139">
        <v>4</v>
      </c>
      <c r="AA554" s="138">
        <v>2</v>
      </c>
      <c r="AC554" s="136">
        <v>30.47</v>
      </c>
      <c r="AD554" s="139">
        <v>14</v>
      </c>
      <c r="AE554" s="138">
        <v>91</v>
      </c>
      <c r="AG554" s="136">
        <v>30.55</v>
      </c>
      <c r="AH554" s="137">
        <v>6</v>
      </c>
      <c r="AI554" s="138">
        <v>9</v>
      </c>
      <c r="AK554" s="136">
        <v>30.36</v>
      </c>
      <c r="AL554" s="139">
        <v>14</v>
      </c>
      <c r="AM554" s="138">
        <v>91</v>
      </c>
      <c r="AO554" s="136">
        <v>52.34</v>
      </c>
      <c r="AP554" s="139">
        <v>18</v>
      </c>
      <c r="AQ554" s="138" t="s">
        <v>884</v>
      </c>
      <c r="AS554" s="136">
        <v>30.3</v>
      </c>
      <c r="AT554" s="139">
        <v>5</v>
      </c>
      <c r="AU554" s="138">
        <v>5</v>
      </c>
      <c r="AW554" s="136">
        <v>52.49</v>
      </c>
      <c r="AX554" s="139">
        <v>18</v>
      </c>
      <c r="AY554" s="138" t="s">
        <v>884</v>
      </c>
      <c r="BA554" s="136">
        <v>31.14</v>
      </c>
      <c r="BB554" s="139">
        <v>4</v>
      </c>
      <c r="BC554" s="138">
        <v>2</v>
      </c>
    </row>
    <row r="555" spans="5:55" x14ac:dyDescent="0.3">
      <c r="E555" s="166">
        <v>31.25</v>
      </c>
      <c r="F555" s="167">
        <v>2</v>
      </c>
      <c r="G555" s="155" t="s">
        <v>862</v>
      </c>
      <c r="I555" s="136">
        <v>53.15</v>
      </c>
      <c r="J555" s="139">
        <v>6</v>
      </c>
      <c r="K555" s="138">
        <v>9</v>
      </c>
      <c r="M555" s="136">
        <v>30.37</v>
      </c>
      <c r="N555" s="139">
        <v>6</v>
      </c>
      <c r="O555" s="138">
        <v>9</v>
      </c>
      <c r="Q555" s="136">
        <v>53.48</v>
      </c>
      <c r="R555" s="139">
        <v>19</v>
      </c>
      <c r="S555" s="138" t="s">
        <v>884</v>
      </c>
      <c r="U555" s="136">
        <v>30.46</v>
      </c>
      <c r="V555" s="139">
        <v>12</v>
      </c>
      <c r="W555" s="138">
        <v>75</v>
      </c>
      <c r="Y555" s="136">
        <v>30.27</v>
      </c>
      <c r="Z555" s="139">
        <v>5</v>
      </c>
      <c r="AA555" s="138">
        <v>5</v>
      </c>
      <c r="AC555" s="136">
        <v>30.49</v>
      </c>
      <c r="AD555" s="139">
        <v>15</v>
      </c>
      <c r="AE555" s="138">
        <v>95</v>
      </c>
      <c r="AG555" s="136">
        <v>30.57</v>
      </c>
      <c r="AH555" s="137">
        <v>7</v>
      </c>
      <c r="AI555" s="138">
        <v>16</v>
      </c>
      <c r="AK555" s="136">
        <v>30.38</v>
      </c>
      <c r="AL555" s="139">
        <v>15</v>
      </c>
      <c r="AM555" s="138">
        <v>95</v>
      </c>
      <c r="AO555" s="136">
        <v>52.37</v>
      </c>
      <c r="AP555" s="139">
        <v>19</v>
      </c>
      <c r="AQ555" s="138" t="s">
        <v>884</v>
      </c>
      <c r="AS555" s="136">
        <v>30.31</v>
      </c>
      <c r="AT555" s="139">
        <v>6</v>
      </c>
      <c r="AU555" s="138">
        <v>9</v>
      </c>
      <c r="AW555" s="136">
        <v>52.51</v>
      </c>
      <c r="AX555" s="139">
        <v>19</v>
      </c>
      <c r="AY555" s="138" t="s">
        <v>884</v>
      </c>
      <c r="BA555" s="136">
        <v>31.15</v>
      </c>
      <c r="BB555" s="139">
        <v>5</v>
      </c>
      <c r="BC555" s="138">
        <v>5</v>
      </c>
    </row>
    <row r="556" spans="5:55" x14ac:dyDescent="0.3">
      <c r="E556" s="166">
        <v>31.28</v>
      </c>
      <c r="F556" s="167">
        <v>3</v>
      </c>
      <c r="G556" s="155" t="s">
        <v>876</v>
      </c>
      <c r="I556" s="136">
        <v>53.17</v>
      </c>
      <c r="J556" s="139">
        <v>7</v>
      </c>
      <c r="K556" s="138">
        <v>16</v>
      </c>
      <c r="M556" s="136">
        <v>30.39</v>
      </c>
      <c r="N556" s="139">
        <v>7</v>
      </c>
      <c r="O556" s="138">
        <v>16</v>
      </c>
      <c r="Q556" s="136">
        <v>54</v>
      </c>
      <c r="R556" s="139">
        <v>1</v>
      </c>
      <c r="S556" s="138" t="s">
        <v>883</v>
      </c>
      <c r="U556" s="136">
        <v>30.49</v>
      </c>
      <c r="V556" s="139">
        <v>13</v>
      </c>
      <c r="W556" s="138">
        <v>85</v>
      </c>
      <c r="Y556" s="136">
        <v>30.28</v>
      </c>
      <c r="Z556" s="139">
        <v>6</v>
      </c>
      <c r="AA556" s="138">
        <v>9</v>
      </c>
      <c r="AC556" s="136">
        <v>30.51</v>
      </c>
      <c r="AD556" s="139">
        <v>16</v>
      </c>
      <c r="AE556" s="138">
        <v>98</v>
      </c>
      <c r="AG556" s="136">
        <v>30.58</v>
      </c>
      <c r="AH556" s="137">
        <v>8</v>
      </c>
      <c r="AI556" s="138">
        <v>25</v>
      </c>
      <c r="AK556" s="136">
        <v>30.39</v>
      </c>
      <c r="AL556" s="139">
        <v>16</v>
      </c>
      <c r="AM556" s="138">
        <v>98</v>
      </c>
      <c r="AO556" s="136">
        <v>53</v>
      </c>
      <c r="AP556" s="139">
        <v>1</v>
      </c>
      <c r="AQ556" s="138" t="s">
        <v>883</v>
      </c>
      <c r="AS556" s="136">
        <v>30.33</v>
      </c>
      <c r="AT556" s="139">
        <v>7</v>
      </c>
      <c r="AU556" s="138">
        <v>16</v>
      </c>
      <c r="AW556" s="136">
        <v>53</v>
      </c>
      <c r="AX556" s="139">
        <v>1</v>
      </c>
      <c r="AY556" s="138" t="s">
        <v>883</v>
      </c>
      <c r="BA556" s="136">
        <v>31.16</v>
      </c>
      <c r="BB556" s="139">
        <v>6</v>
      </c>
      <c r="BC556" s="138">
        <v>9</v>
      </c>
    </row>
    <row r="557" spans="5:55" x14ac:dyDescent="0.3">
      <c r="E557" s="166">
        <v>31.3</v>
      </c>
      <c r="F557" s="167">
        <v>4</v>
      </c>
      <c r="G557" s="155" t="s">
        <v>863</v>
      </c>
      <c r="I557" s="136">
        <v>53.19</v>
      </c>
      <c r="J557" s="139">
        <v>8</v>
      </c>
      <c r="K557" s="138">
        <v>25</v>
      </c>
      <c r="M557" s="136">
        <v>30.41</v>
      </c>
      <c r="N557" s="139">
        <v>8</v>
      </c>
      <c r="O557" s="138">
        <v>25</v>
      </c>
      <c r="Q557" s="136">
        <v>54.16</v>
      </c>
      <c r="R557" s="139">
        <v>2</v>
      </c>
      <c r="S557" s="138" t="s">
        <v>883</v>
      </c>
      <c r="U557" s="136">
        <v>30.51</v>
      </c>
      <c r="V557" s="139">
        <v>14</v>
      </c>
      <c r="W557" s="138">
        <v>91</v>
      </c>
      <c r="Y557" s="136">
        <v>30.29</v>
      </c>
      <c r="Z557" s="139">
        <v>7</v>
      </c>
      <c r="AA557" s="138">
        <v>16</v>
      </c>
      <c r="AC557" s="136">
        <v>30.54</v>
      </c>
      <c r="AD557" s="139">
        <v>17</v>
      </c>
      <c r="AE557" s="138">
        <v>99</v>
      </c>
      <c r="AG557" s="136">
        <v>30.6</v>
      </c>
      <c r="AH557" s="137">
        <v>9</v>
      </c>
      <c r="AI557" s="138">
        <v>37</v>
      </c>
      <c r="AK557" s="136">
        <v>30.4</v>
      </c>
      <c r="AL557" s="139">
        <v>17</v>
      </c>
      <c r="AM557" s="138">
        <v>99</v>
      </c>
      <c r="AO557" s="136">
        <v>53.14</v>
      </c>
      <c r="AP557" s="139">
        <v>2</v>
      </c>
      <c r="AQ557" s="138" t="s">
        <v>883</v>
      </c>
      <c r="AS557" s="136">
        <v>30.34</v>
      </c>
      <c r="AT557" s="139">
        <v>8</v>
      </c>
      <c r="AU557" s="138">
        <v>25</v>
      </c>
      <c r="AW557" s="136">
        <v>53.15</v>
      </c>
      <c r="AX557" s="139">
        <v>2</v>
      </c>
      <c r="AY557" s="138" t="s">
        <v>883</v>
      </c>
      <c r="BA557" s="136">
        <v>31.17</v>
      </c>
      <c r="BB557" s="139">
        <v>7</v>
      </c>
      <c r="BC557" s="138">
        <v>16</v>
      </c>
    </row>
    <row r="558" spans="5:55" x14ac:dyDescent="0.3">
      <c r="E558" s="166">
        <v>31.32</v>
      </c>
      <c r="F558" s="167">
        <v>5</v>
      </c>
      <c r="G558" s="155" t="s">
        <v>877</v>
      </c>
      <c r="I558" s="136">
        <v>53.2</v>
      </c>
      <c r="J558" s="139">
        <v>9</v>
      </c>
      <c r="K558" s="138">
        <v>37</v>
      </c>
      <c r="M558" s="136">
        <v>30.44</v>
      </c>
      <c r="N558" s="139">
        <v>9</v>
      </c>
      <c r="O558" s="138">
        <v>37</v>
      </c>
      <c r="Q558" s="136">
        <v>54.24</v>
      </c>
      <c r="R558" s="139">
        <v>3</v>
      </c>
      <c r="S558" s="138">
        <v>1</v>
      </c>
      <c r="U558" s="136">
        <v>30.54</v>
      </c>
      <c r="V558" s="139">
        <v>15</v>
      </c>
      <c r="W558" s="138">
        <v>95</v>
      </c>
      <c r="Y558" s="136">
        <v>30.3</v>
      </c>
      <c r="Z558" s="139">
        <v>8</v>
      </c>
      <c r="AA558" s="138">
        <v>25</v>
      </c>
      <c r="AC558" s="136">
        <v>30.57</v>
      </c>
      <c r="AD558" s="139">
        <v>18</v>
      </c>
      <c r="AE558" s="138" t="s">
        <v>884</v>
      </c>
      <c r="AG558" s="136">
        <v>30.62</v>
      </c>
      <c r="AH558" s="137">
        <v>10</v>
      </c>
      <c r="AI558" s="138">
        <v>50</v>
      </c>
      <c r="AK558" s="136">
        <v>30.41</v>
      </c>
      <c r="AL558" s="139">
        <v>18</v>
      </c>
      <c r="AM558" s="138" t="s">
        <v>884</v>
      </c>
      <c r="AO558" s="136">
        <v>53.16</v>
      </c>
      <c r="AP558" s="139">
        <v>3</v>
      </c>
      <c r="AQ558" s="138">
        <v>1</v>
      </c>
      <c r="AS558" s="136">
        <v>30.36</v>
      </c>
      <c r="AT558" s="139">
        <v>9</v>
      </c>
      <c r="AU558" s="138">
        <v>37</v>
      </c>
      <c r="AW558" s="136">
        <v>53.17</v>
      </c>
      <c r="AX558" s="139">
        <v>3</v>
      </c>
      <c r="AY558" s="138">
        <v>1</v>
      </c>
      <c r="BA558" s="136">
        <v>31.19</v>
      </c>
      <c r="BB558" s="139">
        <v>8</v>
      </c>
      <c r="BC558" s="138">
        <v>25</v>
      </c>
    </row>
    <row r="559" spans="5:55" x14ac:dyDescent="0.3">
      <c r="E559" s="166">
        <v>31.34</v>
      </c>
      <c r="F559" s="167">
        <v>6</v>
      </c>
      <c r="G559" s="155" t="s">
        <v>864</v>
      </c>
      <c r="I559" s="136">
        <v>53.22</v>
      </c>
      <c r="J559" s="139">
        <v>10</v>
      </c>
      <c r="K559" s="138">
        <v>50</v>
      </c>
      <c r="M559" s="136">
        <v>30.46</v>
      </c>
      <c r="N559" s="139">
        <v>10</v>
      </c>
      <c r="O559" s="138">
        <v>50</v>
      </c>
      <c r="Q559" s="136">
        <v>54.26</v>
      </c>
      <c r="R559" s="139">
        <v>4</v>
      </c>
      <c r="S559" s="138">
        <v>2</v>
      </c>
      <c r="U559" s="136">
        <v>30.57</v>
      </c>
      <c r="V559" s="139">
        <v>16</v>
      </c>
      <c r="W559" s="138">
        <v>98</v>
      </c>
      <c r="Y559" s="136">
        <v>30.32</v>
      </c>
      <c r="Z559" s="139">
        <v>9</v>
      </c>
      <c r="AA559" s="138">
        <v>37</v>
      </c>
      <c r="AC559" s="136">
        <v>30.59</v>
      </c>
      <c r="AD559" s="139">
        <v>19</v>
      </c>
      <c r="AE559" s="138" t="s">
        <v>884</v>
      </c>
      <c r="AG559" s="136">
        <v>30.64</v>
      </c>
      <c r="AH559" s="137">
        <v>11</v>
      </c>
      <c r="AI559" s="138">
        <v>63</v>
      </c>
      <c r="AK559" s="136">
        <v>30.42</v>
      </c>
      <c r="AL559" s="139">
        <v>19</v>
      </c>
      <c r="AM559" s="138" t="s">
        <v>884</v>
      </c>
      <c r="AO559" s="136">
        <v>53.17</v>
      </c>
      <c r="AP559" s="139">
        <v>4</v>
      </c>
      <c r="AQ559" s="138">
        <v>2</v>
      </c>
      <c r="AS559" s="136">
        <v>30.37</v>
      </c>
      <c r="AT559" s="139">
        <v>10</v>
      </c>
      <c r="AU559" s="138">
        <v>50</v>
      </c>
      <c r="AW559" s="136">
        <v>53.19</v>
      </c>
      <c r="AX559" s="139">
        <v>4</v>
      </c>
      <c r="AY559" s="138">
        <v>2</v>
      </c>
      <c r="BA559" s="136">
        <v>31.2</v>
      </c>
      <c r="BB559" s="139">
        <v>9</v>
      </c>
      <c r="BC559" s="138">
        <v>37</v>
      </c>
    </row>
    <row r="560" spans="5:55" x14ac:dyDescent="0.3">
      <c r="E560" s="166">
        <v>31.36</v>
      </c>
      <c r="F560" s="167">
        <v>7</v>
      </c>
      <c r="G560" s="155" t="s">
        <v>878</v>
      </c>
      <c r="I560" s="136">
        <v>53.24</v>
      </c>
      <c r="J560" s="139">
        <v>11</v>
      </c>
      <c r="K560" s="138">
        <v>63</v>
      </c>
      <c r="M560" s="136">
        <v>30.47</v>
      </c>
      <c r="N560" s="139">
        <v>11</v>
      </c>
      <c r="O560" s="138">
        <v>63</v>
      </c>
      <c r="Q560" s="136">
        <v>54.28</v>
      </c>
      <c r="R560" s="139">
        <v>5</v>
      </c>
      <c r="S560" s="138">
        <v>5</v>
      </c>
      <c r="U560" s="136">
        <v>30.6</v>
      </c>
      <c r="V560" s="139">
        <v>17</v>
      </c>
      <c r="W560" s="138">
        <v>99</v>
      </c>
      <c r="Y560" s="136">
        <v>30.33</v>
      </c>
      <c r="Z560" s="139">
        <v>10</v>
      </c>
      <c r="AA560" s="138">
        <v>50</v>
      </c>
      <c r="AC560" s="136">
        <v>31</v>
      </c>
      <c r="AD560" s="139">
        <v>1</v>
      </c>
      <c r="AE560" s="138" t="s">
        <v>883</v>
      </c>
      <c r="AG560" s="136">
        <v>30.66</v>
      </c>
      <c r="AH560" s="137">
        <v>12</v>
      </c>
      <c r="AI560" s="138">
        <v>75</v>
      </c>
      <c r="AK560" s="136">
        <v>31</v>
      </c>
      <c r="AL560" s="139">
        <v>1</v>
      </c>
      <c r="AM560" s="138" t="s">
        <v>883</v>
      </c>
      <c r="AO560" s="136">
        <v>53.19</v>
      </c>
      <c r="AP560" s="139">
        <v>5</v>
      </c>
      <c r="AQ560" s="138">
        <v>5</v>
      </c>
      <c r="AS560" s="136">
        <v>30.39</v>
      </c>
      <c r="AT560" s="139">
        <v>11</v>
      </c>
      <c r="AU560" s="138">
        <v>63</v>
      </c>
      <c r="AW560" s="136">
        <v>53.21</v>
      </c>
      <c r="AX560" s="139">
        <v>5</v>
      </c>
      <c r="AY560" s="138">
        <v>5</v>
      </c>
      <c r="BA560" s="136">
        <v>31.21</v>
      </c>
      <c r="BB560" s="139">
        <v>10</v>
      </c>
      <c r="BC560" s="138">
        <v>50</v>
      </c>
    </row>
    <row r="561" spans="5:55" x14ac:dyDescent="0.3">
      <c r="E561" s="166">
        <v>31.38</v>
      </c>
      <c r="F561" s="167">
        <v>8</v>
      </c>
      <c r="G561" s="155" t="s">
        <v>865</v>
      </c>
      <c r="I561" s="136">
        <v>53.25</v>
      </c>
      <c r="J561" s="139">
        <v>12</v>
      </c>
      <c r="K561" s="138">
        <v>75</v>
      </c>
      <c r="M561" s="136">
        <v>30.48</v>
      </c>
      <c r="N561" s="139">
        <v>12</v>
      </c>
      <c r="O561" s="138">
        <v>75</v>
      </c>
      <c r="Q561" s="136">
        <v>54.3</v>
      </c>
      <c r="R561" s="139">
        <v>6</v>
      </c>
      <c r="S561" s="138">
        <v>9</v>
      </c>
      <c r="U561" s="136">
        <v>30.63</v>
      </c>
      <c r="V561" s="139">
        <v>18</v>
      </c>
      <c r="W561" s="138" t="s">
        <v>884</v>
      </c>
      <c r="Y561" s="136">
        <v>30.34</v>
      </c>
      <c r="Z561" s="139">
        <v>11</v>
      </c>
      <c r="AA561" s="138">
        <v>63</v>
      </c>
      <c r="AC561" s="136">
        <v>31.21</v>
      </c>
      <c r="AD561" s="139">
        <v>2</v>
      </c>
      <c r="AE561" s="138" t="s">
        <v>883</v>
      </c>
      <c r="AG561" s="136">
        <v>30.67</v>
      </c>
      <c r="AH561" s="137">
        <v>13</v>
      </c>
      <c r="AI561" s="138">
        <v>85</v>
      </c>
      <c r="AK561" s="136">
        <v>31.23</v>
      </c>
      <c r="AL561" s="139">
        <v>2</v>
      </c>
      <c r="AM561" s="138" t="s">
        <v>883</v>
      </c>
      <c r="AO561" s="136">
        <v>53.2</v>
      </c>
      <c r="AP561" s="139">
        <v>6</v>
      </c>
      <c r="AQ561" s="138">
        <v>9</v>
      </c>
      <c r="AS561" s="136">
        <v>30.4</v>
      </c>
      <c r="AT561" s="139">
        <v>12</v>
      </c>
      <c r="AU561" s="138">
        <v>75</v>
      </c>
      <c r="AW561" s="136">
        <v>53.23</v>
      </c>
      <c r="AX561" s="139">
        <v>6</v>
      </c>
      <c r="AY561" s="138">
        <v>9</v>
      </c>
      <c r="BA561" s="136">
        <v>31.23</v>
      </c>
      <c r="BB561" s="139">
        <v>11</v>
      </c>
      <c r="BC561" s="138">
        <v>63</v>
      </c>
    </row>
    <row r="562" spans="5:55" x14ac:dyDescent="0.3">
      <c r="E562" s="166">
        <v>31.4</v>
      </c>
      <c r="F562" s="167">
        <v>9</v>
      </c>
      <c r="G562" s="155" t="s">
        <v>879</v>
      </c>
      <c r="I562" s="136">
        <v>53.27</v>
      </c>
      <c r="J562" s="139">
        <v>13</v>
      </c>
      <c r="K562" s="138">
        <v>85</v>
      </c>
      <c r="M562" s="136">
        <v>30.49</v>
      </c>
      <c r="N562" s="139">
        <v>13</v>
      </c>
      <c r="O562" s="138">
        <v>85</v>
      </c>
      <c r="Q562" s="136">
        <v>54.31</v>
      </c>
      <c r="R562" s="139">
        <v>7</v>
      </c>
      <c r="S562" s="138">
        <v>16</v>
      </c>
      <c r="U562" s="136">
        <v>30.66</v>
      </c>
      <c r="V562" s="139">
        <v>19</v>
      </c>
      <c r="W562" s="138" t="s">
        <v>884</v>
      </c>
      <c r="Y562" s="136">
        <v>30.35</v>
      </c>
      <c r="Z562" s="139">
        <v>12</v>
      </c>
      <c r="AA562" s="138">
        <v>75</v>
      </c>
      <c r="AC562" s="136">
        <v>31.24</v>
      </c>
      <c r="AD562" s="139">
        <v>3</v>
      </c>
      <c r="AE562" s="138">
        <v>1</v>
      </c>
      <c r="AG562" s="136">
        <v>30.69</v>
      </c>
      <c r="AH562" s="137">
        <v>14</v>
      </c>
      <c r="AI562" s="138">
        <v>91</v>
      </c>
      <c r="AK562" s="136">
        <v>31.25</v>
      </c>
      <c r="AL562" s="139">
        <v>3</v>
      </c>
      <c r="AM562" s="138">
        <v>1</v>
      </c>
      <c r="AO562" s="136">
        <v>53.21</v>
      </c>
      <c r="AP562" s="139">
        <v>7</v>
      </c>
      <c r="AQ562" s="138">
        <v>16</v>
      </c>
      <c r="AS562" s="136">
        <v>30.42</v>
      </c>
      <c r="AT562" s="139">
        <v>13</v>
      </c>
      <c r="AU562" s="138">
        <v>85</v>
      </c>
      <c r="AW562" s="136">
        <v>53.25</v>
      </c>
      <c r="AX562" s="139">
        <v>7</v>
      </c>
      <c r="AY562" s="138">
        <v>16</v>
      </c>
      <c r="BA562" s="136">
        <v>31.24</v>
      </c>
      <c r="BB562" s="139">
        <v>12</v>
      </c>
      <c r="BC562" s="138">
        <v>75</v>
      </c>
    </row>
    <row r="563" spans="5:55" x14ac:dyDescent="0.3">
      <c r="E563" s="166">
        <v>31.42</v>
      </c>
      <c r="F563" s="167">
        <v>10</v>
      </c>
      <c r="G563" s="155" t="s">
        <v>866</v>
      </c>
      <c r="I563" s="136">
        <v>53.29</v>
      </c>
      <c r="J563" s="139">
        <v>14</v>
      </c>
      <c r="K563" s="138">
        <v>91</v>
      </c>
      <c r="M563" s="136">
        <v>30.5</v>
      </c>
      <c r="N563" s="139">
        <v>14</v>
      </c>
      <c r="O563" s="138">
        <v>91</v>
      </c>
      <c r="Q563" s="136">
        <v>54.33</v>
      </c>
      <c r="R563" s="139">
        <v>8</v>
      </c>
      <c r="S563" s="138">
        <v>25</v>
      </c>
      <c r="U563" s="136">
        <v>31</v>
      </c>
      <c r="V563" s="139">
        <v>1</v>
      </c>
      <c r="W563" s="138" t="s">
        <v>883</v>
      </c>
      <c r="Y563" s="136">
        <v>30.36</v>
      </c>
      <c r="Z563" s="139">
        <v>13</v>
      </c>
      <c r="AA563" s="138">
        <v>85</v>
      </c>
      <c r="AC563" s="136">
        <v>31.26</v>
      </c>
      <c r="AD563" s="139">
        <v>4</v>
      </c>
      <c r="AE563" s="138">
        <v>2</v>
      </c>
      <c r="AG563" s="136">
        <v>30.71</v>
      </c>
      <c r="AH563" s="137">
        <v>15</v>
      </c>
      <c r="AI563" s="138">
        <v>95</v>
      </c>
      <c r="AK563" s="136">
        <v>31.26</v>
      </c>
      <c r="AL563" s="139">
        <v>4</v>
      </c>
      <c r="AM563" s="138">
        <v>2</v>
      </c>
      <c r="AO563" s="136">
        <v>53.22</v>
      </c>
      <c r="AP563" s="139">
        <v>8</v>
      </c>
      <c r="AQ563" s="138">
        <v>25</v>
      </c>
      <c r="AS563" s="136">
        <v>30.43</v>
      </c>
      <c r="AT563" s="139">
        <v>14</v>
      </c>
      <c r="AU563" s="138">
        <v>91</v>
      </c>
      <c r="AW563" s="136">
        <v>53.27</v>
      </c>
      <c r="AX563" s="139">
        <v>8</v>
      </c>
      <c r="AY563" s="138">
        <v>25</v>
      </c>
      <c r="BA563" s="136">
        <v>31.25</v>
      </c>
      <c r="BB563" s="139">
        <v>13</v>
      </c>
      <c r="BC563" s="138">
        <v>85</v>
      </c>
    </row>
    <row r="564" spans="5:55" x14ac:dyDescent="0.3">
      <c r="E564" s="166">
        <v>31.44</v>
      </c>
      <c r="F564" s="167">
        <v>11</v>
      </c>
      <c r="G564" s="155" t="s">
        <v>867</v>
      </c>
      <c r="I564" s="136">
        <v>53.31</v>
      </c>
      <c r="J564" s="139">
        <v>15</v>
      </c>
      <c r="K564" s="138">
        <v>95</v>
      </c>
      <c r="M564" s="136">
        <v>30.51</v>
      </c>
      <c r="N564" s="139">
        <v>15</v>
      </c>
      <c r="O564" s="138">
        <v>95</v>
      </c>
      <c r="Q564" s="136">
        <v>54.35</v>
      </c>
      <c r="R564" s="139">
        <v>9</v>
      </c>
      <c r="S564" s="138">
        <v>37</v>
      </c>
      <c r="U564" s="136">
        <v>31.14</v>
      </c>
      <c r="V564" s="139">
        <v>2</v>
      </c>
      <c r="W564" s="138" t="s">
        <v>883</v>
      </c>
      <c r="Y564" s="136">
        <v>30.38</v>
      </c>
      <c r="Z564" s="139">
        <v>14</v>
      </c>
      <c r="AA564" s="138">
        <v>91</v>
      </c>
      <c r="AC564" s="136">
        <v>31.28</v>
      </c>
      <c r="AD564" s="139">
        <v>5</v>
      </c>
      <c r="AE564" s="138">
        <v>5</v>
      </c>
      <c r="AG564" s="136">
        <v>30.73</v>
      </c>
      <c r="AH564" s="137">
        <v>16</v>
      </c>
      <c r="AI564" s="138">
        <v>98</v>
      </c>
      <c r="AK564" s="136">
        <v>31.27</v>
      </c>
      <c r="AL564" s="139">
        <v>5</v>
      </c>
      <c r="AM564" s="138">
        <v>5</v>
      </c>
      <c r="AO564" s="136">
        <v>53.23</v>
      </c>
      <c r="AP564" s="139">
        <v>9</v>
      </c>
      <c r="AQ564" s="138">
        <v>37</v>
      </c>
      <c r="AS564" s="136">
        <v>30.45</v>
      </c>
      <c r="AT564" s="139">
        <v>15</v>
      </c>
      <c r="AU564" s="138">
        <v>95</v>
      </c>
      <c r="AW564" s="136">
        <v>53.29</v>
      </c>
      <c r="AX564" s="139">
        <v>9</v>
      </c>
      <c r="AY564" s="138">
        <v>37</v>
      </c>
      <c r="BA564" s="136">
        <v>31.27</v>
      </c>
      <c r="BB564" s="139">
        <v>14</v>
      </c>
      <c r="BC564" s="138">
        <v>91</v>
      </c>
    </row>
    <row r="565" spans="5:55" x14ac:dyDescent="0.3">
      <c r="E565" s="166">
        <v>31.46</v>
      </c>
      <c r="F565" s="167">
        <v>12</v>
      </c>
      <c r="G565" s="155" t="s">
        <v>868</v>
      </c>
      <c r="I565" s="136">
        <v>53.32</v>
      </c>
      <c r="J565" s="139">
        <v>16</v>
      </c>
      <c r="K565" s="138">
        <v>98</v>
      </c>
      <c r="M565" s="136">
        <v>30.52</v>
      </c>
      <c r="N565" s="139">
        <v>16</v>
      </c>
      <c r="O565" s="138">
        <v>98</v>
      </c>
      <c r="Q565" s="136">
        <v>54.37</v>
      </c>
      <c r="R565" s="139">
        <v>10</v>
      </c>
      <c r="S565" s="138">
        <v>50</v>
      </c>
      <c r="U565" s="136">
        <v>31.2</v>
      </c>
      <c r="V565" s="139">
        <v>3</v>
      </c>
      <c r="W565" s="138">
        <v>1</v>
      </c>
      <c r="Y565" s="136">
        <v>30.4</v>
      </c>
      <c r="Z565" s="139">
        <v>15</v>
      </c>
      <c r="AA565" s="138">
        <v>95</v>
      </c>
      <c r="AC565" s="136">
        <v>31.3</v>
      </c>
      <c r="AD565" s="139">
        <v>6</v>
      </c>
      <c r="AE565" s="138">
        <v>9</v>
      </c>
      <c r="AG565" s="136">
        <v>30.75</v>
      </c>
      <c r="AH565" s="137">
        <v>17</v>
      </c>
      <c r="AI565" s="138">
        <v>99</v>
      </c>
      <c r="AK565" s="136">
        <v>31.28</v>
      </c>
      <c r="AL565" s="139">
        <v>6</v>
      </c>
      <c r="AM565" s="138">
        <v>9</v>
      </c>
      <c r="AO565" s="136">
        <v>53.24</v>
      </c>
      <c r="AP565" s="139">
        <v>10</v>
      </c>
      <c r="AQ565" s="138">
        <v>50</v>
      </c>
      <c r="AS565" s="136">
        <v>30.46</v>
      </c>
      <c r="AT565" s="139">
        <v>16</v>
      </c>
      <c r="AU565" s="138">
        <v>98</v>
      </c>
      <c r="AW565" s="136">
        <v>53.32</v>
      </c>
      <c r="AX565" s="139">
        <v>10</v>
      </c>
      <c r="AY565" s="138">
        <v>50</v>
      </c>
      <c r="BA565" s="136">
        <v>31.28</v>
      </c>
      <c r="BB565" s="139">
        <v>15</v>
      </c>
      <c r="BC565" s="138">
        <v>95</v>
      </c>
    </row>
    <row r="566" spans="5:55" x14ac:dyDescent="0.3">
      <c r="E566" s="166">
        <v>31.48</v>
      </c>
      <c r="F566" s="167">
        <v>13</v>
      </c>
      <c r="G566" s="155" t="s">
        <v>869</v>
      </c>
      <c r="I566" s="136">
        <v>53.34</v>
      </c>
      <c r="J566" s="139">
        <v>17</v>
      </c>
      <c r="K566" s="138">
        <v>99</v>
      </c>
      <c r="M566" s="136">
        <v>30.54</v>
      </c>
      <c r="N566" s="139">
        <v>17</v>
      </c>
      <c r="O566" s="138">
        <v>99</v>
      </c>
      <c r="Q566" s="136">
        <v>54.39</v>
      </c>
      <c r="R566" s="139">
        <v>11</v>
      </c>
      <c r="S566" s="138">
        <v>63</v>
      </c>
      <c r="U566" s="136">
        <v>31.23</v>
      </c>
      <c r="V566" s="139">
        <v>4</v>
      </c>
      <c r="W566" s="138">
        <v>2</v>
      </c>
      <c r="Y566" s="136">
        <v>30.41</v>
      </c>
      <c r="Z566" s="139">
        <v>16</v>
      </c>
      <c r="AA566" s="138">
        <v>98</v>
      </c>
      <c r="AC566" s="136">
        <v>31.32</v>
      </c>
      <c r="AD566" s="139">
        <v>7</v>
      </c>
      <c r="AE566" s="138">
        <v>16</v>
      </c>
      <c r="AG566" s="136">
        <v>30.76</v>
      </c>
      <c r="AH566" s="137">
        <v>18</v>
      </c>
      <c r="AI566" s="138" t="s">
        <v>884</v>
      </c>
      <c r="AK566" s="136">
        <v>31.29</v>
      </c>
      <c r="AL566" s="139">
        <v>7</v>
      </c>
      <c r="AM566" s="138">
        <v>16</v>
      </c>
      <c r="AO566" s="136">
        <v>53.25</v>
      </c>
      <c r="AP566" s="139">
        <v>11</v>
      </c>
      <c r="AQ566" s="138">
        <v>63</v>
      </c>
      <c r="AS566" s="136">
        <v>30.48</v>
      </c>
      <c r="AT566" s="139">
        <v>17</v>
      </c>
      <c r="AU566" s="138">
        <v>99</v>
      </c>
      <c r="AW566" s="136">
        <v>53.34</v>
      </c>
      <c r="AX566" s="139">
        <v>11</v>
      </c>
      <c r="AY566" s="138">
        <v>63</v>
      </c>
      <c r="BA566" s="136">
        <v>31.29</v>
      </c>
      <c r="BB566" s="139">
        <v>16</v>
      </c>
      <c r="BC566" s="138">
        <v>98</v>
      </c>
    </row>
    <row r="567" spans="5:55" x14ac:dyDescent="0.3">
      <c r="E567" s="166">
        <v>31.5</v>
      </c>
      <c r="F567" s="167">
        <v>14</v>
      </c>
      <c r="G567" s="155" t="s">
        <v>870</v>
      </c>
      <c r="I567" s="136">
        <v>53.36</v>
      </c>
      <c r="J567" s="139">
        <v>18</v>
      </c>
      <c r="K567" s="138" t="s">
        <v>884</v>
      </c>
      <c r="M567" s="136">
        <v>30.55</v>
      </c>
      <c r="N567" s="139">
        <v>18</v>
      </c>
      <c r="O567" s="138" t="s">
        <v>884</v>
      </c>
      <c r="Q567" s="136">
        <v>54.4</v>
      </c>
      <c r="R567" s="139">
        <v>12</v>
      </c>
      <c r="S567" s="138">
        <v>75</v>
      </c>
      <c r="U567" s="136">
        <v>31.26</v>
      </c>
      <c r="V567" s="139">
        <v>5</v>
      </c>
      <c r="W567" s="138">
        <v>5</v>
      </c>
      <c r="Y567" s="136">
        <v>30.42</v>
      </c>
      <c r="Z567" s="139">
        <v>17</v>
      </c>
      <c r="AA567" s="138">
        <v>99</v>
      </c>
      <c r="AC567" s="136">
        <v>31.35</v>
      </c>
      <c r="AD567" s="139">
        <v>8</v>
      </c>
      <c r="AE567" s="138">
        <v>25</v>
      </c>
      <c r="AG567" s="136">
        <v>30.79</v>
      </c>
      <c r="AH567" s="137">
        <v>19</v>
      </c>
      <c r="AI567" s="138" t="s">
        <v>884</v>
      </c>
      <c r="AK567" s="136">
        <v>31.3</v>
      </c>
      <c r="AL567" s="139">
        <v>8</v>
      </c>
      <c r="AM567" s="138">
        <v>25</v>
      </c>
      <c r="AO567" s="136">
        <v>53.26</v>
      </c>
      <c r="AP567" s="139">
        <v>12</v>
      </c>
      <c r="AQ567" s="138">
        <v>75</v>
      </c>
      <c r="AS567" s="136">
        <v>30.5</v>
      </c>
      <c r="AT567" s="139">
        <v>18</v>
      </c>
      <c r="AU567" s="138" t="s">
        <v>884</v>
      </c>
      <c r="AW567" s="136">
        <v>53.36</v>
      </c>
      <c r="AX567" s="139">
        <v>12</v>
      </c>
      <c r="AY567" s="138">
        <v>75</v>
      </c>
      <c r="BA567" s="136">
        <v>31.31</v>
      </c>
      <c r="BB567" s="139">
        <v>17</v>
      </c>
      <c r="BC567" s="138">
        <v>99</v>
      </c>
    </row>
    <row r="568" spans="5:55" x14ac:dyDescent="0.3">
      <c r="E568" s="166">
        <v>31.52</v>
      </c>
      <c r="F568" s="167">
        <v>15</v>
      </c>
      <c r="G568" s="155" t="s">
        <v>871</v>
      </c>
      <c r="I568" s="136">
        <v>53.39</v>
      </c>
      <c r="J568" s="139">
        <v>19</v>
      </c>
      <c r="K568" s="138" t="s">
        <v>884</v>
      </c>
      <c r="M568" s="136">
        <v>30.56</v>
      </c>
      <c r="N568" s="139">
        <v>19</v>
      </c>
      <c r="O568" s="138" t="s">
        <v>884</v>
      </c>
      <c r="Q568" s="136">
        <v>54.41</v>
      </c>
      <c r="R568" s="139">
        <v>13</v>
      </c>
      <c r="S568" s="138">
        <v>85</v>
      </c>
      <c r="U568" s="136">
        <v>31.28</v>
      </c>
      <c r="V568" s="139">
        <v>6</v>
      </c>
      <c r="W568" s="138">
        <v>9</v>
      </c>
      <c r="Y568" s="136">
        <v>30.43</v>
      </c>
      <c r="Z568" s="139">
        <v>18</v>
      </c>
      <c r="AA568" s="138" t="s">
        <v>884</v>
      </c>
      <c r="AC568" s="136">
        <v>31.37</v>
      </c>
      <c r="AD568" s="139">
        <v>9</v>
      </c>
      <c r="AE568" s="138">
        <v>37</v>
      </c>
      <c r="AG568" s="136">
        <v>31</v>
      </c>
      <c r="AH568" s="137">
        <v>1</v>
      </c>
      <c r="AI568" s="138" t="s">
        <v>883</v>
      </c>
      <c r="AK568" s="136">
        <v>31.31</v>
      </c>
      <c r="AL568" s="139">
        <v>9</v>
      </c>
      <c r="AM568" s="138">
        <v>37</v>
      </c>
      <c r="AO568" s="136">
        <v>53.27</v>
      </c>
      <c r="AP568" s="139">
        <v>13</v>
      </c>
      <c r="AQ568" s="138">
        <v>85</v>
      </c>
      <c r="AS568" s="136">
        <v>30.52</v>
      </c>
      <c r="AT568" s="139">
        <v>19</v>
      </c>
      <c r="AU568" s="138" t="s">
        <v>884</v>
      </c>
      <c r="AW568" s="136">
        <v>53.38</v>
      </c>
      <c r="AX568" s="139">
        <v>13</v>
      </c>
      <c r="AY568" s="138">
        <v>85</v>
      </c>
      <c r="BA568" s="136">
        <v>31.32</v>
      </c>
      <c r="BB568" s="139">
        <v>18</v>
      </c>
      <c r="BC568" s="138" t="s">
        <v>884</v>
      </c>
    </row>
    <row r="569" spans="5:55" x14ac:dyDescent="0.3">
      <c r="E569" s="166">
        <v>31.54</v>
      </c>
      <c r="F569" s="167">
        <v>16</v>
      </c>
      <c r="G569" s="155" t="s">
        <v>872</v>
      </c>
      <c r="I569" s="136">
        <v>54</v>
      </c>
      <c r="J569" s="139">
        <v>1</v>
      </c>
      <c r="K569" s="138" t="s">
        <v>883</v>
      </c>
      <c r="M569" s="136">
        <v>31</v>
      </c>
      <c r="N569" s="139">
        <v>1</v>
      </c>
      <c r="O569" s="138" t="s">
        <v>883</v>
      </c>
      <c r="Q569" s="136">
        <v>54.42</v>
      </c>
      <c r="R569" s="139">
        <v>14</v>
      </c>
      <c r="S569" s="138">
        <v>91</v>
      </c>
      <c r="U569" s="136">
        <v>31.31</v>
      </c>
      <c r="V569" s="139">
        <v>7</v>
      </c>
      <c r="W569" s="138">
        <v>16</v>
      </c>
      <c r="Y569" s="136">
        <v>30.46</v>
      </c>
      <c r="Z569" s="139">
        <v>19</v>
      </c>
      <c r="AA569" s="138" t="s">
        <v>884</v>
      </c>
      <c r="AC569" s="136">
        <v>31.39</v>
      </c>
      <c r="AD569" s="139">
        <v>10</v>
      </c>
      <c r="AE569" s="138">
        <v>50</v>
      </c>
      <c r="AG569" s="136">
        <v>31.46</v>
      </c>
      <c r="AH569" s="137">
        <v>2</v>
      </c>
      <c r="AI569" s="138" t="s">
        <v>883</v>
      </c>
      <c r="AK569" s="136">
        <v>31.32</v>
      </c>
      <c r="AL569" s="139">
        <v>10</v>
      </c>
      <c r="AM569" s="138">
        <v>50</v>
      </c>
      <c r="AO569" s="136">
        <v>53.29</v>
      </c>
      <c r="AP569" s="139">
        <v>14</v>
      </c>
      <c r="AQ569" s="138">
        <v>91</v>
      </c>
      <c r="AS569" s="136">
        <v>31</v>
      </c>
      <c r="AT569" s="139">
        <v>1</v>
      </c>
      <c r="AU569" s="138" t="s">
        <v>883</v>
      </c>
      <c r="AW569" s="136">
        <v>53.4</v>
      </c>
      <c r="AX569" s="139">
        <v>14</v>
      </c>
      <c r="AY569" s="138">
        <v>91</v>
      </c>
      <c r="BA569" s="136">
        <v>31.35</v>
      </c>
      <c r="BB569" s="139">
        <v>19</v>
      </c>
      <c r="BC569" s="138" t="s">
        <v>884</v>
      </c>
    </row>
    <row r="570" spans="5:55" x14ac:dyDescent="0.3">
      <c r="E570" s="166">
        <v>31.56</v>
      </c>
      <c r="F570" s="167">
        <v>17</v>
      </c>
      <c r="G570" s="155" t="s">
        <v>873</v>
      </c>
      <c r="I570" s="136">
        <v>54.08</v>
      </c>
      <c r="J570" s="139">
        <v>2</v>
      </c>
      <c r="K570" s="138" t="s">
        <v>883</v>
      </c>
      <c r="M570" s="136">
        <v>31.25</v>
      </c>
      <c r="N570" s="139">
        <v>2</v>
      </c>
      <c r="O570" s="138" t="s">
        <v>883</v>
      </c>
      <c r="Q570" s="136">
        <v>54.43</v>
      </c>
      <c r="R570" s="139">
        <v>15</v>
      </c>
      <c r="S570" s="138">
        <v>95</v>
      </c>
      <c r="U570" s="136">
        <v>31.34</v>
      </c>
      <c r="V570" s="139">
        <v>8</v>
      </c>
      <c r="W570" s="138">
        <v>25</v>
      </c>
      <c r="Y570" s="136">
        <v>31</v>
      </c>
      <c r="Z570" s="139">
        <v>1</v>
      </c>
      <c r="AA570" s="138" t="s">
        <v>883</v>
      </c>
      <c r="AC570" s="136">
        <v>31.41</v>
      </c>
      <c r="AD570" s="139">
        <v>11</v>
      </c>
      <c r="AE570" s="138">
        <v>63</v>
      </c>
      <c r="AG570" s="136">
        <v>31.49</v>
      </c>
      <c r="AH570" s="137">
        <v>3</v>
      </c>
      <c r="AI570" s="138">
        <v>1</v>
      </c>
      <c r="AK570" s="136">
        <v>31.33</v>
      </c>
      <c r="AL570" s="139">
        <v>11</v>
      </c>
      <c r="AM570" s="138">
        <v>63</v>
      </c>
      <c r="AO570" s="136">
        <v>53.3</v>
      </c>
      <c r="AP570" s="139">
        <v>15</v>
      </c>
      <c r="AQ570" s="138">
        <v>95</v>
      </c>
      <c r="AS570" s="136">
        <v>31.25</v>
      </c>
      <c r="AT570" s="139">
        <v>2</v>
      </c>
      <c r="AU570" s="138" t="s">
        <v>883</v>
      </c>
      <c r="AW570" s="136">
        <v>53.42</v>
      </c>
      <c r="AX570" s="139">
        <v>15</v>
      </c>
      <c r="AY570" s="138">
        <v>95</v>
      </c>
      <c r="BA570" s="136">
        <v>32</v>
      </c>
      <c r="BB570" s="139">
        <v>1</v>
      </c>
      <c r="BC570" s="138" t="s">
        <v>883</v>
      </c>
    </row>
    <row r="571" spans="5:55" x14ac:dyDescent="0.3">
      <c r="E571" s="166">
        <v>31.58</v>
      </c>
      <c r="F571" s="167">
        <v>18</v>
      </c>
      <c r="G571" s="155" t="s">
        <v>874</v>
      </c>
      <c r="I571" s="136">
        <v>54.12</v>
      </c>
      <c r="J571" s="139">
        <v>3</v>
      </c>
      <c r="K571" s="138">
        <v>1</v>
      </c>
      <c r="M571" s="136">
        <v>31.31</v>
      </c>
      <c r="N571" s="139">
        <v>3</v>
      </c>
      <c r="O571" s="138">
        <v>1</v>
      </c>
      <c r="Q571" s="136">
        <v>54.45</v>
      </c>
      <c r="R571" s="139">
        <v>16</v>
      </c>
      <c r="S571" s="138">
        <v>98</v>
      </c>
      <c r="U571" s="136">
        <v>31.37</v>
      </c>
      <c r="V571" s="139">
        <v>9</v>
      </c>
      <c r="W571" s="138">
        <v>37</v>
      </c>
      <c r="Y571" s="136">
        <v>31.23</v>
      </c>
      <c r="Z571" s="139">
        <v>2</v>
      </c>
      <c r="AA571" s="138" t="s">
        <v>883</v>
      </c>
      <c r="AC571" s="136">
        <v>31.43</v>
      </c>
      <c r="AD571" s="139">
        <v>12</v>
      </c>
      <c r="AE571" s="138">
        <v>75</v>
      </c>
      <c r="AG571" s="136">
        <v>31.51</v>
      </c>
      <c r="AH571" s="137">
        <v>4</v>
      </c>
      <c r="AI571" s="138">
        <v>2</v>
      </c>
      <c r="AK571" s="136">
        <v>31.34</v>
      </c>
      <c r="AL571" s="139">
        <v>12</v>
      </c>
      <c r="AM571" s="138">
        <v>75</v>
      </c>
      <c r="AO571" s="136">
        <v>53.32</v>
      </c>
      <c r="AP571" s="139">
        <v>16</v>
      </c>
      <c r="AQ571" s="138">
        <v>98</v>
      </c>
      <c r="AS571" s="136">
        <v>31.26</v>
      </c>
      <c r="AT571" s="139">
        <v>3</v>
      </c>
      <c r="AU571" s="138">
        <v>1</v>
      </c>
      <c r="AW571" s="136">
        <v>53.44</v>
      </c>
      <c r="AX571" s="139">
        <v>16</v>
      </c>
      <c r="AY571" s="138">
        <v>98</v>
      </c>
      <c r="BA571" s="136">
        <v>32.11</v>
      </c>
      <c r="BB571" s="139">
        <v>2</v>
      </c>
      <c r="BC571" s="138" t="s">
        <v>883</v>
      </c>
    </row>
    <row r="572" spans="5:55" x14ac:dyDescent="0.3">
      <c r="E572" s="166">
        <v>31.6</v>
      </c>
      <c r="F572" s="167">
        <v>19</v>
      </c>
      <c r="G572" s="155" t="s">
        <v>874</v>
      </c>
      <c r="I572" s="136">
        <v>54.15</v>
      </c>
      <c r="J572" s="139">
        <v>4</v>
      </c>
      <c r="K572" s="138">
        <v>2</v>
      </c>
      <c r="M572" s="136">
        <v>31.33</v>
      </c>
      <c r="N572" s="139">
        <v>4</v>
      </c>
      <c r="O572" s="138">
        <v>2</v>
      </c>
      <c r="Q572" s="136">
        <v>54.46</v>
      </c>
      <c r="R572" s="139">
        <v>17</v>
      </c>
      <c r="S572" s="138">
        <v>99</v>
      </c>
      <c r="U572" s="136">
        <v>31.4</v>
      </c>
      <c r="V572" s="139">
        <v>10</v>
      </c>
      <c r="W572" s="138">
        <v>50</v>
      </c>
      <c r="Y572" s="136">
        <v>31.24</v>
      </c>
      <c r="Z572" s="139">
        <v>3</v>
      </c>
      <c r="AA572" s="138">
        <v>1</v>
      </c>
      <c r="AC572" s="136">
        <v>31.45</v>
      </c>
      <c r="AD572" s="139">
        <v>13</v>
      </c>
      <c r="AE572" s="138">
        <v>85</v>
      </c>
      <c r="AG572" s="136">
        <v>31.53</v>
      </c>
      <c r="AH572" s="137">
        <v>5</v>
      </c>
      <c r="AI572" s="138">
        <v>5</v>
      </c>
      <c r="AK572" s="136">
        <v>31.35</v>
      </c>
      <c r="AL572" s="139">
        <v>13</v>
      </c>
      <c r="AM572" s="138">
        <v>85</v>
      </c>
      <c r="AO572" s="136">
        <v>53.33</v>
      </c>
      <c r="AP572" s="139">
        <v>17</v>
      </c>
      <c r="AQ572" s="138">
        <v>99</v>
      </c>
      <c r="AS572" s="136">
        <v>31.28</v>
      </c>
      <c r="AT572" s="139">
        <v>4</v>
      </c>
      <c r="AU572" s="138">
        <v>2</v>
      </c>
      <c r="AW572" s="136">
        <v>53.46</v>
      </c>
      <c r="AX572" s="139">
        <v>17</v>
      </c>
      <c r="AY572" s="138">
        <v>99</v>
      </c>
      <c r="BA572" s="136">
        <v>32.130000000000003</v>
      </c>
      <c r="BB572" s="139">
        <v>3</v>
      </c>
      <c r="BC572" s="138">
        <v>1</v>
      </c>
    </row>
    <row r="573" spans="5:55" x14ac:dyDescent="0.3">
      <c r="E573" s="166">
        <v>32</v>
      </c>
      <c r="F573" s="167">
        <v>1</v>
      </c>
      <c r="G573" s="155" t="s">
        <v>862</v>
      </c>
      <c r="I573" s="136">
        <v>54.17</v>
      </c>
      <c r="J573" s="139">
        <v>5</v>
      </c>
      <c r="K573" s="138">
        <v>5</v>
      </c>
      <c r="M573" s="136">
        <v>31.35</v>
      </c>
      <c r="N573" s="139">
        <v>5</v>
      </c>
      <c r="O573" s="138">
        <v>5</v>
      </c>
      <c r="Q573" s="136">
        <v>54.47</v>
      </c>
      <c r="R573" s="139">
        <v>18</v>
      </c>
      <c r="S573" s="138" t="s">
        <v>884</v>
      </c>
      <c r="U573" s="136">
        <v>31.43</v>
      </c>
      <c r="V573" s="139">
        <v>11</v>
      </c>
      <c r="W573" s="138">
        <v>63</v>
      </c>
      <c r="Y573" s="136">
        <v>31.26</v>
      </c>
      <c r="Z573" s="139">
        <v>4</v>
      </c>
      <c r="AA573" s="138">
        <v>2</v>
      </c>
      <c r="AC573" s="136">
        <v>31.47</v>
      </c>
      <c r="AD573" s="139">
        <v>14</v>
      </c>
      <c r="AE573" s="138">
        <v>91</v>
      </c>
      <c r="AG573" s="136">
        <v>31.55</v>
      </c>
      <c r="AH573" s="137">
        <v>6</v>
      </c>
      <c r="AI573" s="138">
        <v>9</v>
      </c>
      <c r="AK573" s="136">
        <v>31.35</v>
      </c>
      <c r="AL573" s="139">
        <v>14</v>
      </c>
      <c r="AM573" s="138">
        <v>91</v>
      </c>
      <c r="AO573" s="136">
        <v>53.34</v>
      </c>
      <c r="AP573" s="139">
        <v>18</v>
      </c>
      <c r="AQ573" s="138" t="s">
        <v>884</v>
      </c>
      <c r="AS573" s="136">
        <v>31.3</v>
      </c>
      <c r="AT573" s="139">
        <v>5</v>
      </c>
      <c r="AU573" s="138">
        <v>5</v>
      </c>
      <c r="AW573" s="136">
        <v>53.49</v>
      </c>
      <c r="AX573" s="139">
        <v>18</v>
      </c>
      <c r="AY573" s="138" t="s">
        <v>884</v>
      </c>
      <c r="BA573" s="136">
        <v>32.14</v>
      </c>
      <c r="BB573" s="139">
        <v>4</v>
      </c>
      <c r="BC573" s="138">
        <v>2</v>
      </c>
    </row>
    <row r="574" spans="5:55" x14ac:dyDescent="0.3">
      <c r="E574" s="166">
        <v>32.25</v>
      </c>
      <c r="F574" s="167">
        <v>2</v>
      </c>
      <c r="G574" s="155" t="s">
        <v>862</v>
      </c>
      <c r="I574" s="136">
        <v>54.19</v>
      </c>
      <c r="J574" s="139">
        <v>6</v>
      </c>
      <c r="K574" s="138">
        <v>9</v>
      </c>
      <c r="M574" s="136">
        <v>31.37</v>
      </c>
      <c r="N574" s="139">
        <v>6</v>
      </c>
      <c r="O574" s="138">
        <v>9</v>
      </c>
      <c r="Q574" s="136">
        <v>54.49</v>
      </c>
      <c r="R574" s="139">
        <v>19</v>
      </c>
      <c r="S574" s="138" t="s">
        <v>884</v>
      </c>
      <c r="U574" s="136">
        <v>31.46</v>
      </c>
      <c r="V574" s="139">
        <v>12</v>
      </c>
      <c r="W574" s="138">
        <v>75</v>
      </c>
      <c r="Y574" s="136">
        <v>31.27</v>
      </c>
      <c r="Z574" s="139">
        <v>5</v>
      </c>
      <c r="AA574" s="138">
        <v>5</v>
      </c>
      <c r="AC574" s="136">
        <v>31.49</v>
      </c>
      <c r="AD574" s="139">
        <v>15</v>
      </c>
      <c r="AE574" s="138">
        <v>95</v>
      </c>
      <c r="AG574" s="136">
        <v>31.57</v>
      </c>
      <c r="AH574" s="137">
        <v>7</v>
      </c>
      <c r="AI574" s="138">
        <v>16</v>
      </c>
      <c r="AK574" s="136">
        <v>31.38</v>
      </c>
      <c r="AL574" s="139">
        <v>15</v>
      </c>
      <c r="AM574" s="138">
        <v>95</v>
      </c>
      <c r="AO574" s="136">
        <v>53.37</v>
      </c>
      <c r="AP574" s="139">
        <v>19</v>
      </c>
      <c r="AQ574" s="138" t="s">
        <v>884</v>
      </c>
      <c r="AS574" s="136">
        <v>31.31</v>
      </c>
      <c r="AT574" s="139">
        <v>6</v>
      </c>
      <c r="AU574" s="138">
        <v>9</v>
      </c>
      <c r="AW574" s="136">
        <v>53.51</v>
      </c>
      <c r="AX574" s="139">
        <v>19</v>
      </c>
      <c r="AY574" s="138" t="s">
        <v>884</v>
      </c>
      <c r="BA574" s="136">
        <v>32.15</v>
      </c>
      <c r="BB574" s="139">
        <v>5</v>
      </c>
      <c r="BC574" s="138">
        <v>5</v>
      </c>
    </row>
    <row r="575" spans="5:55" x14ac:dyDescent="0.3">
      <c r="E575" s="166">
        <v>32.28</v>
      </c>
      <c r="F575" s="167">
        <v>3</v>
      </c>
      <c r="G575" s="155" t="s">
        <v>876</v>
      </c>
      <c r="I575" s="136">
        <v>54.2</v>
      </c>
      <c r="J575" s="139">
        <v>7</v>
      </c>
      <c r="K575" s="138">
        <v>16</v>
      </c>
      <c r="M575" s="136">
        <v>31.39</v>
      </c>
      <c r="N575" s="139">
        <v>7</v>
      </c>
      <c r="O575" s="138">
        <v>16</v>
      </c>
      <c r="Q575" s="136">
        <v>55</v>
      </c>
      <c r="R575" s="139">
        <v>1</v>
      </c>
      <c r="S575" s="138" t="s">
        <v>883</v>
      </c>
      <c r="U575" s="136">
        <v>31.49</v>
      </c>
      <c r="V575" s="139">
        <v>13</v>
      </c>
      <c r="W575" s="138">
        <v>85</v>
      </c>
      <c r="Y575" s="136">
        <v>31.28</v>
      </c>
      <c r="Z575" s="139">
        <v>6</v>
      </c>
      <c r="AA575" s="138">
        <v>9</v>
      </c>
      <c r="AC575" s="136">
        <v>31.51</v>
      </c>
      <c r="AD575" s="139">
        <v>16</v>
      </c>
      <c r="AE575" s="138">
        <v>98</v>
      </c>
      <c r="AG575" s="136">
        <v>31.58</v>
      </c>
      <c r="AH575" s="137">
        <v>8</v>
      </c>
      <c r="AI575" s="138">
        <v>25</v>
      </c>
      <c r="AK575" s="136">
        <v>31.39</v>
      </c>
      <c r="AL575" s="139">
        <v>16</v>
      </c>
      <c r="AM575" s="138">
        <v>98</v>
      </c>
      <c r="AO575" s="136">
        <v>54</v>
      </c>
      <c r="AP575" s="139">
        <v>1</v>
      </c>
      <c r="AQ575" s="138" t="s">
        <v>883</v>
      </c>
      <c r="AS575" s="136">
        <v>31.33</v>
      </c>
      <c r="AT575" s="139">
        <v>7</v>
      </c>
      <c r="AU575" s="138">
        <v>16</v>
      </c>
      <c r="AW575" s="136">
        <v>54</v>
      </c>
      <c r="AX575" s="139">
        <v>1</v>
      </c>
      <c r="AY575" s="138" t="s">
        <v>883</v>
      </c>
      <c r="BA575" s="136">
        <v>32.159999999999997</v>
      </c>
      <c r="BB575" s="139">
        <v>6</v>
      </c>
      <c r="BC575" s="138">
        <v>9</v>
      </c>
    </row>
    <row r="576" spans="5:55" x14ac:dyDescent="0.3">
      <c r="E576" s="166">
        <v>32.299999999999997</v>
      </c>
      <c r="F576" s="167">
        <v>4</v>
      </c>
      <c r="G576" s="155" t="s">
        <v>863</v>
      </c>
      <c r="I576" s="136">
        <v>54.22</v>
      </c>
      <c r="J576" s="139">
        <v>8</v>
      </c>
      <c r="K576" s="138">
        <v>25</v>
      </c>
      <c r="M576" s="136">
        <v>31.41</v>
      </c>
      <c r="N576" s="139">
        <v>8</v>
      </c>
      <c r="O576" s="138">
        <v>25</v>
      </c>
      <c r="Q576" s="136">
        <v>55.16</v>
      </c>
      <c r="R576" s="139">
        <v>2</v>
      </c>
      <c r="S576" s="138" t="s">
        <v>883</v>
      </c>
      <c r="U576" s="136">
        <v>31.51</v>
      </c>
      <c r="V576" s="139">
        <v>14</v>
      </c>
      <c r="W576" s="138">
        <v>91</v>
      </c>
      <c r="Y576" s="136">
        <v>31.29</v>
      </c>
      <c r="Z576" s="139">
        <v>7</v>
      </c>
      <c r="AA576" s="138">
        <v>16</v>
      </c>
      <c r="AC576" s="136">
        <v>31.54</v>
      </c>
      <c r="AD576" s="139">
        <v>17</v>
      </c>
      <c r="AE576" s="138">
        <v>99</v>
      </c>
      <c r="AG576" s="136">
        <v>31.6</v>
      </c>
      <c r="AH576" s="137">
        <v>9</v>
      </c>
      <c r="AI576" s="138">
        <v>37</v>
      </c>
      <c r="AK576" s="136">
        <v>31.4</v>
      </c>
      <c r="AL576" s="139">
        <v>17</v>
      </c>
      <c r="AM576" s="138">
        <v>99</v>
      </c>
      <c r="AO576" s="136">
        <v>54.15</v>
      </c>
      <c r="AP576" s="139">
        <v>2</v>
      </c>
      <c r="AQ576" s="138" t="s">
        <v>883</v>
      </c>
      <c r="AS576" s="136">
        <v>31.34</v>
      </c>
      <c r="AT576" s="139">
        <v>8</v>
      </c>
      <c r="AU576" s="138">
        <v>25</v>
      </c>
      <c r="AW576" s="136">
        <v>54.17</v>
      </c>
      <c r="AX576" s="139">
        <v>2</v>
      </c>
      <c r="AY576" s="138" t="s">
        <v>883</v>
      </c>
      <c r="BA576" s="136">
        <v>32.17</v>
      </c>
      <c r="BB576" s="139">
        <v>7</v>
      </c>
      <c r="BC576" s="138">
        <v>16</v>
      </c>
    </row>
    <row r="577" spans="5:55" x14ac:dyDescent="0.3">
      <c r="E577" s="166">
        <v>32.32</v>
      </c>
      <c r="F577" s="167">
        <v>5</v>
      </c>
      <c r="G577" s="155" t="s">
        <v>877</v>
      </c>
      <c r="I577" s="136">
        <v>54.24</v>
      </c>
      <c r="J577" s="139">
        <v>9</v>
      </c>
      <c r="K577" s="138">
        <v>37</v>
      </c>
      <c r="M577" s="136">
        <v>31.44</v>
      </c>
      <c r="N577" s="139">
        <v>9</v>
      </c>
      <c r="O577" s="138">
        <v>37</v>
      </c>
      <c r="Q577" s="136">
        <v>55.24</v>
      </c>
      <c r="R577" s="139">
        <v>3</v>
      </c>
      <c r="S577" s="138">
        <v>1</v>
      </c>
      <c r="U577" s="136">
        <v>31.54</v>
      </c>
      <c r="V577" s="139">
        <v>15</v>
      </c>
      <c r="W577" s="138">
        <v>95</v>
      </c>
      <c r="Y577" s="136">
        <v>31.3</v>
      </c>
      <c r="Z577" s="139">
        <v>8</v>
      </c>
      <c r="AA577" s="138">
        <v>25</v>
      </c>
      <c r="AC577" s="136">
        <v>31.57</v>
      </c>
      <c r="AD577" s="139">
        <v>18</v>
      </c>
      <c r="AE577" s="138" t="s">
        <v>884</v>
      </c>
      <c r="AG577" s="136">
        <v>31.62</v>
      </c>
      <c r="AH577" s="137">
        <v>10</v>
      </c>
      <c r="AI577" s="138">
        <v>50</v>
      </c>
      <c r="AK577" s="136">
        <v>31.41</v>
      </c>
      <c r="AL577" s="139">
        <v>18</v>
      </c>
      <c r="AM577" s="138" t="s">
        <v>884</v>
      </c>
      <c r="AO577" s="136">
        <v>54.17</v>
      </c>
      <c r="AP577" s="139">
        <v>3</v>
      </c>
      <c r="AQ577" s="138">
        <v>1</v>
      </c>
      <c r="AS577" s="136">
        <v>31.36</v>
      </c>
      <c r="AT577" s="139">
        <v>9</v>
      </c>
      <c r="AU577" s="138">
        <v>37</v>
      </c>
      <c r="AW577" s="136">
        <v>54.19</v>
      </c>
      <c r="AX577" s="139">
        <v>3</v>
      </c>
      <c r="AY577" s="138">
        <v>1</v>
      </c>
      <c r="BA577" s="136">
        <v>32.19</v>
      </c>
      <c r="BB577" s="139">
        <v>8</v>
      </c>
      <c r="BC577" s="138">
        <v>25</v>
      </c>
    </row>
    <row r="578" spans="5:55" x14ac:dyDescent="0.3">
      <c r="E578" s="166">
        <v>32.340000000000003</v>
      </c>
      <c r="F578" s="167">
        <v>6</v>
      </c>
      <c r="G578" s="155" t="s">
        <v>864</v>
      </c>
      <c r="I578" s="136">
        <v>54.25</v>
      </c>
      <c r="J578" s="139">
        <v>10</v>
      </c>
      <c r="K578" s="138">
        <v>50</v>
      </c>
      <c r="M578" s="136">
        <v>31.46</v>
      </c>
      <c r="N578" s="139">
        <v>10</v>
      </c>
      <c r="O578" s="138">
        <v>50</v>
      </c>
      <c r="Q578" s="136">
        <v>55.26</v>
      </c>
      <c r="R578" s="139">
        <v>4</v>
      </c>
      <c r="S578" s="138">
        <v>2</v>
      </c>
      <c r="U578" s="136">
        <v>31.57</v>
      </c>
      <c r="V578" s="139">
        <v>16</v>
      </c>
      <c r="W578" s="138">
        <v>98</v>
      </c>
      <c r="Y578" s="136">
        <v>31.32</v>
      </c>
      <c r="Z578" s="139">
        <v>9</v>
      </c>
      <c r="AA578" s="138">
        <v>37</v>
      </c>
      <c r="AC578" s="136">
        <v>31.59</v>
      </c>
      <c r="AD578" s="139">
        <v>19</v>
      </c>
      <c r="AE578" s="138" t="s">
        <v>884</v>
      </c>
      <c r="AG578" s="136">
        <v>31.64</v>
      </c>
      <c r="AH578" s="137">
        <v>11</v>
      </c>
      <c r="AI578" s="138">
        <v>63</v>
      </c>
      <c r="AK578" s="136">
        <v>31.42</v>
      </c>
      <c r="AL578" s="139">
        <v>19</v>
      </c>
      <c r="AM578" s="138" t="s">
        <v>884</v>
      </c>
      <c r="AO578" s="136">
        <v>54.19</v>
      </c>
      <c r="AP578" s="139">
        <v>4</v>
      </c>
      <c r="AQ578" s="138">
        <v>2</v>
      </c>
      <c r="AS578" s="136">
        <v>31.37</v>
      </c>
      <c r="AT578" s="139">
        <v>10</v>
      </c>
      <c r="AU578" s="138">
        <v>50</v>
      </c>
      <c r="AW578" s="136">
        <v>54.21</v>
      </c>
      <c r="AX578" s="139">
        <v>4</v>
      </c>
      <c r="AY578" s="138">
        <v>2</v>
      </c>
      <c r="BA578" s="136">
        <v>32.200000000000003</v>
      </c>
      <c r="BB578" s="139">
        <v>9</v>
      </c>
      <c r="BC578" s="138">
        <v>37</v>
      </c>
    </row>
    <row r="579" spans="5:55" x14ac:dyDescent="0.3">
      <c r="E579" s="166">
        <v>32.36</v>
      </c>
      <c r="F579" s="167">
        <v>7</v>
      </c>
      <c r="G579" s="155" t="s">
        <v>878</v>
      </c>
      <c r="I579" s="136">
        <v>54.27</v>
      </c>
      <c r="J579" s="139">
        <v>11</v>
      </c>
      <c r="K579" s="138">
        <v>63</v>
      </c>
      <c r="M579" s="136">
        <v>31.47</v>
      </c>
      <c r="N579" s="139">
        <v>11</v>
      </c>
      <c r="O579" s="138">
        <v>63</v>
      </c>
      <c r="Q579" s="136">
        <v>55.28</v>
      </c>
      <c r="R579" s="139">
        <v>5</v>
      </c>
      <c r="S579" s="138">
        <v>5</v>
      </c>
      <c r="U579" s="136">
        <v>31.6</v>
      </c>
      <c r="V579" s="139">
        <v>17</v>
      </c>
      <c r="W579" s="138">
        <v>99</v>
      </c>
      <c r="Y579" s="136">
        <v>31.33</v>
      </c>
      <c r="Z579" s="139">
        <v>10</v>
      </c>
      <c r="AA579" s="138">
        <v>50</v>
      </c>
      <c r="AC579" s="136">
        <v>32</v>
      </c>
      <c r="AD579" s="139">
        <v>1</v>
      </c>
      <c r="AE579" s="138" t="s">
        <v>883</v>
      </c>
      <c r="AG579" s="136">
        <v>31.66</v>
      </c>
      <c r="AH579" s="137">
        <v>12</v>
      </c>
      <c r="AI579" s="138">
        <v>75</v>
      </c>
      <c r="AK579" s="136">
        <v>32</v>
      </c>
      <c r="AL579" s="139">
        <v>1</v>
      </c>
      <c r="AM579" s="138" t="s">
        <v>883</v>
      </c>
      <c r="AO579" s="136">
        <v>54.2</v>
      </c>
      <c r="AP579" s="139">
        <v>5</v>
      </c>
      <c r="AQ579" s="138">
        <v>5</v>
      </c>
      <c r="AS579" s="136">
        <v>31.39</v>
      </c>
      <c r="AT579" s="139">
        <v>11</v>
      </c>
      <c r="AU579" s="138">
        <v>63</v>
      </c>
      <c r="AW579" s="136">
        <v>54.23</v>
      </c>
      <c r="AX579" s="139">
        <v>5</v>
      </c>
      <c r="AY579" s="138">
        <v>5</v>
      </c>
      <c r="BA579" s="136">
        <v>32.21</v>
      </c>
      <c r="BB579" s="139">
        <v>10</v>
      </c>
      <c r="BC579" s="138">
        <v>50</v>
      </c>
    </row>
    <row r="580" spans="5:55" x14ac:dyDescent="0.3">
      <c r="E580" s="166">
        <v>32.379999999999995</v>
      </c>
      <c r="F580" s="167">
        <v>8</v>
      </c>
      <c r="G580" s="155" t="s">
        <v>865</v>
      </c>
      <c r="I580" s="136">
        <v>54.28</v>
      </c>
      <c r="J580" s="139">
        <v>12</v>
      </c>
      <c r="K580" s="138">
        <v>75</v>
      </c>
      <c r="M580" s="136">
        <v>31.48</v>
      </c>
      <c r="N580" s="139">
        <v>12</v>
      </c>
      <c r="O580" s="138">
        <v>75</v>
      </c>
      <c r="Q580" s="136">
        <v>55.3</v>
      </c>
      <c r="R580" s="139">
        <v>6</v>
      </c>
      <c r="S580" s="138">
        <v>9</v>
      </c>
      <c r="U580" s="136">
        <v>31.63</v>
      </c>
      <c r="V580" s="139">
        <v>18</v>
      </c>
      <c r="W580" s="138" t="s">
        <v>884</v>
      </c>
      <c r="Y580" s="136">
        <v>31.34</v>
      </c>
      <c r="Z580" s="139">
        <v>11</v>
      </c>
      <c r="AA580" s="138">
        <v>63</v>
      </c>
      <c r="AC580" s="136">
        <v>32.21</v>
      </c>
      <c r="AD580" s="139">
        <v>2</v>
      </c>
      <c r="AE580" s="138" t="s">
        <v>883</v>
      </c>
      <c r="AG580" s="136">
        <v>31.67</v>
      </c>
      <c r="AH580" s="137">
        <v>13</v>
      </c>
      <c r="AI580" s="138">
        <v>85</v>
      </c>
      <c r="AK580" s="136">
        <v>32.229999999999997</v>
      </c>
      <c r="AL580" s="139">
        <v>2</v>
      </c>
      <c r="AM580" s="138" t="s">
        <v>883</v>
      </c>
      <c r="AO580" s="136">
        <v>54.21</v>
      </c>
      <c r="AP580" s="139">
        <v>6</v>
      </c>
      <c r="AQ580" s="138">
        <v>9</v>
      </c>
      <c r="AS580" s="136">
        <v>31.4</v>
      </c>
      <c r="AT580" s="139">
        <v>12</v>
      </c>
      <c r="AU580" s="138">
        <v>75</v>
      </c>
      <c r="AW580" s="136">
        <v>54.25</v>
      </c>
      <c r="AX580" s="139">
        <v>6</v>
      </c>
      <c r="AY580" s="138">
        <v>9</v>
      </c>
      <c r="BA580" s="136">
        <v>32.229999999999997</v>
      </c>
      <c r="BB580" s="139">
        <v>11</v>
      </c>
      <c r="BC580" s="138">
        <v>63</v>
      </c>
    </row>
    <row r="581" spans="5:55" x14ac:dyDescent="0.3">
      <c r="E581" s="166">
        <v>32.4</v>
      </c>
      <c r="F581" s="167">
        <v>9</v>
      </c>
      <c r="G581" s="155" t="s">
        <v>879</v>
      </c>
      <c r="I581" s="136">
        <v>54.29</v>
      </c>
      <c r="J581" s="139">
        <v>13</v>
      </c>
      <c r="K581" s="138">
        <v>85</v>
      </c>
      <c r="M581" s="136">
        <v>31.49</v>
      </c>
      <c r="N581" s="139">
        <v>13</v>
      </c>
      <c r="O581" s="138">
        <v>85</v>
      </c>
      <c r="Q581" s="136">
        <v>55.31</v>
      </c>
      <c r="R581" s="139">
        <v>7</v>
      </c>
      <c r="S581" s="138">
        <v>16</v>
      </c>
      <c r="U581" s="136">
        <v>31.66</v>
      </c>
      <c r="V581" s="139">
        <v>19</v>
      </c>
      <c r="W581" s="138" t="s">
        <v>884</v>
      </c>
      <c r="Y581" s="136">
        <v>31.35</v>
      </c>
      <c r="Z581" s="139">
        <v>12</v>
      </c>
      <c r="AA581" s="138">
        <v>75</v>
      </c>
      <c r="AC581" s="136">
        <v>32.24</v>
      </c>
      <c r="AD581" s="139">
        <v>3</v>
      </c>
      <c r="AE581" s="138">
        <v>1</v>
      </c>
      <c r="AG581" s="136">
        <v>31.69</v>
      </c>
      <c r="AH581" s="137">
        <v>14</v>
      </c>
      <c r="AI581" s="138">
        <v>91</v>
      </c>
      <c r="AK581" s="136">
        <v>32.25</v>
      </c>
      <c r="AL581" s="139">
        <v>3</v>
      </c>
      <c r="AM581" s="138">
        <v>1</v>
      </c>
      <c r="AO581" s="136">
        <v>54.22</v>
      </c>
      <c r="AP581" s="139">
        <v>7</v>
      </c>
      <c r="AQ581" s="138">
        <v>16</v>
      </c>
      <c r="AS581" s="136">
        <v>31.42</v>
      </c>
      <c r="AT581" s="139">
        <v>13</v>
      </c>
      <c r="AU581" s="138">
        <v>85</v>
      </c>
      <c r="AW581" s="136">
        <v>54.27</v>
      </c>
      <c r="AX581" s="139">
        <v>7</v>
      </c>
      <c r="AY581" s="138">
        <v>16</v>
      </c>
      <c r="BA581" s="136">
        <v>32.24</v>
      </c>
      <c r="BB581" s="139">
        <v>12</v>
      </c>
      <c r="BC581" s="138">
        <v>75</v>
      </c>
    </row>
    <row r="582" spans="5:55" x14ac:dyDescent="0.3">
      <c r="E582" s="166">
        <v>32.42</v>
      </c>
      <c r="F582" s="167">
        <v>10</v>
      </c>
      <c r="G582" s="155" t="s">
        <v>866</v>
      </c>
      <c r="I582" s="136">
        <v>54.31</v>
      </c>
      <c r="J582" s="139">
        <v>14</v>
      </c>
      <c r="K582" s="138">
        <v>91</v>
      </c>
      <c r="M582" s="136">
        <v>31.5</v>
      </c>
      <c r="N582" s="139">
        <v>14</v>
      </c>
      <c r="O582" s="138">
        <v>91</v>
      </c>
      <c r="Q582" s="136">
        <v>55.33</v>
      </c>
      <c r="R582" s="139">
        <v>8</v>
      </c>
      <c r="S582" s="138">
        <v>25</v>
      </c>
      <c r="U582" s="136">
        <v>32</v>
      </c>
      <c r="V582" s="139">
        <v>1</v>
      </c>
      <c r="W582" s="138" t="s">
        <v>883</v>
      </c>
      <c r="Y582" s="136">
        <v>31.36</v>
      </c>
      <c r="Z582" s="139">
        <v>13</v>
      </c>
      <c r="AA582" s="138">
        <v>85</v>
      </c>
      <c r="AC582" s="136">
        <v>32.26</v>
      </c>
      <c r="AD582" s="139">
        <v>4</v>
      </c>
      <c r="AE582" s="138">
        <v>2</v>
      </c>
      <c r="AG582" s="136">
        <v>31.71</v>
      </c>
      <c r="AH582" s="137">
        <v>15</v>
      </c>
      <c r="AI582" s="138">
        <v>95</v>
      </c>
      <c r="AK582" s="136">
        <v>32.26</v>
      </c>
      <c r="AL582" s="139">
        <v>4</v>
      </c>
      <c r="AM582" s="138">
        <v>2</v>
      </c>
      <c r="AO582" s="136">
        <v>54.23</v>
      </c>
      <c r="AP582" s="139">
        <v>8</v>
      </c>
      <c r="AQ582" s="138">
        <v>25</v>
      </c>
      <c r="AS582" s="136">
        <v>31.43</v>
      </c>
      <c r="AT582" s="139">
        <v>14</v>
      </c>
      <c r="AU582" s="138">
        <v>91</v>
      </c>
      <c r="AW582" s="136">
        <v>54.29</v>
      </c>
      <c r="AX582" s="139">
        <v>8</v>
      </c>
      <c r="AY582" s="138">
        <v>25</v>
      </c>
      <c r="BA582" s="136">
        <v>32.25</v>
      </c>
      <c r="BB582" s="139">
        <v>13</v>
      </c>
      <c r="BC582" s="138">
        <v>85</v>
      </c>
    </row>
    <row r="583" spans="5:55" x14ac:dyDescent="0.3">
      <c r="E583" s="166">
        <v>32.44</v>
      </c>
      <c r="F583" s="167">
        <v>11</v>
      </c>
      <c r="G583" s="155" t="s">
        <v>867</v>
      </c>
      <c r="I583" s="136">
        <v>54.33</v>
      </c>
      <c r="J583" s="139">
        <v>15</v>
      </c>
      <c r="K583" s="138">
        <v>95</v>
      </c>
      <c r="M583" s="136">
        <v>31.51</v>
      </c>
      <c r="N583" s="139">
        <v>15</v>
      </c>
      <c r="O583" s="138">
        <v>95</v>
      </c>
      <c r="Q583" s="136">
        <v>55.35</v>
      </c>
      <c r="R583" s="139">
        <v>9</v>
      </c>
      <c r="S583" s="138">
        <v>37</v>
      </c>
      <c r="U583" s="136">
        <v>32.14</v>
      </c>
      <c r="V583" s="139">
        <v>2</v>
      </c>
      <c r="W583" s="138" t="s">
        <v>883</v>
      </c>
      <c r="Y583" s="136">
        <v>31.38</v>
      </c>
      <c r="Z583" s="139">
        <v>14</v>
      </c>
      <c r="AA583" s="138">
        <v>91</v>
      </c>
      <c r="AC583" s="136">
        <v>32.28</v>
      </c>
      <c r="AD583" s="139">
        <v>5</v>
      </c>
      <c r="AE583" s="138">
        <v>5</v>
      </c>
      <c r="AG583" s="136">
        <v>31.73</v>
      </c>
      <c r="AH583" s="137">
        <v>16</v>
      </c>
      <c r="AI583" s="138">
        <v>98</v>
      </c>
      <c r="AK583" s="136">
        <v>32.270000000000003</v>
      </c>
      <c r="AL583" s="139">
        <v>5</v>
      </c>
      <c r="AM583" s="138">
        <v>5</v>
      </c>
      <c r="AO583" s="136">
        <v>54.25</v>
      </c>
      <c r="AP583" s="139">
        <v>9</v>
      </c>
      <c r="AQ583" s="138">
        <v>37</v>
      </c>
      <c r="AS583" s="136">
        <v>31.45</v>
      </c>
      <c r="AT583" s="139">
        <v>15</v>
      </c>
      <c r="AU583" s="138">
        <v>95</v>
      </c>
      <c r="AW583" s="136">
        <v>54.32</v>
      </c>
      <c r="AX583" s="139">
        <v>9</v>
      </c>
      <c r="AY583" s="138">
        <v>37</v>
      </c>
      <c r="BA583" s="136">
        <v>32.270000000000003</v>
      </c>
      <c r="BB583" s="139">
        <v>14</v>
      </c>
      <c r="BC583" s="138">
        <v>91</v>
      </c>
    </row>
    <row r="584" spans="5:55" x14ac:dyDescent="0.3">
      <c r="E584" s="166">
        <v>32.46</v>
      </c>
      <c r="F584" s="167">
        <v>12</v>
      </c>
      <c r="G584" s="155" t="s">
        <v>868</v>
      </c>
      <c r="I584" s="136">
        <v>54.35</v>
      </c>
      <c r="J584" s="139">
        <v>16</v>
      </c>
      <c r="K584" s="138">
        <v>98</v>
      </c>
      <c r="M584" s="136">
        <v>31.52</v>
      </c>
      <c r="N584" s="139">
        <v>16</v>
      </c>
      <c r="O584" s="138">
        <v>98</v>
      </c>
      <c r="Q584" s="136">
        <v>55.37</v>
      </c>
      <c r="R584" s="139">
        <v>10</v>
      </c>
      <c r="S584" s="138">
        <v>50</v>
      </c>
      <c r="U584" s="136">
        <v>32.200000000000003</v>
      </c>
      <c r="V584" s="139">
        <v>3</v>
      </c>
      <c r="W584" s="138">
        <v>1</v>
      </c>
      <c r="Y584" s="136">
        <v>31.4</v>
      </c>
      <c r="Z584" s="139">
        <v>15</v>
      </c>
      <c r="AA584" s="138">
        <v>95</v>
      </c>
      <c r="AC584" s="136">
        <v>32.299999999999997</v>
      </c>
      <c r="AD584" s="139">
        <v>6</v>
      </c>
      <c r="AE584" s="138">
        <v>9</v>
      </c>
      <c r="AG584" s="136">
        <v>31.75</v>
      </c>
      <c r="AH584" s="137">
        <v>17</v>
      </c>
      <c r="AI584" s="138">
        <v>99</v>
      </c>
      <c r="AK584" s="136">
        <v>32.28</v>
      </c>
      <c r="AL584" s="139">
        <v>6</v>
      </c>
      <c r="AM584" s="138">
        <v>9</v>
      </c>
      <c r="AO584" s="136">
        <v>54.26</v>
      </c>
      <c r="AP584" s="139">
        <v>10</v>
      </c>
      <c r="AQ584" s="138">
        <v>50</v>
      </c>
      <c r="AS584" s="136">
        <v>31.46</v>
      </c>
      <c r="AT584" s="139">
        <v>16</v>
      </c>
      <c r="AU584" s="138">
        <v>98</v>
      </c>
      <c r="AW584" s="136">
        <v>54.34</v>
      </c>
      <c r="AX584" s="139">
        <v>10</v>
      </c>
      <c r="AY584" s="138">
        <v>50</v>
      </c>
      <c r="BA584" s="136">
        <v>32.28</v>
      </c>
      <c r="BB584" s="139">
        <v>15</v>
      </c>
      <c r="BC584" s="138">
        <v>95</v>
      </c>
    </row>
    <row r="585" spans="5:55" x14ac:dyDescent="0.3">
      <c r="E585" s="166">
        <v>32.480000000000004</v>
      </c>
      <c r="F585" s="167">
        <v>13</v>
      </c>
      <c r="G585" s="155" t="s">
        <v>869</v>
      </c>
      <c r="I585" s="136">
        <v>54.37</v>
      </c>
      <c r="J585" s="139">
        <v>17</v>
      </c>
      <c r="K585" s="138">
        <v>99</v>
      </c>
      <c r="M585" s="136">
        <v>31.54</v>
      </c>
      <c r="N585" s="139">
        <v>17</v>
      </c>
      <c r="O585" s="138">
        <v>99</v>
      </c>
      <c r="Q585" s="136">
        <v>55.39</v>
      </c>
      <c r="R585" s="139">
        <v>11</v>
      </c>
      <c r="S585" s="138">
        <v>63</v>
      </c>
      <c r="U585" s="136">
        <v>32.229999999999997</v>
      </c>
      <c r="V585" s="139">
        <v>4</v>
      </c>
      <c r="W585" s="138">
        <v>2</v>
      </c>
      <c r="Y585" s="136">
        <v>31.41</v>
      </c>
      <c r="Z585" s="139">
        <v>16</v>
      </c>
      <c r="AA585" s="138">
        <v>98</v>
      </c>
      <c r="AC585" s="136">
        <v>32.32</v>
      </c>
      <c r="AD585" s="139">
        <v>7</v>
      </c>
      <c r="AE585" s="138">
        <v>16</v>
      </c>
      <c r="AG585" s="136">
        <v>31.76</v>
      </c>
      <c r="AH585" s="137">
        <v>18</v>
      </c>
      <c r="AI585" s="138" t="s">
        <v>884</v>
      </c>
      <c r="AK585" s="136">
        <v>32.29</v>
      </c>
      <c r="AL585" s="139">
        <v>7</v>
      </c>
      <c r="AM585" s="138">
        <v>16</v>
      </c>
      <c r="AO585" s="136">
        <v>54.27</v>
      </c>
      <c r="AP585" s="139">
        <v>11</v>
      </c>
      <c r="AQ585" s="138">
        <v>63</v>
      </c>
      <c r="AS585" s="136">
        <v>31.48</v>
      </c>
      <c r="AT585" s="139">
        <v>17</v>
      </c>
      <c r="AU585" s="138">
        <v>99</v>
      </c>
      <c r="AW585" s="136">
        <v>54.39</v>
      </c>
      <c r="AX585" s="139">
        <v>11</v>
      </c>
      <c r="AY585" s="138">
        <v>63</v>
      </c>
      <c r="BA585" s="136">
        <v>32.29</v>
      </c>
      <c r="BB585" s="139">
        <v>16</v>
      </c>
      <c r="BC585" s="138">
        <v>98</v>
      </c>
    </row>
    <row r="586" spans="5:55" x14ac:dyDescent="0.3">
      <c r="E586" s="166">
        <v>32.5</v>
      </c>
      <c r="F586" s="167">
        <v>14</v>
      </c>
      <c r="G586" s="155" t="s">
        <v>870</v>
      </c>
      <c r="I586" s="136">
        <v>54.39</v>
      </c>
      <c r="J586" s="139">
        <v>18</v>
      </c>
      <c r="K586" s="138" t="s">
        <v>884</v>
      </c>
      <c r="M586" s="136">
        <v>31.55</v>
      </c>
      <c r="N586" s="139">
        <v>18</v>
      </c>
      <c r="O586" s="138" t="s">
        <v>884</v>
      </c>
      <c r="Q586" s="136">
        <v>55.4</v>
      </c>
      <c r="R586" s="139">
        <v>12</v>
      </c>
      <c r="S586" s="138">
        <v>75</v>
      </c>
      <c r="U586" s="136">
        <v>32.26</v>
      </c>
      <c r="V586" s="139">
        <v>5</v>
      </c>
      <c r="W586" s="138">
        <v>5</v>
      </c>
      <c r="Y586" s="136">
        <v>31.42</v>
      </c>
      <c r="Z586" s="139">
        <v>17</v>
      </c>
      <c r="AA586" s="138">
        <v>99</v>
      </c>
      <c r="AC586" s="136">
        <v>32.35</v>
      </c>
      <c r="AD586" s="139">
        <v>8</v>
      </c>
      <c r="AE586" s="138">
        <v>25</v>
      </c>
      <c r="AG586" s="136">
        <v>31.79</v>
      </c>
      <c r="AH586" s="137">
        <v>19</v>
      </c>
      <c r="AI586" s="138" t="s">
        <v>884</v>
      </c>
      <c r="AK586" s="136">
        <v>32.299999999999997</v>
      </c>
      <c r="AL586" s="139">
        <v>8</v>
      </c>
      <c r="AM586" s="138">
        <v>25</v>
      </c>
      <c r="AO586" s="136">
        <v>54.28</v>
      </c>
      <c r="AP586" s="139">
        <v>12</v>
      </c>
      <c r="AQ586" s="138">
        <v>75</v>
      </c>
      <c r="AS586" s="136">
        <v>31.5</v>
      </c>
      <c r="AT586" s="139">
        <v>18</v>
      </c>
      <c r="AU586" s="138" t="s">
        <v>884</v>
      </c>
      <c r="AW586" s="136">
        <v>54.38</v>
      </c>
      <c r="AX586" s="139">
        <v>12</v>
      </c>
      <c r="AY586" s="138">
        <v>75</v>
      </c>
      <c r="BA586" s="136">
        <v>32.31</v>
      </c>
      <c r="BB586" s="139">
        <v>17</v>
      </c>
      <c r="BC586" s="138">
        <v>99</v>
      </c>
    </row>
    <row r="587" spans="5:55" x14ac:dyDescent="0.3">
      <c r="E587" s="166">
        <v>32.519999999999996</v>
      </c>
      <c r="F587" s="167">
        <v>15</v>
      </c>
      <c r="G587" s="155" t="s">
        <v>871</v>
      </c>
      <c r="I587" s="136">
        <v>54.41</v>
      </c>
      <c r="J587" s="139">
        <v>19</v>
      </c>
      <c r="K587" s="138" t="s">
        <v>884</v>
      </c>
      <c r="M587" s="136">
        <v>31.56</v>
      </c>
      <c r="N587" s="139">
        <v>19</v>
      </c>
      <c r="O587" s="138" t="s">
        <v>884</v>
      </c>
      <c r="Q587" s="136">
        <v>55.41</v>
      </c>
      <c r="R587" s="139">
        <v>13</v>
      </c>
      <c r="S587" s="138">
        <v>85</v>
      </c>
      <c r="U587" s="136">
        <v>32.28</v>
      </c>
      <c r="V587" s="139">
        <v>6</v>
      </c>
      <c r="W587" s="138">
        <v>9</v>
      </c>
      <c r="Y587" s="136">
        <v>31.43</v>
      </c>
      <c r="Z587" s="139">
        <v>18</v>
      </c>
      <c r="AA587" s="138" t="s">
        <v>884</v>
      </c>
      <c r="AC587" s="136">
        <v>32.369999999999997</v>
      </c>
      <c r="AD587" s="139">
        <v>9</v>
      </c>
      <c r="AE587" s="138">
        <v>37</v>
      </c>
      <c r="AG587" s="136">
        <v>32</v>
      </c>
      <c r="AH587" s="137">
        <v>1</v>
      </c>
      <c r="AI587" s="138" t="s">
        <v>883</v>
      </c>
      <c r="AK587" s="136">
        <v>32.31</v>
      </c>
      <c r="AL587" s="139">
        <v>9</v>
      </c>
      <c r="AM587" s="138">
        <v>37</v>
      </c>
      <c r="AO587" s="136">
        <v>54.29</v>
      </c>
      <c r="AP587" s="139">
        <v>13</v>
      </c>
      <c r="AQ587" s="138">
        <v>85</v>
      </c>
      <c r="AS587" s="136">
        <v>31.52</v>
      </c>
      <c r="AT587" s="139">
        <v>19</v>
      </c>
      <c r="AU587" s="138" t="s">
        <v>884</v>
      </c>
      <c r="AW587" s="136">
        <v>54.4</v>
      </c>
      <c r="AX587" s="139">
        <v>13</v>
      </c>
      <c r="AY587" s="138">
        <v>85</v>
      </c>
      <c r="BA587" s="136">
        <v>32.32</v>
      </c>
      <c r="BB587" s="139">
        <v>18</v>
      </c>
      <c r="BC587" s="138" t="s">
        <v>884</v>
      </c>
    </row>
    <row r="588" spans="5:55" x14ac:dyDescent="0.3">
      <c r="E588" s="152">
        <v>32.54</v>
      </c>
      <c r="F588" s="153">
        <v>16</v>
      </c>
      <c r="G588" s="155" t="s">
        <v>872</v>
      </c>
      <c r="I588" s="136">
        <v>55</v>
      </c>
      <c r="J588" s="139">
        <v>1</v>
      </c>
      <c r="K588" s="138" t="s">
        <v>883</v>
      </c>
      <c r="M588" s="136">
        <v>32</v>
      </c>
      <c r="N588" s="139">
        <v>1</v>
      </c>
      <c r="O588" s="138" t="s">
        <v>883</v>
      </c>
      <c r="Q588" s="136">
        <v>55.42</v>
      </c>
      <c r="R588" s="139">
        <v>14</v>
      </c>
      <c r="S588" s="138">
        <v>91</v>
      </c>
      <c r="U588" s="136">
        <v>32.31</v>
      </c>
      <c r="V588" s="139">
        <v>7</v>
      </c>
      <c r="W588" s="138">
        <v>16</v>
      </c>
      <c r="Y588" s="136">
        <v>31.46</v>
      </c>
      <c r="Z588" s="139">
        <v>19</v>
      </c>
      <c r="AA588" s="138" t="s">
        <v>884</v>
      </c>
      <c r="AC588" s="136">
        <v>32.39</v>
      </c>
      <c r="AD588" s="139">
        <v>10</v>
      </c>
      <c r="AE588" s="138">
        <v>50</v>
      </c>
      <c r="AG588" s="136">
        <v>32.46</v>
      </c>
      <c r="AH588" s="137">
        <v>2</v>
      </c>
      <c r="AI588" s="138" t="s">
        <v>883</v>
      </c>
      <c r="AK588" s="136">
        <v>32.32</v>
      </c>
      <c r="AL588" s="139">
        <v>10</v>
      </c>
      <c r="AM588" s="138">
        <v>50</v>
      </c>
      <c r="AO588" s="136">
        <v>54.3</v>
      </c>
      <c r="AP588" s="139">
        <v>14</v>
      </c>
      <c r="AQ588" s="138">
        <v>91</v>
      </c>
      <c r="AS588" s="136">
        <v>32</v>
      </c>
      <c r="AT588" s="139">
        <v>1</v>
      </c>
      <c r="AU588" s="138" t="s">
        <v>883</v>
      </c>
      <c r="AW588" s="136">
        <v>54.42</v>
      </c>
      <c r="AX588" s="139">
        <v>14</v>
      </c>
      <c r="AY588" s="138">
        <v>91</v>
      </c>
      <c r="BA588" s="136">
        <v>32.35</v>
      </c>
      <c r="BB588" s="139">
        <v>19</v>
      </c>
      <c r="BC588" s="138" t="s">
        <v>884</v>
      </c>
    </row>
    <row r="589" spans="5:55" x14ac:dyDescent="0.3">
      <c r="E589" s="152">
        <v>32.56</v>
      </c>
      <c r="F589" s="153">
        <v>17</v>
      </c>
      <c r="G589" s="155" t="s">
        <v>873</v>
      </c>
      <c r="I589" s="136">
        <v>55.08</v>
      </c>
      <c r="J589" s="139">
        <v>2</v>
      </c>
      <c r="K589" s="138" t="s">
        <v>883</v>
      </c>
      <c r="M589" s="136">
        <v>32.25</v>
      </c>
      <c r="N589" s="139">
        <v>2</v>
      </c>
      <c r="O589" s="138" t="s">
        <v>883</v>
      </c>
      <c r="Q589" s="136">
        <v>55.43</v>
      </c>
      <c r="R589" s="139">
        <v>15</v>
      </c>
      <c r="S589" s="138">
        <v>95</v>
      </c>
      <c r="U589" s="136">
        <v>32.340000000000003</v>
      </c>
      <c r="V589" s="139">
        <v>8</v>
      </c>
      <c r="W589" s="138">
        <v>25</v>
      </c>
      <c r="Y589" s="136">
        <v>32</v>
      </c>
      <c r="Z589" s="139">
        <v>1</v>
      </c>
      <c r="AA589" s="138" t="s">
        <v>883</v>
      </c>
      <c r="AC589" s="136">
        <v>32.409999999999997</v>
      </c>
      <c r="AD589" s="139">
        <v>11</v>
      </c>
      <c r="AE589" s="138">
        <v>63</v>
      </c>
      <c r="AG589" s="136">
        <v>32.49</v>
      </c>
      <c r="AH589" s="137">
        <v>3</v>
      </c>
      <c r="AI589" s="138">
        <v>1</v>
      </c>
      <c r="AK589" s="136">
        <v>32.33</v>
      </c>
      <c r="AL589" s="139">
        <v>11</v>
      </c>
      <c r="AM589" s="138">
        <v>63</v>
      </c>
      <c r="AO589" s="136">
        <v>54.32</v>
      </c>
      <c r="AP589" s="139">
        <v>15</v>
      </c>
      <c r="AQ589" s="138">
        <v>95</v>
      </c>
      <c r="AS589" s="136">
        <v>32.25</v>
      </c>
      <c r="AT589" s="139">
        <v>2</v>
      </c>
      <c r="AU589" s="138" t="s">
        <v>883</v>
      </c>
      <c r="AW589" s="136">
        <v>54.44</v>
      </c>
      <c r="AX589" s="139">
        <v>15</v>
      </c>
      <c r="AY589" s="138">
        <v>95</v>
      </c>
      <c r="BA589" s="136">
        <v>33</v>
      </c>
      <c r="BB589" s="139">
        <v>1</v>
      </c>
      <c r="BC589" s="138" t="s">
        <v>883</v>
      </c>
    </row>
    <row r="590" spans="5:55" x14ac:dyDescent="0.3">
      <c r="E590" s="152">
        <v>32.58</v>
      </c>
      <c r="F590" s="153">
        <v>18</v>
      </c>
      <c r="G590" s="155" t="s">
        <v>874</v>
      </c>
      <c r="I590" s="136">
        <v>55.12</v>
      </c>
      <c r="J590" s="139">
        <v>3</v>
      </c>
      <c r="K590" s="138">
        <v>1</v>
      </c>
      <c r="M590" s="136">
        <v>32.31</v>
      </c>
      <c r="N590" s="139">
        <v>3</v>
      </c>
      <c r="O590" s="138">
        <v>1</v>
      </c>
      <c r="Q590" s="136">
        <v>55.45</v>
      </c>
      <c r="R590" s="139">
        <v>16</v>
      </c>
      <c r="S590" s="138">
        <v>98</v>
      </c>
      <c r="U590" s="136">
        <v>32.369999999999997</v>
      </c>
      <c r="V590" s="139">
        <v>9</v>
      </c>
      <c r="W590" s="138">
        <v>37</v>
      </c>
      <c r="Y590" s="136">
        <v>32.229999999999997</v>
      </c>
      <c r="Z590" s="139">
        <v>2</v>
      </c>
      <c r="AA590" s="138" t="s">
        <v>883</v>
      </c>
      <c r="AC590" s="136">
        <v>32.43</v>
      </c>
      <c r="AD590" s="139">
        <v>12</v>
      </c>
      <c r="AE590" s="138">
        <v>75</v>
      </c>
      <c r="AG590" s="136">
        <v>32.51</v>
      </c>
      <c r="AH590" s="137">
        <v>4</v>
      </c>
      <c r="AI590" s="138">
        <v>2</v>
      </c>
      <c r="AK590" s="136">
        <v>32.340000000000003</v>
      </c>
      <c r="AL590" s="139">
        <v>12</v>
      </c>
      <c r="AM590" s="138">
        <v>75</v>
      </c>
      <c r="AO590" s="136">
        <v>54.33</v>
      </c>
      <c r="AP590" s="139">
        <v>16</v>
      </c>
      <c r="AQ590" s="138">
        <v>98</v>
      </c>
      <c r="AS590" s="136">
        <v>32.26</v>
      </c>
      <c r="AT590" s="139">
        <v>3</v>
      </c>
      <c r="AU590" s="138">
        <v>1</v>
      </c>
      <c r="AW590" s="136">
        <v>54.46</v>
      </c>
      <c r="AX590" s="139">
        <v>16</v>
      </c>
      <c r="AY590" s="138">
        <v>98</v>
      </c>
      <c r="BA590" s="136">
        <v>33.119999999999997</v>
      </c>
      <c r="BB590" s="139">
        <v>2</v>
      </c>
      <c r="BC590" s="138" t="s">
        <v>883</v>
      </c>
    </row>
    <row r="591" spans="5:55" x14ac:dyDescent="0.3">
      <c r="E591" s="152">
        <v>32.6</v>
      </c>
      <c r="F591" s="153">
        <v>19</v>
      </c>
      <c r="G591" s="155" t="s">
        <v>874</v>
      </c>
      <c r="I591" s="136">
        <v>55.15</v>
      </c>
      <c r="J591" s="139">
        <v>4</v>
      </c>
      <c r="K591" s="138">
        <v>2</v>
      </c>
      <c r="M591" s="136">
        <v>32.33</v>
      </c>
      <c r="N591" s="139">
        <v>4</v>
      </c>
      <c r="O591" s="138">
        <v>2</v>
      </c>
      <c r="Q591" s="136">
        <v>55.46</v>
      </c>
      <c r="R591" s="139">
        <v>17</v>
      </c>
      <c r="S591" s="138">
        <v>99</v>
      </c>
      <c r="U591" s="136">
        <v>32.4</v>
      </c>
      <c r="V591" s="139">
        <v>10</v>
      </c>
      <c r="W591" s="138">
        <v>50</v>
      </c>
      <c r="Y591" s="136">
        <v>32.24</v>
      </c>
      <c r="Z591" s="139">
        <v>3</v>
      </c>
      <c r="AA591" s="138">
        <v>1</v>
      </c>
      <c r="AC591" s="136">
        <v>32.450000000000003</v>
      </c>
      <c r="AD591" s="139">
        <v>13</v>
      </c>
      <c r="AE591" s="138">
        <v>85</v>
      </c>
      <c r="AG591" s="136">
        <v>32.53</v>
      </c>
      <c r="AH591" s="137">
        <v>5</v>
      </c>
      <c r="AI591" s="138">
        <v>5</v>
      </c>
      <c r="AK591" s="136">
        <v>32.35</v>
      </c>
      <c r="AL591" s="139">
        <v>13</v>
      </c>
      <c r="AM591" s="138">
        <v>85</v>
      </c>
      <c r="AO591" s="136">
        <v>54.34</v>
      </c>
      <c r="AP591" s="139">
        <v>17</v>
      </c>
      <c r="AQ591" s="138">
        <v>99</v>
      </c>
      <c r="AS591" s="136">
        <v>32.28</v>
      </c>
      <c r="AT591" s="139">
        <v>4</v>
      </c>
      <c r="AU591" s="138">
        <v>2</v>
      </c>
      <c r="AW591" s="136">
        <v>54.49</v>
      </c>
      <c r="AX591" s="139">
        <v>17</v>
      </c>
      <c r="AY591" s="138">
        <v>99</v>
      </c>
      <c r="BA591" s="136">
        <v>33.130000000000003</v>
      </c>
      <c r="BB591" s="139">
        <v>3</v>
      </c>
      <c r="BC591" s="138">
        <v>1</v>
      </c>
    </row>
    <row r="592" spans="5:55" x14ac:dyDescent="0.3">
      <c r="E592" s="152">
        <v>33</v>
      </c>
      <c r="F592" s="153">
        <v>1</v>
      </c>
      <c r="G592" s="155" t="s">
        <v>862</v>
      </c>
      <c r="I592" s="136">
        <v>55.17</v>
      </c>
      <c r="J592" s="139">
        <v>5</v>
      </c>
      <c r="K592" s="138">
        <v>5</v>
      </c>
      <c r="M592" s="136">
        <v>32.35</v>
      </c>
      <c r="N592" s="139">
        <v>5</v>
      </c>
      <c r="O592" s="138">
        <v>5</v>
      </c>
      <c r="Q592" s="136">
        <v>55.47</v>
      </c>
      <c r="R592" s="139">
        <v>18</v>
      </c>
      <c r="S592" s="138" t="s">
        <v>884</v>
      </c>
      <c r="U592" s="136">
        <v>32.43</v>
      </c>
      <c r="V592" s="139">
        <v>11</v>
      </c>
      <c r="W592" s="138">
        <v>63</v>
      </c>
      <c r="Y592" s="136">
        <v>32.26</v>
      </c>
      <c r="Z592" s="139">
        <v>4</v>
      </c>
      <c r="AA592" s="138">
        <v>2</v>
      </c>
      <c r="AC592" s="136">
        <v>32.47</v>
      </c>
      <c r="AD592" s="139">
        <v>14</v>
      </c>
      <c r="AE592" s="138">
        <v>91</v>
      </c>
      <c r="AG592" s="136">
        <v>32.549999999999997</v>
      </c>
      <c r="AH592" s="137">
        <v>6</v>
      </c>
      <c r="AI592" s="138">
        <v>9</v>
      </c>
      <c r="AK592" s="136">
        <v>32.36</v>
      </c>
      <c r="AL592" s="139">
        <v>14</v>
      </c>
      <c r="AM592" s="138">
        <v>91</v>
      </c>
      <c r="AO592" s="136">
        <v>54.36</v>
      </c>
      <c r="AP592" s="139">
        <v>18</v>
      </c>
      <c r="AQ592" s="138" t="s">
        <v>884</v>
      </c>
      <c r="AS592" s="136">
        <v>32.299999999999997</v>
      </c>
      <c r="AT592" s="139">
        <v>5</v>
      </c>
      <c r="AU592" s="138">
        <v>5</v>
      </c>
      <c r="AW592" s="136">
        <v>54.51</v>
      </c>
      <c r="AX592" s="139">
        <v>18</v>
      </c>
      <c r="AY592" s="138" t="s">
        <v>884</v>
      </c>
      <c r="BA592" s="136">
        <v>33.15</v>
      </c>
      <c r="BB592" s="139">
        <v>4</v>
      </c>
      <c r="BC592" s="138">
        <v>2</v>
      </c>
    </row>
    <row r="593" spans="5:55" x14ac:dyDescent="0.3">
      <c r="E593" s="152">
        <v>33.28</v>
      </c>
      <c r="F593" s="153">
        <v>2</v>
      </c>
      <c r="G593" s="155" t="s">
        <v>862</v>
      </c>
      <c r="I593" s="136">
        <v>55.19</v>
      </c>
      <c r="J593" s="139">
        <v>6</v>
      </c>
      <c r="K593" s="138">
        <v>9</v>
      </c>
      <c r="M593" s="136">
        <v>32.369999999999997</v>
      </c>
      <c r="N593" s="139">
        <v>6</v>
      </c>
      <c r="O593" s="138">
        <v>9</v>
      </c>
      <c r="Q593" s="136">
        <v>55.49</v>
      </c>
      <c r="R593" s="139">
        <v>19</v>
      </c>
      <c r="S593" s="138" t="s">
        <v>884</v>
      </c>
      <c r="U593" s="136">
        <v>32.46</v>
      </c>
      <c r="V593" s="139">
        <v>12</v>
      </c>
      <c r="W593" s="138">
        <v>75</v>
      </c>
      <c r="Y593" s="136">
        <v>32.270000000000003</v>
      </c>
      <c r="Z593" s="139">
        <v>5</v>
      </c>
      <c r="AA593" s="138">
        <v>5</v>
      </c>
      <c r="AC593" s="136">
        <v>32.49</v>
      </c>
      <c r="AD593" s="139">
        <v>15</v>
      </c>
      <c r="AE593" s="138">
        <v>95</v>
      </c>
      <c r="AG593" s="136">
        <v>32.57</v>
      </c>
      <c r="AH593" s="137">
        <v>7</v>
      </c>
      <c r="AI593" s="138">
        <v>16</v>
      </c>
      <c r="AK593" s="136">
        <v>32.380000000000003</v>
      </c>
      <c r="AL593" s="139">
        <v>15</v>
      </c>
      <c r="AM593" s="138">
        <v>95</v>
      </c>
      <c r="AO593" s="136">
        <v>54.39</v>
      </c>
      <c r="AP593" s="139">
        <v>19</v>
      </c>
      <c r="AQ593" s="138" t="s">
        <v>884</v>
      </c>
      <c r="AS593" s="136">
        <v>32.31</v>
      </c>
      <c r="AT593" s="139">
        <v>6</v>
      </c>
      <c r="AU593" s="138">
        <v>9</v>
      </c>
      <c r="AW593" s="136">
        <v>54.55</v>
      </c>
      <c r="AX593" s="139">
        <v>19</v>
      </c>
      <c r="AY593" s="138" t="s">
        <v>884</v>
      </c>
      <c r="BA593" s="136">
        <v>33.17</v>
      </c>
      <c r="BB593" s="139">
        <v>5</v>
      </c>
      <c r="BC593" s="138">
        <v>5</v>
      </c>
    </row>
    <row r="594" spans="5:55" x14ac:dyDescent="0.3">
      <c r="E594" s="152">
        <v>33.299999999999997</v>
      </c>
      <c r="F594" s="153">
        <v>3</v>
      </c>
      <c r="G594" s="155" t="s">
        <v>876</v>
      </c>
      <c r="I594" s="136">
        <v>55.2</v>
      </c>
      <c r="J594" s="139">
        <v>7</v>
      </c>
      <c r="K594" s="138">
        <v>16</v>
      </c>
      <c r="M594" s="136">
        <v>32.39</v>
      </c>
      <c r="N594" s="139">
        <v>7</v>
      </c>
      <c r="O594" s="138">
        <v>16</v>
      </c>
      <c r="Q594" s="136">
        <v>56</v>
      </c>
      <c r="R594" s="139">
        <v>1</v>
      </c>
      <c r="S594" s="138" t="s">
        <v>883</v>
      </c>
      <c r="U594" s="136">
        <v>32.49</v>
      </c>
      <c r="V594" s="139">
        <v>13</v>
      </c>
      <c r="W594" s="138">
        <v>85</v>
      </c>
      <c r="Y594" s="136">
        <v>32.28</v>
      </c>
      <c r="Z594" s="139">
        <v>6</v>
      </c>
      <c r="AA594" s="138">
        <v>9</v>
      </c>
      <c r="AC594" s="136">
        <v>32.51</v>
      </c>
      <c r="AD594" s="139">
        <v>16</v>
      </c>
      <c r="AE594" s="138">
        <v>98</v>
      </c>
      <c r="AG594" s="136">
        <v>32.58</v>
      </c>
      <c r="AH594" s="137">
        <v>8</v>
      </c>
      <c r="AI594" s="138">
        <v>25</v>
      </c>
      <c r="AK594" s="136">
        <v>32.39</v>
      </c>
      <c r="AL594" s="139">
        <v>16</v>
      </c>
      <c r="AM594" s="138">
        <v>98</v>
      </c>
      <c r="AO594" s="136">
        <v>55</v>
      </c>
      <c r="AP594" s="139">
        <v>1</v>
      </c>
      <c r="AQ594" s="138" t="s">
        <v>883</v>
      </c>
      <c r="AS594" s="136">
        <v>32.33</v>
      </c>
      <c r="AT594" s="139">
        <v>7</v>
      </c>
      <c r="AU594" s="138">
        <v>16</v>
      </c>
      <c r="AW594" s="136">
        <v>55</v>
      </c>
      <c r="AX594" s="139">
        <v>1</v>
      </c>
      <c r="AY594" s="138" t="s">
        <v>883</v>
      </c>
      <c r="BA594" s="136">
        <v>33.19</v>
      </c>
      <c r="BB594" s="139">
        <v>6</v>
      </c>
      <c r="BC594" s="138">
        <v>9</v>
      </c>
    </row>
    <row r="595" spans="5:55" x14ac:dyDescent="0.3">
      <c r="E595" s="152">
        <v>33.32</v>
      </c>
      <c r="F595" s="153">
        <v>4</v>
      </c>
      <c r="G595" s="155" t="s">
        <v>863</v>
      </c>
      <c r="I595" s="136">
        <v>55.22</v>
      </c>
      <c r="J595" s="139">
        <v>8</v>
      </c>
      <c r="K595" s="138">
        <v>25</v>
      </c>
      <c r="M595" s="136">
        <v>32.409999999999997</v>
      </c>
      <c r="N595" s="139">
        <v>8</v>
      </c>
      <c r="O595" s="138">
        <v>25</v>
      </c>
      <c r="Q595" s="136">
        <v>56.16</v>
      </c>
      <c r="R595" s="139">
        <v>2</v>
      </c>
      <c r="S595" s="138" t="s">
        <v>883</v>
      </c>
      <c r="U595" s="136">
        <v>32.51</v>
      </c>
      <c r="V595" s="139">
        <v>14</v>
      </c>
      <c r="W595" s="138">
        <v>91</v>
      </c>
      <c r="Y595" s="136">
        <v>32.29</v>
      </c>
      <c r="Z595" s="139">
        <v>7</v>
      </c>
      <c r="AA595" s="138">
        <v>16</v>
      </c>
      <c r="AC595" s="136">
        <v>32.54</v>
      </c>
      <c r="AD595" s="139">
        <v>17</v>
      </c>
      <c r="AE595" s="138">
        <v>99</v>
      </c>
      <c r="AG595" s="136">
        <v>32.6</v>
      </c>
      <c r="AH595" s="137">
        <v>9</v>
      </c>
      <c r="AI595" s="138">
        <v>37</v>
      </c>
      <c r="AK595" s="136">
        <v>32.4</v>
      </c>
      <c r="AL595" s="139">
        <v>17</v>
      </c>
      <c r="AM595" s="138">
        <v>99</v>
      </c>
      <c r="AO595" s="136">
        <v>55.15</v>
      </c>
      <c r="AP595" s="139">
        <v>2</v>
      </c>
      <c r="AQ595" s="138" t="s">
        <v>883</v>
      </c>
      <c r="AS595" s="136">
        <v>32.340000000000003</v>
      </c>
      <c r="AT595" s="139">
        <v>8</v>
      </c>
      <c r="AU595" s="138">
        <v>25</v>
      </c>
      <c r="AW595" s="136">
        <v>55.17</v>
      </c>
      <c r="AX595" s="139">
        <v>2</v>
      </c>
      <c r="AY595" s="138" t="s">
        <v>883</v>
      </c>
      <c r="BA595" s="136">
        <v>33.200000000000003</v>
      </c>
      <c r="BB595" s="139">
        <v>7</v>
      </c>
      <c r="BC595" s="138">
        <v>16</v>
      </c>
    </row>
    <row r="596" spans="5:55" x14ac:dyDescent="0.3">
      <c r="E596" s="152">
        <v>33.340000000000003</v>
      </c>
      <c r="F596" s="153">
        <v>5</v>
      </c>
      <c r="G596" s="155" t="s">
        <v>877</v>
      </c>
      <c r="I596" s="136">
        <v>55.24</v>
      </c>
      <c r="J596" s="139">
        <v>9</v>
      </c>
      <c r="K596" s="138">
        <v>37</v>
      </c>
      <c r="M596" s="136">
        <v>32.44</v>
      </c>
      <c r="N596" s="139">
        <v>9</v>
      </c>
      <c r="O596" s="138">
        <v>37</v>
      </c>
      <c r="Q596" s="136">
        <v>56.24</v>
      </c>
      <c r="R596" s="139">
        <v>3</v>
      </c>
      <c r="S596" s="138">
        <v>1</v>
      </c>
      <c r="U596" s="136">
        <v>32.54</v>
      </c>
      <c r="V596" s="139">
        <v>15</v>
      </c>
      <c r="W596" s="138">
        <v>95</v>
      </c>
      <c r="Y596" s="136">
        <v>32.299999999999997</v>
      </c>
      <c r="Z596" s="139">
        <v>8</v>
      </c>
      <c r="AA596" s="138">
        <v>25</v>
      </c>
      <c r="AC596" s="136">
        <v>32.57</v>
      </c>
      <c r="AD596" s="139">
        <v>18</v>
      </c>
      <c r="AE596" s="138" t="s">
        <v>884</v>
      </c>
      <c r="AG596" s="136">
        <v>32.619999999999997</v>
      </c>
      <c r="AH596" s="137">
        <v>10</v>
      </c>
      <c r="AI596" s="138">
        <v>50</v>
      </c>
      <c r="AK596" s="136">
        <v>32.409999999999997</v>
      </c>
      <c r="AL596" s="139">
        <v>18</v>
      </c>
      <c r="AM596" s="138" t="s">
        <v>884</v>
      </c>
      <c r="AO596" s="136">
        <v>55.17</v>
      </c>
      <c r="AP596" s="139">
        <v>3</v>
      </c>
      <c r="AQ596" s="138">
        <v>1</v>
      </c>
      <c r="AS596" s="136">
        <v>32.36</v>
      </c>
      <c r="AT596" s="139">
        <v>9</v>
      </c>
      <c r="AU596" s="138">
        <v>37</v>
      </c>
      <c r="AW596" s="136">
        <v>55.19</v>
      </c>
      <c r="AX596" s="139">
        <v>3</v>
      </c>
      <c r="AY596" s="138">
        <v>1</v>
      </c>
      <c r="BA596" s="136">
        <v>33.21</v>
      </c>
      <c r="BB596" s="139">
        <v>8</v>
      </c>
      <c r="BC596" s="138">
        <v>25</v>
      </c>
    </row>
    <row r="597" spans="5:55" x14ac:dyDescent="0.3">
      <c r="E597" s="152">
        <v>33.369999999999997</v>
      </c>
      <c r="F597" s="153">
        <v>6</v>
      </c>
      <c r="G597" s="155" t="s">
        <v>864</v>
      </c>
      <c r="I597" s="136">
        <v>55.25</v>
      </c>
      <c r="J597" s="139">
        <v>10</v>
      </c>
      <c r="K597" s="138">
        <v>50</v>
      </c>
      <c r="M597" s="136">
        <v>32.46</v>
      </c>
      <c r="N597" s="139">
        <v>10</v>
      </c>
      <c r="O597" s="138">
        <v>50</v>
      </c>
      <c r="Q597" s="136">
        <v>56.26</v>
      </c>
      <c r="R597" s="139">
        <v>4</v>
      </c>
      <c r="S597" s="138">
        <v>2</v>
      </c>
      <c r="U597" s="136">
        <v>32.57</v>
      </c>
      <c r="V597" s="139">
        <v>16</v>
      </c>
      <c r="W597" s="138">
        <v>98</v>
      </c>
      <c r="Y597" s="136">
        <v>32.32</v>
      </c>
      <c r="Z597" s="139">
        <v>9</v>
      </c>
      <c r="AA597" s="138">
        <v>37</v>
      </c>
      <c r="AC597" s="136">
        <v>32.590000000000003</v>
      </c>
      <c r="AD597" s="139">
        <v>19</v>
      </c>
      <c r="AE597" s="138" t="s">
        <v>884</v>
      </c>
      <c r="AG597" s="136">
        <v>32.64</v>
      </c>
      <c r="AH597" s="137">
        <v>11</v>
      </c>
      <c r="AI597" s="138">
        <v>63</v>
      </c>
      <c r="AK597" s="136">
        <v>32.42</v>
      </c>
      <c r="AL597" s="139">
        <v>19</v>
      </c>
      <c r="AM597" s="138" t="s">
        <v>884</v>
      </c>
      <c r="AO597" s="136">
        <v>55.19</v>
      </c>
      <c r="AP597" s="139">
        <v>4</v>
      </c>
      <c r="AQ597" s="138">
        <v>2</v>
      </c>
      <c r="AS597" s="136">
        <v>32.369999999999997</v>
      </c>
      <c r="AT597" s="139">
        <v>10</v>
      </c>
      <c r="AU597" s="138">
        <v>50</v>
      </c>
      <c r="AW597" s="136">
        <v>55.21</v>
      </c>
      <c r="AX597" s="139">
        <v>4</v>
      </c>
      <c r="AY597" s="138">
        <v>2</v>
      </c>
      <c r="BA597" s="136">
        <v>33.229999999999997</v>
      </c>
      <c r="BB597" s="139">
        <v>9</v>
      </c>
      <c r="BC597" s="138">
        <v>37</v>
      </c>
    </row>
    <row r="598" spans="5:55" x14ac:dyDescent="0.3">
      <c r="E598" s="152">
        <v>33.4</v>
      </c>
      <c r="F598" s="153">
        <v>7</v>
      </c>
      <c r="G598" s="155" t="s">
        <v>878</v>
      </c>
      <c r="I598" s="136">
        <v>55.27</v>
      </c>
      <c r="J598" s="139">
        <v>11</v>
      </c>
      <c r="K598" s="138">
        <v>63</v>
      </c>
      <c r="M598" s="136">
        <v>32.47</v>
      </c>
      <c r="N598" s="139">
        <v>11</v>
      </c>
      <c r="O598" s="138">
        <v>63</v>
      </c>
      <c r="Q598" s="136">
        <v>56.28</v>
      </c>
      <c r="R598" s="139">
        <v>5</v>
      </c>
      <c r="S598" s="138">
        <v>5</v>
      </c>
      <c r="U598" s="136">
        <v>32.6</v>
      </c>
      <c r="V598" s="139">
        <v>17</v>
      </c>
      <c r="W598" s="138">
        <v>99</v>
      </c>
      <c r="Y598" s="136">
        <v>32.33</v>
      </c>
      <c r="Z598" s="139">
        <v>10</v>
      </c>
      <c r="AA598" s="138">
        <v>50</v>
      </c>
      <c r="AC598" s="136">
        <v>33</v>
      </c>
      <c r="AD598" s="139">
        <v>1</v>
      </c>
      <c r="AE598" s="138" t="s">
        <v>883</v>
      </c>
      <c r="AG598" s="136">
        <v>32.659999999999997</v>
      </c>
      <c r="AH598" s="137">
        <v>12</v>
      </c>
      <c r="AI598" s="138">
        <v>75</v>
      </c>
      <c r="AK598" s="136">
        <v>33</v>
      </c>
      <c r="AL598" s="139">
        <v>1</v>
      </c>
      <c r="AM598" s="138" t="s">
        <v>883</v>
      </c>
      <c r="AO598" s="136">
        <v>55.2</v>
      </c>
      <c r="AP598" s="139">
        <v>5</v>
      </c>
      <c r="AQ598" s="138">
        <v>5</v>
      </c>
      <c r="AS598" s="136">
        <v>32.39</v>
      </c>
      <c r="AT598" s="139">
        <v>11</v>
      </c>
      <c r="AU598" s="138">
        <v>63</v>
      </c>
      <c r="AW598" s="136">
        <v>55.23</v>
      </c>
      <c r="AX598" s="139">
        <v>5</v>
      </c>
      <c r="AY598" s="138">
        <v>5</v>
      </c>
      <c r="BA598" s="136">
        <v>33.24</v>
      </c>
      <c r="BB598" s="139">
        <v>10</v>
      </c>
      <c r="BC598" s="138">
        <v>50</v>
      </c>
    </row>
    <row r="599" spans="5:55" x14ac:dyDescent="0.3">
      <c r="E599" s="152">
        <v>33.42</v>
      </c>
      <c r="F599" s="153">
        <v>8</v>
      </c>
      <c r="G599" s="155" t="s">
        <v>865</v>
      </c>
      <c r="I599" s="136">
        <v>55.28</v>
      </c>
      <c r="J599" s="139">
        <v>12</v>
      </c>
      <c r="K599" s="138">
        <v>75</v>
      </c>
      <c r="M599" s="136">
        <v>32.479999999999997</v>
      </c>
      <c r="N599" s="139">
        <v>12</v>
      </c>
      <c r="O599" s="138">
        <v>75</v>
      </c>
      <c r="Q599" s="136">
        <v>56.3</v>
      </c>
      <c r="R599" s="139">
        <v>6</v>
      </c>
      <c r="S599" s="138">
        <v>9</v>
      </c>
      <c r="U599" s="136">
        <v>32.630000000000003</v>
      </c>
      <c r="V599" s="139">
        <v>18</v>
      </c>
      <c r="W599" s="138" t="s">
        <v>884</v>
      </c>
      <c r="Y599" s="136">
        <v>32.340000000000003</v>
      </c>
      <c r="Z599" s="139">
        <v>11</v>
      </c>
      <c r="AA599" s="138">
        <v>63</v>
      </c>
      <c r="AC599" s="136">
        <v>33.24</v>
      </c>
      <c r="AD599" s="139">
        <v>2</v>
      </c>
      <c r="AE599" s="138" t="s">
        <v>883</v>
      </c>
      <c r="AG599" s="136">
        <v>32.67</v>
      </c>
      <c r="AH599" s="137">
        <v>13</v>
      </c>
      <c r="AI599" s="138">
        <v>85</v>
      </c>
      <c r="AK599" s="136">
        <v>33.24</v>
      </c>
      <c r="AL599" s="139">
        <v>2</v>
      </c>
      <c r="AM599" s="138" t="s">
        <v>883</v>
      </c>
      <c r="AO599" s="136">
        <v>55.21</v>
      </c>
      <c r="AP599" s="139">
        <v>6</v>
      </c>
      <c r="AQ599" s="138">
        <v>9</v>
      </c>
      <c r="AS599" s="136">
        <v>32.4</v>
      </c>
      <c r="AT599" s="139">
        <v>12</v>
      </c>
      <c r="AU599" s="138">
        <v>75</v>
      </c>
      <c r="AW599" s="136">
        <v>55.25</v>
      </c>
      <c r="AX599" s="139">
        <v>6</v>
      </c>
      <c r="AY599" s="138">
        <v>9</v>
      </c>
      <c r="BA599" s="136">
        <v>33.25</v>
      </c>
      <c r="BB599" s="139">
        <v>11</v>
      </c>
      <c r="BC599" s="138">
        <v>63</v>
      </c>
    </row>
    <row r="600" spans="5:55" x14ac:dyDescent="0.3">
      <c r="E600" s="152">
        <v>33.44</v>
      </c>
      <c r="F600" s="153">
        <v>9</v>
      </c>
      <c r="G600" s="155" t="s">
        <v>879</v>
      </c>
      <c r="I600" s="136">
        <v>55.29</v>
      </c>
      <c r="J600" s="139">
        <v>13</v>
      </c>
      <c r="K600" s="138">
        <v>85</v>
      </c>
      <c r="M600" s="136">
        <v>32.49</v>
      </c>
      <c r="N600" s="139">
        <v>13</v>
      </c>
      <c r="O600" s="138">
        <v>85</v>
      </c>
      <c r="Q600" s="136">
        <v>56.31</v>
      </c>
      <c r="R600" s="139">
        <v>7</v>
      </c>
      <c r="S600" s="138">
        <v>16</v>
      </c>
      <c r="U600" s="136">
        <v>32.659999999999997</v>
      </c>
      <c r="V600" s="139">
        <v>19</v>
      </c>
      <c r="W600" s="138" t="s">
        <v>884</v>
      </c>
      <c r="Y600" s="136">
        <v>32.35</v>
      </c>
      <c r="Z600" s="139">
        <v>12</v>
      </c>
      <c r="AA600" s="138">
        <v>75</v>
      </c>
      <c r="AC600" s="136">
        <v>33.26</v>
      </c>
      <c r="AD600" s="139">
        <v>3</v>
      </c>
      <c r="AE600" s="138">
        <v>1</v>
      </c>
      <c r="AG600" s="136">
        <v>32.69</v>
      </c>
      <c r="AH600" s="137">
        <v>14</v>
      </c>
      <c r="AI600" s="138">
        <v>91</v>
      </c>
      <c r="AK600" s="136">
        <v>33.25</v>
      </c>
      <c r="AL600" s="139">
        <v>3</v>
      </c>
      <c r="AM600" s="138">
        <v>1</v>
      </c>
      <c r="AO600" s="136">
        <v>55.22</v>
      </c>
      <c r="AP600" s="139">
        <v>7</v>
      </c>
      <c r="AQ600" s="138">
        <v>16</v>
      </c>
      <c r="AS600" s="136">
        <v>32.42</v>
      </c>
      <c r="AT600" s="139">
        <v>13</v>
      </c>
      <c r="AU600" s="138">
        <v>85</v>
      </c>
      <c r="AW600" s="136">
        <v>55.27</v>
      </c>
      <c r="AX600" s="139">
        <v>7</v>
      </c>
      <c r="AY600" s="138">
        <v>16</v>
      </c>
      <c r="BA600" s="136">
        <v>33.270000000000003</v>
      </c>
      <c r="BB600" s="139">
        <v>12</v>
      </c>
      <c r="BC600" s="138">
        <v>75</v>
      </c>
    </row>
    <row r="601" spans="5:55" x14ac:dyDescent="0.3">
      <c r="E601" s="152">
        <v>33.46</v>
      </c>
      <c r="F601" s="153">
        <v>10</v>
      </c>
      <c r="G601" s="155" t="s">
        <v>866</v>
      </c>
      <c r="I601" s="136">
        <v>55.31</v>
      </c>
      <c r="J601" s="139">
        <v>14</v>
      </c>
      <c r="K601" s="138">
        <v>91</v>
      </c>
      <c r="M601" s="136">
        <v>32.5</v>
      </c>
      <c r="N601" s="139">
        <v>14</v>
      </c>
      <c r="O601" s="138">
        <v>91</v>
      </c>
      <c r="Q601" s="136">
        <v>56.33</v>
      </c>
      <c r="R601" s="139">
        <v>8</v>
      </c>
      <c r="S601" s="138">
        <v>25</v>
      </c>
      <c r="U601" s="136">
        <v>33</v>
      </c>
      <c r="V601" s="139">
        <v>1</v>
      </c>
      <c r="W601" s="138" t="s">
        <v>883</v>
      </c>
      <c r="Y601" s="136">
        <v>32.36</v>
      </c>
      <c r="Z601" s="139">
        <v>13</v>
      </c>
      <c r="AA601" s="138">
        <v>85</v>
      </c>
      <c r="AC601" s="136">
        <v>33.28</v>
      </c>
      <c r="AD601" s="139">
        <v>4</v>
      </c>
      <c r="AE601" s="138">
        <v>2</v>
      </c>
      <c r="AG601" s="136">
        <v>32.71</v>
      </c>
      <c r="AH601" s="137">
        <v>15</v>
      </c>
      <c r="AI601" s="138">
        <v>95</v>
      </c>
      <c r="AK601" s="136">
        <v>33.26</v>
      </c>
      <c r="AL601" s="139">
        <v>4</v>
      </c>
      <c r="AM601" s="138">
        <v>2</v>
      </c>
      <c r="AO601" s="136">
        <v>55.23</v>
      </c>
      <c r="AP601" s="139">
        <v>8</v>
      </c>
      <c r="AQ601" s="138">
        <v>25</v>
      </c>
      <c r="AS601" s="136">
        <v>32.43</v>
      </c>
      <c r="AT601" s="139">
        <v>14</v>
      </c>
      <c r="AU601" s="138">
        <v>91</v>
      </c>
      <c r="AW601" s="136">
        <v>55.29</v>
      </c>
      <c r="AX601" s="139">
        <v>8</v>
      </c>
      <c r="AY601" s="138">
        <v>25</v>
      </c>
      <c r="BA601" s="136">
        <v>33.28</v>
      </c>
      <c r="BB601" s="139">
        <v>13</v>
      </c>
      <c r="BC601" s="138">
        <v>85</v>
      </c>
    </row>
    <row r="602" spans="5:55" x14ac:dyDescent="0.3">
      <c r="E602" s="152">
        <v>33.479999999999997</v>
      </c>
      <c r="F602" s="153">
        <v>11</v>
      </c>
      <c r="G602" s="155" t="s">
        <v>867</v>
      </c>
      <c r="I602" s="136">
        <v>55.33</v>
      </c>
      <c r="J602" s="139">
        <v>15</v>
      </c>
      <c r="K602" s="138">
        <v>95</v>
      </c>
      <c r="M602" s="136">
        <v>32.51</v>
      </c>
      <c r="N602" s="139">
        <v>15</v>
      </c>
      <c r="O602" s="138">
        <v>95</v>
      </c>
      <c r="Q602" s="136">
        <v>56.35</v>
      </c>
      <c r="R602" s="139">
        <v>9</v>
      </c>
      <c r="S602" s="138">
        <v>37</v>
      </c>
      <c r="U602" s="136">
        <v>33.200000000000003</v>
      </c>
      <c r="V602" s="139">
        <v>2</v>
      </c>
      <c r="W602" s="138" t="s">
        <v>883</v>
      </c>
      <c r="Y602" s="136">
        <v>32.380000000000003</v>
      </c>
      <c r="Z602" s="139">
        <v>14</v>
      </c>
      <c r="AA602" s="138">
        <v>91</v>
      </c>
      <c r="AC602" s="136">
        <v>33.299999999999997</v>
      </c>
      <c r="AD602" s="139">
        <v>5</v>
      </c>
      <c r="AE602" s="138">
        <v>5</v>
      </c>
      <c r="AG602" s="136">
        <v>32.729999999999997</v>
      </c>
      <c r="AH602" s="137">
        <v>16</v>
      </c>
      <c r="AI602" s="138">
        <v>98</v>
      </c>
      <c r="AK602" s="136">
        <v>33.270000000000003</v>
      </c>
      <c r="AL602" s="139">
        <v>5</v>
      </c>
      <c r="AM602" s="138">
        <v>5</v>
      </c>
      <c r="AO602" s="136">
        <v>55.25</v>
      </c>
      <c r="AP602" s="139">
        <v>9</v>
      </c>
      <c r="AQ602" s="138">
        <v>37</v>
      </c>
      <c r="AS602" s="136">
        <v>32.450000000000003</v>
      </c>
      <c r="AT602" s="139">
        <v>15</v>
      </c>
      <c r="AU602" s="138">
        <v>95</v>
      </c>
      <c r="AW602" s="136">
        <v>55.32</v>
      </c>
      <c r="AX602" s="139">
        <v>9</v>
      </c>
      <c r="AY602" s="138">
        <v>37</v>
      </c>
      <c r="BA602" s="136">
        <v>33.29</v>
      </c>
      <c r="BB602" s="139">
        <v>14</v>
      </c>
      <c r="BC602" s="138">
        <v>91</v>
      </c>
    </row>
    <row r="603" spans="5:55" x14ac:dyDescent="0.3">
      <c r="E603" s="152">
        <v>33.5</v>
      </c>
      <c r="F603" s="153">
        <v>12</v>
      </c>
      <c r="G603" s="155" t="s">
        <v>868</v>
      </c>
      <c r="I603" s="136">
        <v>55.35</v>
      </c>
      <c r="J603" s="139">
        <v>16</v>
      </c>
      <c r="K603" s="138">
        <v>98</v>
      </c>
      <c r="M603" s="136">
        <v>32.520000000000003</v>
      </c>
      <c r="N603" s="139">
        <v>16</v>
      </c>
      <c r="O603" s="138">
        <v>98</v>
      </c>
      <c r="Q603" s="136">
        <v>56.37</v>
      </c>
      <c r="R603" s="139">
        <v>10</v>
      </c>
      <c r="S603" s="138">
        <v>50</v>
      </c>
      <c r="U603" s="136">
        <v>33.229999999999997</v>
      </c>
      <c r="V603" s="139">
        <v>3</v>
      </c>
      <c r="W603" s="138">
        <v>1</v>
      </c>
      <c r="Y603" s="136">
        <v>32.4</v>
      </c>
      <c r="Z603" s="139">
        <v>15</v>
      </c>
      <c r="AA603" s="138">
        <v>95</v>
      </c>
      <c r="AC603" s="136">
        <v>33.32</v>
      </c>
      <c r="AD603" s="139">
        <v>6</v>
      </c>
      <c r="AE603" s="138">
        <v>9</v>
      </c>
      <c r="AG603" s="136">
        <v>32.75</v>
      </c>
      <c r="AH603" s="137">
        <v>17</v>
      </c>
      <c r="AI603" s="138">
        <v>99</v>
      </c>
      <c r="AK603" s="136">
        <v>33.29</v>
      </c>
      <c r="AL603" s="139">
        <v>6</v>
      </c>
      <c r="AM603" s="138">
        <v>9</v>
      </c>
      <c r="AO603" s="136">
        <v>55.26</v>
      </c>
      <c r="AP603" s="139">
        <v>10</v>
      </c>
      <c r="AQ603" s="138">
        <v>50</v>
      </c>
      <c r="AS603" s="136">
        <v>32.46</v>
      </c>
      <c r="AT603" s="139">
        <v>16</v>
      </c>
      <c r="AU603" s="138">
        <v>98</v>
      </c>
      <c r="AW603" s="136">
        <v>55.34</v>
      </c>
      <c r="AX603" s="139">
        <v>10</v>
      </c>
      <c r="AY603" s="138">
        <v>50</v>
      </c>
      <c r="BA603" s="136">
        <v>33.31</v>
      </c>
      <c r="BB603" s="139">
        <v>15</v>
      </c>
      <c r="BC603" s="138">
        <v>95</v>
      </c>
    </row>
    <row r="604" spans="5:55" x14ac:dyDescent="0.3">
      <c r="E604" s="152">
        <v>33.520000000000003</v>
      </c>
      <c r="F604" s="153">
        <v>13</v>
      </c>
      <c r="G604" s="155" t="s">
        <v>869</v>
      </c>
      <c r="I604" s="136">
        <v>55.37</v>
      </c>
      <c r="J604" s="139">
        <v>17</v>
      </c>
      <c r="K604" s="138">
        <v>99</v>
      </c>
      <c r="M604" s="136">
        <v>32.54</v>
      </c>
      <c r="N604" s="139">
        <v>17</v>
      </c>
      <c r="O604" s="138">
        <v>99</v>
      </c>
      <c r="Q604" s="136">
        <v>56.39</v>
      </c>
      <c r="R604" s="139">
        <v>11</v>
      </c>
      <c r="S604" s="138">
        <v>63</v>
      </c>
      <c r="U604" s="136">
        <v>33.26</v>
      </c>
      <c r="V604" s="139">
        <v>4</v>
      </c>
      <c r="W604" s="138">
        <v>2</v>
      </c>
      <c r="Y604" s="136">
        <v>32.409999999999997</v>
      </c>
      <c r="Z604" s="139">
        <v>16</v>
      </c>
      <c r="AA604" s="138">
        <v>98</v>
      </c>
      <c r="AC604" s="136">
        <v>33.35</v>
      </c>
      <c r="AD604" s="139">
        <v>7</v>
      </c>
      <c r="AE604" s="138">
        <v>16</v>
      </c>
      <c r="AG604" s="136">
        <v>32.76</v>
      </c>
      <c r="AH604" s="137">
        <v>18</v>
      </c>
      <c r="AI604" s="138" t="s">
        <v>884</v>
      </c>
      <c r="AK604" s="136">
        <v>33.299999999999997</v>
      </c>
      <c r="AL604" s="139">
        <v>7</v>
      </c>
      <c r="AM604" s="138">
        <v>16</v>
      </c>
      <c r="AO604" s="136">
        <v>55.27</v>
      </c>
      <c r="AP604" s="139">
        <v>11</v>
      </c>
      <c r="AQ604" s="138">
        <v>63</v>
      </c>
      <c r="AS604" s="136">
        <v>32.479999999999997</v>
      </c>
      <c r="AT604" s="139">
        <v>17</v>
      </c>
      <c r="AU604" s="138">
        <v>99</v>
      </c>
      <c r="AW604" s="136">
        <v>55.36</v>
      </c>
      <c r="AX604" s="139">
        <v>11</v>
      </c>
      <c r="AY604" s="138">
        <v>63</v>
      </c>
      <c r="BA604" s="136">
        <v>33.32</v>
      </c>
      <c r="BB604" s="139">
        <v>16</v>
      </c>
      <c r="BC604" s="138">
        <v>98</v>
      </c>
    </row>
    <row r="605" spans="5:55" x14ac:dyDescent="0.3">
      <c r="E605" s="152">
        <v>33.54</v>
      </c>
      <c r="F605" s="153">
        <v>14</v>
      </c>
      <c r="G605" s="155" t="s">
        <v>870</v>
      </c>
      <c r="I605" s="136">
        <v>55.39</v>
      </c>
      <c r="J605" s="139">
        <v>18</v>
      </c>
      <c r="K605" s="138" t="s">
        <v>884</v>
      </c>
      <c r="M605" s="136">
        <v>32.549999999999997</v>
      </c>
      <c r="N605" s="139">
        <v>18</v>
      </c>
      <c r="O605" s="138" t="s">
        <v>884</v>
      </c>
      <c r="Q605" s="136">
        <v>56.4</v>
      </c>
      <c r="R605" s="139">
        <v>12</v>
      </c>
      <c r="S605" s="138">
        <v>75</v>
      </c>
      <c r="U605" s="136">
        <v>33.28</v>
      </c>
      <c r="V605" s="139">
        <v>5</v>
      </c>
      <c r="W605" s="138">
        <v>5</v>
      </c>
      <c r="Y605" s="136">
        <v>32.42</v>
      </c>
      <c r="Z605" s="139">
        <v>17</v>
      </c>
      <c r="AA605" s="138">
        <v>99</v>
      </c>
      <c r="AC605" s="136">
        <v>33.369999999999997</v>
      </c>
      <c r="AD605" s="139">
        <v>8</v>
      </c>
      <c r="AE605" s="138">
        <v>25</v>
      </c>
      <c r="AG605" s="136">
        <v>32.79</v>
      </c>
      <c r="AH605" s="137">
        <v>19</v>
      </c>
      <c r="AI605" s="138" t="s">
        <v>884</v>
      </c>
      <c r="AK605" s="136">
        <v>33.31</v>
      </c>
      <c r="AL605" s="139">
        <v>8</v>
      </c>
      <c r="AM605" s="138">
        <v>25</v>
      </c>
      <c r="AO605" s="136">
        <v>55.28</v>
      </c>
      <c r="AP605" s="139">
        <v>12</v>
      </c>
      <c r="AQ605" s="138">
        <v>75</v>
      </c>
      <c r="AS605" s="136">
        <v>32.5</v>
      </c>
      <c r="AT605" s="139">
        <v>18</v>
      </c>
      <c r="AU605" s="138" t="s">
        <v>884</v>
      </c>
      <c r="AW605" s="136">
        <v>55.38</v>
      </c>
      <c r="AX605" s="139">
        <v>12</v>
      </c>
      <c r="AY605" s="138">
        <v>75</v>
      </c>
      <c r="BA605" s="136">
        <v>33.33</v>
      </c>
      <c r="BB605" s="139">
        <v>17</v>
      </c>
      <c r="BC605" s="138">
        <v>99</v>
      </c>
    </row>
    <row r="606" spans="5:55" x14ac:dyDescent="0.3">
      <c r="E606" s="152">
        <v>33.549999999999997</v>
      </c>
      <c r="F606" s="153">
        <v>15</v>
      </c>
      <c r="G606" s="155" t="s">
        <v>871</v>
      </c>
      <c r="I606" s="136">
        <v>55.41</v>
      </c>
      <c r="J606" s="139">
        <v>19</v>
      </c>
      <c r="K606" s="138" t="s">
        <v>884</v>
      </c>
      <c r="M606" s="136">
        <v>32.56</v>
      </c>
      <c r="N606" s="139">
        <v>19</v>
      </c>
      <c r="O606" s="138" t="s">
        <v>884</v>
      </c>
      <c r="Q606" s="136">
        <v>56.41</v>
      </c>
      <c r="R606" s="139">
        <v>13</v>
      </c>
      <c r="S606" s="138">
        <v>85</v>
      </c>
      <c r="U606" s="136">
        <v>33.33</v>
      </c>
      <c r="V606" s="139">
        <v>6</v>
      </c>
      <c r="W606" s="138">
        <v>9</v>
      </c>
      <c r="Y606" s="136">
        <v>32.43</v>
      </c>
      <c r="Z606" s="139">
        <v>18</v>
      </c>
      <c r="AA606" s="138" t="s">
        <v>884</v>
      </c>
      <c r="AC606" s="136">
        <v>33.39</v>
      </c>
      <c r="AD606" s="139">
        <v>9</v>
      </c>
      <c r="AE606" s="138">
        <v>37</v>
      </c>
      <c r="AG606" s="136">
        <v>33</v>
      </c>
      <c r="AH606" s="137">
        <v>1</v>
      </c>
      <c r="AI606" s="138" t="s">
        <v>883</v>
      </c>
      <c r="AK606" s="136">
        <v>33.33</v>
      </c>
      <c r="AL606" s="139">
        <v>9</v>
      </c>
      <c r="AM606" s="138">
        <v>37</v>
      </c>
      <c r="AO606" s="136">
        <v>55.29</v>
      </c>
      <c r="AP606" s="139">
        <v>13</v>
      </c>
      <c r="AQ606" s="138">
        <v>85</v>
      </c>
      <c r="AS606" s="136">
        <v>32.520000000000003</v>
      </c>
      <c r="AT606" s="139">
        <v>19</v>
      </c>
      <c r="AU606" s="138" t="s">
        <v>884</v>
      </c>
      <c r="AW606" s="136">
        <v>55.4</v>
      </c>
      <c r="AX606" s="139">
        <v>13</v>
      </c>
      <c r="AY606" s="138">
        <v>85</v>
      </c>
      <c r="BA606" s="136">
        <v>33.35</v>
      </c>
      <c r="BB606" s="139">
        <v>18</v>
      </c>
      <c r="BC606" s="138" t="s">
        <v>884</v>
      </c>
    </row>
    <row r="607" spans="5:55" x14ac:dyDescent="0.3">
      <c r="E607" s="152">
        <v>33.57</v>
      </c>
      <c r="F607" s="153">
        <v>16</v>
      </c>
      <c r="G607" s="155" t="s">
        <v>872</v>
      </c>
      <c r="I607" s="136">
        <v>56</v>
      </c>
      <c r="J607" s="139">
        <v>1</v>
      </c>
      <c r="K607" s="138" t="s">
        <v>883</v>
      </c>
      <c r="M607" s="136">
        <v>33</v>
      </c>
      <c r="N607" s="139">
        <v>1</v>
      </c>
      <c r="O607" s="138" t="s">
        <v>883</v>
      </c>
      <c r="Q607" s="136">
        <v>56.42</v>
      </c>
      <c r="R607" s="139">
        <v>14</v>
      </c>
      <c r="S607" s="138">
        <v>91</v>
      </c>
      <c r="U607" s="136">
        <v>33.369999999999997</v>
      </c>
      <c r="V607" s="139">
        <v>7</v>
      </c>
      <c r="W607" s="138">
        <v>16</v>
      </c>
      <c r="Y607" s="136">
        <v>32.46</v>
      </c>
      <c r="Z607" s="139">
        <v>19</v>
      </c>
      <c r="AA607" s="138" t="s">
        <v>884</v>
      </c>
      <c r="AC607" s="136">
        <v>33.409999999999997</v>
      </c>
      <c r="AD607" s="139">
        <v>10</v>
      </c>
      <c r="AE607" s="138">
        <v>50</v>
      </c>
      <c r="AG607" s="136">
        <v>33.47</v>
      </c>
      <c r="AH607" s="137">
        <v>2</v>
      </c>
      <c r="AI607" s="138" t="s">
        <v>883</v>
      </c>
      <c r="AK607" s="136">
        <v>33.340000000000003</v>
      </c>
      <c r="AL607" s="139">
        <v>10</v>
      </c>
      <c r="AM607" s="138">
        <v>50</v>
      </c>
      <c r="AO607" s="136">
        <v>55.3</v>
      </c>
      <c r="AP607" s="139">
        <v>14</v>
      </c>
      <c r="AQ607" s="138">
        <v>91</v>
      </c>
      <c r="AS607" s="136">
        <v>33</v>
      </c>
      <c r="AT607" s="139">
        <v>1</v>
      </c>
      <c r="AU607" s="138" t="s">
        <v>883</v>
      </c>
      <c r="AW607" s="136">
        <v>55.42</v>
      </c>
      <c r="AX607" s="139">
        <v>14</v>
      </c>
      <c r="AY607" s="138">
        <v>91</v>
      </c>
      <c r="BA607" s="136">
        <v>33.409999999999997</v>
      </c>
      <c r="BB607" s="139">
        <v>19</v>
      </c>
      <c r="BC607" s="138" t="s">
        <v>884</v>
      </c>
    </row>
    <row r="608" spans="5:55" x14ac:dyDescent="0.3">
      <c r="E608" s="152">
        <v>33.58</v>
      </c>
      <c r="F608" s="153">
        <v>17</v>
      </c>
      <c r="G608" s="155" t="s">
        <v>873</v>
      </c>
      <c r="I608" s="136">
        <v>56.08</v>
      </c>
      <c r="J608" s="139">
        <v>2</v>
      </c>
      <c r="K608" s="138" t="s">
        <v>883</v>
      </c>
      <c r="M608" s="136">
        <v>33.26</v>
      </c>
      <c r="N608" s="139">
        <v>2</v>
      </c>
      <c r="O608" s="138" t="s">
        <v>883</v>
      </c>
      <c r="Q608" s="136">
        <v>56.43</v>
      </c>
      <c r="R608" s="139">
        <v>15</v>
      </c>
      <c r="S608" s="138">
        <v>95</v>
      </c>
      <c r="U608" s="136">
        <v>33.4</v>
      </c>
      <c r="V608" s="139">
        <v>8</v>
      </c>
      <c r="W608" s="138">
        <v>25</v>
      </c>
      <c r="Y608" s="136">
        <v>33</v>
      </c>
      <c r="Z608" s="139">
        <v>1</v>
      </c>
      <c r="AA608" s="138" t="s">
        <v>883</v>
      </c>
      <c r="AC608" s="136">
        <v>33.44</v>
      </c>
      <c r="AD608" s="139">
        <v>11</v>
      </c>
      <c r="AE608" s="138">
        <v>63</v>
      </c>
      <c r="AG608" s="136">
        <v>33.49</v>
      </c>
      <c r="AH608" s="137">
        <v>3</v>
      </c>
      <c r="AI608" s="138">
        <v>1</v>
      </c>
      <c r="AK608" s="136">
        <v>33.35</v>
      </c>
      <c r="AL608" s="139">
        <v>11</v>
      </c>
      <c r="AM608" s="138">
        <v>63</v>
      </c>
      <c r="AO608" s="136">
        <v>55.32</v>
      </c>
      <c r="AP608" s="139">
        <v>15</v>
      </c>
      <c r="AQ608" s="138">
        <v>95</v>
      </c>
      <c r="AS608" s="136">
        <v>33.25</v>
      </c>
      <c r="AT608" s="139">
        <v>2</v>
      </c>
      <c r="AU608" s="138" t="s">
        <v>883</v>
      </c>
      <c r="AW608" s="136">
        <v>55.44</v>
      </c>
      <c r="AX608" s="139">
        <v>15</v>
      </c>
      <c r="AY608" s="138">
        <v>95</v>
      </c>
      <c r="BA608" s="136">
        <v>34</v>
      </c>
      <c r="BB608" s="139">
        <v>1</v>
      </c>
      <c r="BC608" s="138" t="s">
        <v>883</v>
      </c>
    </row>
    <row r="609" spans="5:55" x14ac:dyDescent="0.3">
      <c r="E609" s="152">
        <v>33.6</v>
      </c>
      <c r="F609" s="153">
        <v>18</v>
      </c>
      <c r="G609" s="155" t="s">
        <v>874</v>
      </c>
      <c r="I609" s="136">
        <v>56.12</v>
      </c>
      <c r="J609" s="139">
        <v>3</v>
      </c>
      <c r="K609" s="138">
        <v>1</v>
      </c>
      <c r="M609" s="136">
        <v>33.32</v>
      </c>
      <c r="N609" s="139">
        <v>3</v>
      </c>
      <c r="O609" s="138">
        <v>1</v>
      </c>
      <c r="Q609" s="136">
        <v>56.45</v>
      </c>
      <c r="R609" s="139">
        <v>16</v>
      </c>
      <c r="S609" s="138">
        <v>98</v>
      </c>
      <c r="U609" s="136">
        <v>33.43</v>
      </c>
      <c r="V609" s="139">
        <v>9</v>
      </c>
      <c r="W609" s="138">
        <v>37</v>
      </c>
      <c r="Y609" s="136">
        <v>33.24</v>
      </c>
      <c r="Z609" s="139">
        <v>2</v>
      </c>
      <c r="AA609" s="138" t="s">
        <v>883</v>
      </c>
      <c r="AC609" s="136">
        <v>33.46</v>
      </c>
      <c r="AD609" s="139">
        <v>12</v>
      </c>
      <c r="AE609" s="138">
        <v>75</v>
      </c>
      <c r="AG609" s="136">
        <v>33.51</v>
      </c>
      <c r="AH609" s="137">
        <v>4</v>
      </c>
      <c r="AI609" s="138">
        <v>2</v>
      </c>
      <c r="AK609" s="136">
        <v>33.36</v>
      </c>
      <c r="AL609" s="139">
        <v>12</v>
      </c>
      <c r="AM609" s="138">
        <v>75</v>
      </c>
      <c r="AO609" s="136">
        <v>55.33</v>
      </c>
      <c r="AP609" s="139">
        <v>16</v>
      </c>
      <c r="AQ609" s="138">
        <v>98</v>
      </c>
      <c r="AS609" s="136">
        <v>33.26</v>
      </c>
      <c r="AT609" s="139">
        <v>3</v>
      </c>
      <c r="AU609" s="138">
        <v>1</v>
      </c>
      <c r="AW609" s="136">
        <v>55.46</v>
      </c>
      <c r="AX609" s="139">
        <v>16</v>
      </c>
      <c r="AY609" s="138">
        <v>98</v>
      </c>
      <c r="BA609" s="136">
        <v>34.119999999999997</v>
      </c>
      <c r="BB609" s="139">
        <v>2</v>
      </c>
      <c r="BC609" s="138" t="s">
        <v>883</v>
      </c>
    </row>
    <row r="610" spans="5:55" x14ac:dyDescent="0.3">
      <c r="E610" s="152">
        <v>33.630000000000003</v>
      </c>
      <c r="F610" s="153">
        <v>19</v>
      </c>
      <c r="G610" s="155" t="s">
        <v>874</v>
      </c>
      <c r="I610" s="136">
        <v>56.15</v>
      </c>
      <c r="J610" s="139">
        <v>4</v>
      </c>
      <c r="K610" s="138">
        <v>2</v>
      </c>
      <c r="M610" s="136">
        <v>33.35</v>
      </c>
      <c r="N610" s="139">
        <v>4</v>
      </c>
      <c r="O610" s="138">
        <v>2</v>
      </c>
      <c r="Q610" s="136">
        <v>56.46</v>
      </c>
      <c r="R610" s="139">
        <v>17</v>
      </c>
      <c r="S610" s="138">
        <v>99</v>
      </c>
      <c r="U610" s="136">
        <v>33.46</v>
      </c>
      <c r="V610" s="139">
        <v>10</v>
      </c>
      <c r="W610" s="138">
        <v>50</v>
      </c>
      <c r="Y610" s="136">
        <v>33.26</v>
      </c>
      <c r="Z610" s="139">
        <v>3</v>
      </c>
      <c r="AA610" s="138">
        <v>1</v>
      </c>
      <c r="AC610" s="136">
        <v>33.479999999999997</v>
      </c>
      <c r="AD610" s="139">
        <v>13</v>
      </c>
      <c r="AE610" s="138">
        <v>85</v>
      </c>
      <c r="AG610" s="136">
        <v>33.53</v>
      </c>
      <c r="AH610" s="137">
        <v>5</v>
      </c>
      <c r="AI610" s="138">
        <v>5</v>
      </c>
      <c r="AK610" s="136">
        <v>33.380000000000003</v>
      </c>
      <c r="AL610" s="139">
        <v>13</v>
      </c>
      <c r="AM610" s="138">
        <v>85</v>
      </c>
      <c r="AO610" s="136">
        <v>55.34</v>
      </c>
      <c r="AP610" s="139">
        <v>17</v>
      </c>
      <c r="AQ610" s="138">
        <v>99</v>
      </c>
      <c r="AS610" s="136">
        <v>33.28</v>
      </c>
      <c r="AT610" s="139">
        <v>4</v>
      </c>
      <c r="AU610" s="138">
        <v>2</v>
      </c>
      <c r="AW610" s="136">
        <v>55.49</v>
      </c>
      <c r="AX610" s="139">
        <v>17</v>
      </c>
      <c r="AY610" s="138">
        <v>99</v>
      </c>
      <c r="BA610" s="136">
        <v>34.130000000000003</v>
      </c>
      <c r="BB610" s="139">
        <v>3</v>
      </c>
      <c r="BC610" s="138">
        <v>1</v>
      </c>
    </row>
    <row r="611" spans="5:55" x14ac:dyDescent="0.3">
      <c r="E611" s="152">
        <v>34</v>
      </c>
      <c r="F611" s="153">
        <v>1</v>
      </c>
      <c r="G611" s="155" t="s">
        <v>862</v>
      </c>
      <c r="I611" s="136">
        <v>56.17</v>
      </c>
      <c r="J611" s="139">
        <v>5</v>
      </c>
      <c r="K611" s="138">
        <v>5</v>
      </c>
      <c r="M611" s="136">
        <v>33.369999999999997</v>
      </c>
      <c r="N611" s="139">
        <v>5</v>
      </c>
      <c r="O611" s="138">
        <v>5</v>
      </c>
      <c r="Q611" s="136">
        <v>56.47</v>
      </c>
      <c r="R611" s="139">
        <v>18</v>
      </c>
      <c r="S611" s="138" t="s">
        <v>884</v>
      </c>
      <c r="U611" s="136">
        <v>33.479999999999997</v>
      </c>
      <c r="V611" s="139">
        <v>11</v>
      </c>
      <c r="W611" s="138">
        <v>63</v>
      </c>
      <c r="Y611" s="136">
        <v>33.270000000000003</v>
      </c>
      <c r="Z611" s="139">
        <v>4</v>
      </c>
      <c r="AA611" s="138">
        <v>2</v>
      </c>
      <c r="AC611" s="136">
        <v>33.5</v>
      </c>
      <c r="AD611" s="139">
        <v>14</v>
      </c>
      <c r="AE611" s="138">
        <v>91</v>
      </c>
      <c r="AG611" s="136">
        <v>33.57</v>
      </c>
      <c r="AH611" s="137">
        <v>6</v>
      </c>
      <c r="AI611" s="138">
        <v>9</v>
      </c>
      <c r="AK611" s="136">
        <v>33.39</v>
      </c>
      <c r="AL611" s="139">
        <v>14</v>
      </c>
      <c r="AM611" s="138">
        <v>91</v>
      </c>
      <c r="AO611" s="136">
        <v>55.35</v>
      </c>
      <c r="AP611" s="139">
        <v>18</v>
      </c>
      <c r="AQ611" s="138" t="s">
        <v>884</v>
      </c>
      <c r="AS611" s="136">
        <v>33.31</v>
      </c>
      <c r="AT611" s="139">
        <v>5</v>
      </c>
      <c r="AU611" s="138">
        <v>5</v>
      </c>
      <c r="AW611" s="136">
        <v>55.51</v>
      </c>
      <c r="AX611" s="139">
        <v>18</v>
      </c>
      <c r="AY611" s="138" t="s">
        <v>884</v>
      </c>
      <c r="BA611" s="136">
        <v>34.15</v>
      </c>
      <c r="BB611" s="139">
        <v>4</v>
      </c>
      <c r="BC611" s="138">
        <v>2</v>
      </c>
    </row>
    <row r="612" spans="5:55" x14ac:dyDescent="0.3">
      <c r="E612" s="152">
        <v>34.28</v>
      </c>
      <c r="F612" s="153">
        <v>2</v>
      </c>
      <c r="G612" s="155" t="s">
        <v>862</v>
      </c>
      <c r="I612" s="136">
        <v>56.19</v>
      </c>
      <c r="J612" s="139">
        <v>6</v>
      </c>
      <c r="K612" s="138">
        <v>9</v>
      </c>
      <c r="M612" s="136">
        <v>33.39</v>
      </c>
      <c r="N612" s="139">
        <v>6</v>
      </c>
      <c r="O612" s="138">
        <v>9</v>
      </c>
      <c r="Q612" s="136">
        <v>56.49</v>
      </c>
      <c r="R612" s="139">
        <v>19</v>
      </c>
      <c r="S612" s="138" t="s">
        <v>884</v>
      </c>
      <c r="U612" s="136">
        <v>33.51</v>
      </c>
      <c r="V612" s="139">
        <v>12</v>
      </c>
      <c r="W612" s="138">
        <v>75</v>
      </c>
      <c r="Y612" s="136">
        <v>33.29</v>
      </c>
      <c r="Z612" s="139">
        <v>5</v>
      </c>
      <c r="AA612" s="138">
        <v>5</v>
      </c>
      <c r="AC612" s="136">
        <v>33.53</v>
      </c>
      <c r="AD612" s="139">
        <v>15</v>
      </c>
      <c r="AE612" s="138">
        <v>95</v>
      </c>
      <c r="AG612" s="136">
        <v>33.590000000000003</v>
      </c>
      <c r="AH612" s="137">
        <v>7</v>
      </c>
      <c r="AI612" s="138">
        <v>16</v>
      </c>
      <c r="AK612" s="136">
        <v>33.4</v>
      </c>
      <c r="AL612" s="139">
        <v>15</v>
      </c>
      <c r="AM612" s="138">
        <v>95</v>
      </c>
      <c r="AO612" s="136">
        <v>55.39</v>
      </c>
      <c r="AP612" s="139">
        <v>19</v>
      </c>
      <c r="AQ612" s="138" t="s">
        <v>884</v>
      </c>
      <c r="AS612" s="136">
        <v>33.33</v>
      </c>
      <c r="AT612" s="139">
        <v>6</v>
      </c>
      <c r="AU612" s="138">
        <v>9</v>
      </c>
      <c r="AW612" s="136">
        <v>55.55</v>
      </c>
      <c r="AX612" s="139">
        <v>19</v>
      </c>
      <c r="AY612" s="138" t="s">
        <v>884</v>
      </c>
      <c r="BA612" s="136">
        <v>34.17</v>
      </c>
      <c r="BB612" s="139">
        <v>5</v>
      </c>
      <c r="BC612" s="138">
        <v>5</v>
      </c>
    </row>
    <row r="613" spans="5:55" x14ac:dyDescent="0.3">
      <c r="E613" s="152">
        <v>34.299999999999997</v>
      </c>
      <c r="F613" s="153">
        <v>3</v>
      </c>
      <c r="G613" s="155" t="s">
        <v>876</v>
      </c>
      <c r="I613" s="136">
        <v>56.2</v>
      </c>
      <c r="J613" s="139">
        <v>7</v>
      </c>
      <c r="K613" s="138">
        <v>16</v>
      </c>
      <c r="M613" s="136">
        <v>33.409999999999997</v>
      </c>
      <c r="N613" s="139">
        <v>7</v>
      </c>
      <c r="O613" s="138">
        <v>16</v>
      </c>
      <c r="Q613" s="136">
        <v>57</v>
      </c>
      <c r="R613" s="139">
        <v>1</v>
      </c>
      <c r="S613" s="138" t="s">
        <v>883</v>
      </c>
      <c r="U613" s="136">
        <v>33.53</v>
      </c>
      <c r="V613" s="139">
        <v>13</v>
      </c>
      <c r="W613" s="138">
        <v>85</v>
      </c>
      <c r="Y613" s="136">
        <v>33.299999999999997</v>
      </c>
      <c r="Z613" s="139">
        <v>6</v>
      </c>
      <c r="AA613" s="138">
        <v>9</v>
      </c>
      <c r="AC613" s="136">
        <v>33.549999999999997</v>
      </c>
      <c r="AD613" s="139">
        <v>16</v>
      </c>
      <c r="AE613" s="138">
        <v>98</v>
      </c>
      <c r="AG613" s="136">
        <v>33.61</v>
      </c>
      <c r="AH613" s="137">
        <v>8</v>
      </c>
      <c r="AI613" s="138">
        <v>25</v>
      </c>
      <c r="AK613" s="136">
        <v>33.409999999999997</v>
      </c>
      <c r="AL613" s="139">
        <v>16</v>
      </c>
      <c r="AM613" s="138">
        <v>98</v>
      </c>
      <c r="AO613" s="136">
        <v>56</v>
      </c>
      <c r="AP613" s="139">
        <v>1</v>
      </c>
      <c r="AQ613" s="138" t="s">
        <v>883</v>
      </c>
      <c r="AS613" s="136">
        <v>33.35</v>
      </c>
      <c r="AT613" s="139">
        <v>7</v>
      </c>
      <c r="AU613" s="138">
        <v>16</v>
      </c>
      <c r="AW613" s="136">
        <v>56</v>
      </c>
      <c r="AX613" s="139">
        <v>1</v>
      </c>
      <c r="AY613" s="138" t="s">
        <v>883</v>
      </c>
      <c r="BA613" s="136">
        <v>34.19</v>
      </c>
      <c r="BB613" s="139">
        <v>6</v>
      </c>
      <c r="BC613" s="138">
        <v>9</v>
      </c>
    </row>
    <row r="614" spans="5:55" x14ac:dyDescent="0.3">
      <c r="E614" s="152">
        <v>34.32</v>
      </c>
      <c r="F614" s="153">
        <v>4</v>
      </c>
      <c r="G614" s="155" t="s">
        <v>863</v>
      </c>
      <c r="I614" s="136">
        <v>56.22</v>
      </c>
      <c r="J614" s="139">
        <v>8</v>
      </c>
      <c r="K614" s="138">
        <v>25</v>
      </c>
      <c r="M614" s="136">
        <v>33.44</v>
      </c>
      <c r="N614" s="139">
        <v>8</v>
      </c>
      <c r="O614" s="138">
        <v>25</v>
      </c>
      <c r="Q614" s="136">
        <v>57.18</v>
      </c>
      <c r="R614" s="139">
        <v>2</v>
      </c>
      <c r="S614" s="138" t="s">
        <v>883</v>
      </c>
      <c r="U614" s="136">
        <v>33.56</v>
      </c>
      <c r="V614" s="139">
        <v>14</v>
      </c>
      <c r="W614" s="138">
        <v>91</v>
      </c>
      <c r="Y614" s="136">
        <v>33.32</v>
      </c>
      <c r="Z614" s="139">
        <v>7</v>
      </c>
      <c r="AA614" s="138">
        <v>16</v>
      </c>
      <c r="AC614" s="136">
        <v>33.57</v>
      </c>
      <c r="AD614" s="139">
        <v>17</v>
      </c>
      <c r="AE614" s="138">
        <v>99</v>
      </c>
      <c r="AG614" s="136">
        <v>33.630000000000003</v>
      </c>
      <c r="AH614" s="137">
        <v>9</v>
      </c>
      <c r="AI614" s="138">
        <v>37</v>
      </c>
      <c r="AK614" s="136">
        <v>33.42</v>
      </c>
      <c r="AL614" s="139">
        <v>17</v>
      </c>
      <c r="AM614" s="138">
        <v>99</v>
      </c>
      <c r="AO614" s="136">
        <v>56.15</v>
      </c>
      <c r="AP614" s="139">
        <v>2</v>
      </c>
      <c r="AQ614" s="138" t="s">
        <v>883</v>
      </c>
      <c r="AS614" s="136">
        <v>33.36</v>
      </c>
      <c r="AT614" s="139">
        <v>8</v>
      </c>
      <c r="AU614" s="138">
        <v>25</v>
      </c>
      <c r="AW614" s="136">
        <v>56.17</v>
      </c>
      <c r="AX614" s="139">
        <v>2</v>
      </c>
      <c r="AY614" s="138" t="s">
        <v>883</v>
      </c>
      <c r="BA614" s="136">
        <v>34.200000000000003</v>
      </c>
      <c r="BB614" s="139">
        <v>7</v>
      </c>
      <c r="BC614" s="138">
        <v>16</v>
      </c>
    </row>
    <row r="615" spans="5:55" x14ac:dyDescent="0.3">
      <c r="E615" s="152">
        <v>34.340000000000003</v>
      </c>
      <c r="F615" s="153">
        <v>5</v>
      </c>
      <c r="G615" s="155" t="s">
        <v>877</v>
      </c>
      <c r="I615" s="136">
        <v>56.24</v>
      </c>
      <c r="J615" s="139">
        <v>9</v>
      </c>
      <c r="K615" s="138">
        <v>37</v>
      </c>
      <c r="M615" s="136">
        <v>33.46</v>
      </c>
      <c r="N615" s="139">
        <v>9</v>
      </c>
      <c r="O615" s="138">
        <v>37</v>
      </c>
      <c r="Q615" s="136">
        <v>57.24</v>
      </c>
      <c r="R615" s="139">
        <v>3</v>
      </c>
      <c r="S615" s="138">
        <v>1</v>
      </c>
      <c r="U615" s="136">
        <v>33.58</v>
      </c>
      <c r="V615" s="139">
        <v>15</v>
      </c>
      <c r="W615" s="138">
        <v>95</v>
      </c>
      <c r="Y615" s="136">
        <v>33.33</v>
      </c>
      <c r="Z615" s="139">
        <v>8</v>
      </c>
      <c r="AA615" s="138">
        <v>25</v>
      </c>
      <c r="AC615" s="136">
        <v>33.590000000000003</v>
      </c>
      <c r="AD615" s="139">
        <v>18</v>
      </c>
      <c r="AE615" s="138" t="s">
        <v>884</v>
      </c>
      <c r="AG615" s="136">
        <v>33.65</v>
      </c>
      <c r="AH615" s="137">
        <v>10</v>
      </c>
      <c r="AI615" s="138">
        <v>50</v>
      </c>
      <c r="AK615" s="136">
        <v>33.43</v>
      </c>
      <c r="AL615" s="139">
        <v>18</v>
      </c>
      <c r="AM615" s="138" t="s">
        <v>884</v>
      </c>
      <c r="AO615" s="136">
        <v>56.17</v>
      </c>
      <c r="AP615" s="139">
        <v>3</v>
      </c>
      <c r="AQ615" s="138">
        <v>1</v>
      </c>
      <c r="AS615" s="136">
        <v>33.380000000000003</v>
      </c>
      <c r="AT615" s="139">
        <v>9</v>
      </c>
      <c r="AU615" s="138">
        <v>37</v>
      </c>
      <c r="AW615" s="136">
        <v>56.19</v>
      </c>
      <c r="AX615" s="139">
        <v>3</v>
      </c>
      <c r="AY615" s="138">
        <v>1</v>
      </c>
      <c r="BA615" s="136">
        <v>34.21</v>
      </c>
      <c r="BB615" s="139">
        <v>8</v>
      </c>
      <c r="BC615" s="138">
        <v>25</v>
      </c>
    </row>
    <row r="616" spans="5:55" x14ac:dyDescent="0.3">
      <c r="E616" s="152">
        <v>34.369999999999997</v>
      </c>
      <c r="F616" s="153">
        <v>6</v>
      </c>
      <c r="G616" s="155" t="s">
        <v>864</v>
      </c>
      <c r="I616" s="136">
        <v>56.25</v>
      </c>
      <c r="J616" s="139">
        <v>10</v>
      </c>
      <c r="K616" s="138">
        <v>50</v>
      </c>
      <c r="M616" s="136">
        <v>33.47</v>
      </c>
      <c r="N616" s="139">
        <v>10</v>
      </c>
      <c r="O616" s="138">
        <v>50</v>
      </c>
      <c r="Q616" s="136">
        <v>57.26</v>
      </c>
      <c r="R616" s="139">
        <v>4</v>
      </c>
      <c r="S616" s="138">
        <v>2</v>
      </c>
      <c r="U616" s="136">
        <v>33.6</v>
      </c>
      <c r="V616" s="139">
        <v>16</v>
      </c>
      <c r="W616" s="138">
        <v>98</v>
      </c>
      <c r="Y616" s="136">
        <v>33.340000000000003</v>
      </c>
      <c r="Z616" s="139">
        <v>9</v>
      </c>
      <c r="AA616" s="138">
        <v>37</v>
      </c>
      <c r="AC616" s="136">
        <v>33.64</v>
      </c>
      <c r="AD616" s="139">
        <v>19</v>
      </c>
      <c r="AE616" s="138" t="s">
        <v>884</v>
      </c>
      <c r="AG616" s="136">
        <v>33.67</v>
      </c>
      <c r="AH616" s="137">
        <v>11</v>
      </c>
      <c r="AI616" s="138">
        <v>63</v>
      </c>
      <c r="AK616" s="136">
        <v>33.450000000000003</v>
      </c>
      <c r="AL616" s="139">
        <v>19</v>
      </c>
      <c r="AM616" s="138" t="s">
        <v>884</v>
      </c>
      <c r="AO616" s="136">
        <v>56.19</v>
      </c>
      <c r="AP616" s="139">
        <v>4</v>
      </c>
      <c r="AQ616" s="138">
        <v>2</v>
      </c>
      <c r="AS616" s="136">
        <v>33.4</v>
      </c>
      <c r="AT616" s="139">
        <v>10</v>
      </c>
      <c r="AU616" s="138">
        <v>50</v>
      </c>
      <c r="AW616" s="136">
        <v>56.21</v>
      </c>
      <c r="AX616" s="139">
        <v>4</v>
      </c>
      <c r="AY616" s="138">
        <v>2</v>
      </c>
      <c r="BA616" s="136">
        <v>34.229999999999997</v>
      </c>
      <c r="BB616" s="139">
        <v>9</v>
      </c>
      <c r="BC616" s="138">
        <v>37</v>
      </c>
    </row>
    <row r="617" spans="5:55" x14ac:dyDescent="0.3">
      <c r="E617" s="152">
        <v>34.4</v>
      </c>
      <c r="F617" s="153">
        <v>7</v>
      </c>
      <c r="G617" s="155" t="s">
        <v>878</v>
      </c>
      <c r="I617" s="136">
        <v>56.27</v>
      </c>
      <c r="J617" s="139">
        <v>11</v>
      </c>
      <c r="K617" s="138">
        <v>63</v>
      </c>
      <c r="M617" s="136">
        <v>33.479999999999997</v>
      </c>
      <c r="N617" s="139">
        <v>11</v>
      </c>
      <c r="O617" s="138">
        <v>63</v>
      </c>
      <c r="Q617" s="136">
        <v>57.28</v>
      </c>
      <c r="R617" s="139">
        <v>5</v>
      </c>
      <c r="S617" s="138">
        <v>5</v>
      </c>
      <c r="U617" s="136">
        <v>33.630000000000003</v>
      </c>
      <c r="V617" s="139">
        <v>17</v>
      </c>
      <c r="W617" s="138">
        <v>99</v>
      </c>
      <c r="Y617" s="136">
        <v>33.35</v>
      </c>
      <c r="Z617" s="139">
        <v>10</v>
      </c>
      <c r="AA617" s="138">
        <v>50</v>
      </c>
      <c r="AC617" s="136">
        <v>34</v>
      </c>
      <c r="AD617" s="139">
        <v>1</v>
      </c>
      <c r="AE617" s="138" t="s">
        <v>883</v>
      </c>
      <c r="AG617" s="136">
        <v>33.69</v>
      </c>
      <c r="AH617" s="137">
        <v>12</v>
      </c>
      <c r="AI617" s="138">
        <v>75</v>
      </c>
      <c r="AK617" s="136">
        <v>34</v>
      </c>
      <c r="AL617" s="139">
        <v>1</v>
      </c>
      <c r="AM617" s="138" t="s">
        <v>883</v>
      </c>
      <c r="AO617" s="136">
        <v>56.2</v>
      </c>
      <c r="AP617" s="139">
        <v>5</v>
      </c>
      <c r="AQ617" s="138">
        <v>5</v>
      </c>
      <c r="AS617" s="136">
        <v>33.409999999999997</v>
      </c>
      <c r="AT617" s="139">
        <v>11</v>
      </c>
      <c r="AU617" s="138">
        <v>63</v>
      </c>
      <c r="AW617" s="136">
        <v>56.23</v>
      </c>
      <c r="AX617" s="139">
        <v>5</v>
      </c>
      <c r="AY617" s="138">
        <v>5</v>
      </c>
      <c r="BA617" s="136">
        <v>34.24</v>
      </c>
      <c r="BB617" s="139">
        <v>10</v>
      </c>
      <c r="BC617" s="138">
        <v>50</v>
      </c>
    </row>
    <row r="618" spans="5:55" x14ac:dyDescent="0.3">
      <c r="E618" s="152">
        <v>34.42</v>
      </c>
      <c r="F618" s="153">
        <v>8</v>
      </c>
      <c r="G618" s="155" t="s">
        <v>865</v>
      </c>
      <c r="I618" s="136">
        <v>56.28</v>
      </c>
      <c r="J618" s="139">
        <v>12</v>
      </c>
      <c r="K618" s="138">
        <v>75</v>
      </c>
      <c r="M618" s="136">
        <v>33.49</v>
      </c>
      <c r="N618" s="139">
        <v>12</v>
      </c>
      <c r="O618" s="138">
        <v>75</v>
      </c>
      <c r="Q618" s="136">
        <v>57.3</v>
      </c>
      <c r="R618" s="139">
        <v>6</v>
      </c>
      <c r="S618" s="138">
        <v>9</v>
      </c>
      <c r="U618" s="136">
        <v>33.659999999999997</v>
      </c>
      <c r="V618" s="139">
        <v>18</v>
      </c>
      <c r="W618" s="138" t="s">
        <v>884</v>
      </c>
      <c r="Y618" s="136">
        <v>33.36</v>
      </c>
      <c r="Z618" s="139">
        <v>11</v>
      </c>
      <c r="AA618" s="138">
        <v>63</v>
      </c>
      <c r="AC618" s="136">
        <v>34.24</v>
      </c>
      <c r="AD618" s="139">
        <v>2</v>
      </c>
      <c r="AE618" s="138" t="s">
        <v>883</v>
      </c>
      <c r="AG618" s="136">
        <v>33.700000000000003</v>
      </c>
      <c r="AH618" s="137">
        <v>13</v>
      </c>
      <c r="AI618" s="138">
        <v>85</v>
      </c>
      <c r="AK618" s="136">
        <v>34.24</v>
      </c>
      <c r="AL618" s="139">
        <v>2</v>
      </c>
      <c r="AM618" s="138" t="s">
        <v>883</v>
      </c>
      <c r="AO618" s="136">
        <v>56.21</v>
      </c>
      <c r="AP618" s="139">
        <v>6</v>
      </c>
      <c r="AQ618" s="138">
        <v>9</v>
      </c>
      <c r="AS618" s="136">
        <v>33.43</v>
      </c>
      <c r="AT618" s="139">
        <v>12</v>
      </c>
      <c r="AU618" s="138">
        <v>75</v>
      </c>
      <c r="AW618" s="136">
        <v>56.25</v>
      </c>
      <c r="AX618" s="139">
        <v>6</v>
      </c>
      <c r="AY618" s="138">
        <v>9</v>
      </c>
      <c r="BA618" s="136">
        <v>34.25</v>
      </c>
      <c r="BB618" s="139">
        <v>11</v>
      </c>
      <c r="BC618" s="138">
        <v>63</v>
      </c>
    </row>
    <row r="619" spans="5:55" x14ac:dyDescent="0.3">
      <c r="E619" s="152">
        <v>34.44</v>
      </c>
      <c r="F619" s="153">
        <v>9</v>
      </c>
      <c r="G619" s="155" t="s">
        <v>879</v>
      </c>
      <c r="I619" s="136">
        <v>56.29</v>
      </c>
      <c r="J619" s="139">
        <v>13</v>
      </c>
      <c r="K619" s="138">
        <v>85</v>
      </c>
      <c r="M619" s="136">
        <v>33.5</v>
      </c>
      <c r="N619" s="139">
        <v>13</v>
      </c>
      <c r="O619" s="138">
        <v>85</v>
      </c>
      <c r="Q619" s="136">
        <v>57.32</v>
      </c>
      <c r="R619" s="139">
        <v>7</v>
      </c>
      <c r="S619" s="138">
        <v>16</v>
      </c>
      <c r="U619" s="136">
        <v>33.69</v>
      </c>
      <c r="V619" s="139">
        <v>19</v>
      </c>
      <c r="W619" s="138" t="s">
        <v>884</v>
      </c>
      <c r="Y619" s="136">
        <v>33.380000000000003</v>
      </c>
      <c r="Z619" s="139">
        <v>12</v>
      </c>
      <c r="AA619" s="138">
        <v>75</v>
      </c>
      <c r="AC619" s="136">
        <v>34.26</v>
      </c>
      <c r="AD619" s="139">
        <v>3</v>
      </c>
      <c r="AE619" s="138">
        <v>1</v>
      </c>
      <c r="AG619" s="136">
        <v>33.72</v>
      </c>
      <c r="AH619" s="137">
        <v>14</v>
      </c>
      <c r="AI619" s="138">
        <v>91</v>
      </c>
      <c r="AK619" s="136">
        <v>34.25</v>
      </c>
      <c r="AL619" s="139">
        <v>3</v>
      </c>
      <c r="AM619" s="138">
        <v>1</v>
      </c>
      <c r="AO619" s="136">
        <v>56.22</v>
      </c>
      <c r="AP619" s="139">
        <v>7</v>
      </c>
      <c r="AQ619" s="138">
        <v>16</v>
      </c>
      <c r="AS619" s="136">
        <v>33.44</v>
      </c>
      <c r="AT619" s="139">
        <v>13</v>
      </c>
      <c r="AU619" s="138">
        <v>85</v>
      </c>
      <c r="AW619" s="136">
        <v>56.27</v>
      </c>
      <c r="AX619" s="139">
        <v>7</v>
      </c>
      <c r="AY619" s="138">
        <v>16</v>
      </c>
      <c r="BA619" s="136">
        <v>34.270000000000003</v>
      </c>
      <c r="BB619" s="139">
        <v>12</v>
      </c>
      <c r="BC619" s="138">
        <v>75</v>
      </c>
    </row>
    <row r="620" spans="5:55" x14ac:dyDescent="0.3">
      <c r="E620" s="152">
        <v>34.46</v>
      </c>
      <c r="F620" s="153">
        <v>10</v>
      </c>
      <c r="G620" s="155" t="s">
        <v>866</v>
      </c>
      <c r="I620" s="136">
        <v>56.31</v>
      </c>
      <c r="J620" s="139">
        <v>14</v>
      </c>
      <c r="K620" s="138">
        <v>91</v>
      </c>
      <c r="M620" s="136">
        <v>33.51</v>
      </c>
      <c r="N620" s="139">
        <v>14</v>
      </c>
      <c r="O620" s="138">
        <v>91</v>
      </c>
      <c r="Q620" s="136">
        <v>57.34</v>
      </c>
      <c r="R620" s="139">
        <v>8</v>
      </c>
      <c r="S620" s="138">
        <v>25</v>
      </c>
      <c r="U620" s="136">
        <v>34</v>
      </c>
      <c r="V620" s="139">
        <v>1</v>
      </c>
      <c r="W620" s="138" t="s">
        <v>883</v>
      </c>
      <c r="Y620" s="136">
        <v>33.4</v>
      </c>
      <c r="Z620" s="139">
        <v>13</v>
      </c>
      <c r="AA620" s="138">
        <v>85</v>
      </c>
      <c r="AC620" s="136">
        <v>34.28</v>
      </c>
      <c r="AD620" s="139">
        <v>4</v>
      </c>
      <c r="AE620" s="138">
        <v>2</v>
      </c>
      <c r="AG620" s="136">
        <v>33.729999999999997</v>
      </c>
      <c r="AH620" s="137">
        <v>15</v>
      </c>
      <c r="AI620" s="138">
        <v>95</v>
      </c>
      <c r="AK620" s="136">
        <v>34.26</v>
      </c>
      <c r="AL620" s="139">
        <v>4</v>
      </c>
      <c r="AM620" s="138">
        <v>2</v>
      </c>
      <c r="AO620" s="136">
        <v>56.23</v>
      </c>
      <c r="AP620" s="139">
        <v>8</v>
      </c>
      <c r="AQ620" s="138">
        <v>25</v>
      </c>
      <c r="AS620" s="136">
        <v>33.450000000000003</v>
      </c>
      <c r="AT620" s="139">
        <v>14</v>
      </c>
      <c r="AU620" s="138">
        <v>91</v>
      </c>
      <c r="AW620" s="136">
        <v>56.29</v>
      </c>
      <c r="AX620" s="139">
        <v>8</v>
      </c>
      <c r="AY620" s="138">
        <v>25</v>
      </c>
      <c r="BA620" s="136">
        <v>34.28</v>
      </c>
      <c r="BB620" s="139">
        <v>13</v>
      </c>
      <c r="BC620" s="138">
        <v>85</v>
      </c>
    </row>
    <row r="621" spans="5:55" x14ac:dyDescent="0.3">
      <c r="E621" s="152">
        <v>34.479999999999997</v>
      </c>
      <c r="F621" s="153">
        <v>11</v>
      </c>
      <c r="G621" s="155" t="s">
        <v>867</v>
      </c>
      <c r="I621" s="136">
        <v>56.33</v>
      </c>
      <c r="J621" s="139">
        <v>15</v>
      </c>
      <c r="K621" s="138">
        <v>95</v>
      </c>
      <c r="M621" s="136">
        <v>33.520000000000003</v>
      </c>
      <c r="N621" s="139">
        <v>15</v>
      </c>
      <c r="O621" s="138">
        <v>95</v>
      </c>
      <c r="Q621" s="136">
        <v>57.37</v>
      </c>
      <c r="R621" s="139">
        <v>9</v>
      </c>
      <c r="S621" s="138">
        <v>37</v>
      </c>
      <c r="U621" s="136">
        <v>34.200000000000003</v>
      </c>
      <c r="V621" s="139">
        <v>2</v>
      </c>
      <c r="W621" s="138" t="s">
        <v>883</v>
      </c>
      <c r="Y621" s="136">
        <v>33.409999999999997</v>
      </c>
      <c r="Z621" s="139">
        <v>14</v>
      </c>
      <c r="AA621" s="138">
        <v>91</v>
      </c>
      <c r="AC621" s="136">
        <v>34.299999999999997</v>
      </c>
      <c r="AD621" s="139">
        <v>5</v>
      </c>
      <c r="AE621" s="138">
        <v>5</v>
      </c>
      <c r="AG621" s="136">
        <v>33.75</v>
      </c>
      <c r="AH621" s="137">
        <v>16</v>
      </c>
      <c r="AI621" s="138">
        <v>98</v>
      </c>
      <c r="AK621" s="136">
        <v>34.270000000000003</v>
      </c>
      <c r="AL621" s="139">
        <v>5</v>
      </c>
      <c r="AM621" s="138">
        <v>5</v>
      </c>
      <c r="AO621" s="136">
        <v>56.25</v>
      </c>
      <c r="AP621" s="139">
        <v>9</v>
      </c>
      <c r="AQ621" s="138">
        <v>37</v>
      </c>
      <c r="AS621" s="136">
        <v>33.46</v>
      </c>
      <c r="AT621" s="139">
        <v>15</v>
      </c>
      <c r="AU621" s="138">
        <v>95</v>
      </c>
      <c r="AW621" s="136">
        <v>56.32</v>
      </c>
      <c r="AX621" s="139">
        <v>9</v>
      </c>
      <c r="AY621" s="138">
        <v>37</v>
      </c>
      <c r="BA621" s="136">
        <v>34.29</v>
      </c>
      <c r="BB621" s="139">
        <v>14</v>
      </c>
      <c r="BC621" s="138">
        <v>91</v>
      </c>
    </row>
    <row r="622" spans="5:55" x14ac:dyDescent="0.3">
      <c r="E622" s="152">
        <v>34.5</v>
      </c>
      <c r="F622" s="153">
        <v>12</v>
      </c>
      <c r="G622" s="155" t="s">
        <v>868</v>
      </c>
      <c r="I622" s="136">
        <v>56.35</v>
      </c>
      <c r="J622" s="139">
        <v>16</v>
      </c>
      <c r="K622" s="138">
        <v>98</v>
      </c>
      <c r="M622" s="136">
        <v>33.54</v>
      </c>
      <c r="N622" s="139">
        <v>16</v>
      </c>
      <c r="O622" s="138">
        <v>98</v>
      </c>
      <c r="Q622" s="136">
        <v>57.39</v>
      </c>
      <c r="R622" s="139">
        <v>10</v>
      </c>
      <c r="S622" s="138">
        <v>50</v>
      </c>
      <c r="U622" s="136">
        <v>34.229999999999997</v>
      </c>
      <c r="V622" s="139">
        <v>3</v>
      </c>
      <c r="W622" s="138">
        <v>1</v>
      </c>
      <c r="Y622" s="136">
        <v>33.42</v>
      </c>
      <c r="Z622" s="139">
        <v>15</v>
      </c>
      <c r="AA622" s="138">
        <v>95</v>
      </c>
      <c r="AC622" s="136">
        <v>34.32</v>
      </c>
      <c r="AD622" s="139">
        <v>6</v>
      </c>
      <c r="AE622" s="138">
        <v>9</v>
      </c>
      <c r="AG622" s="136">
        <v>33.76</v>
      </c>
      <c r="AH622" s="137">
        <v>17</v>
      </c>
      <c r="AI622" s="138">
        <v>99</v>
      </c>
      <c r="AK622" s="136">
        <v>34.29</v>
      </c>
      <c r="AL622" s="139">
        <v>6</v>
      </c>
      <c r="AM622" s="138">
        <v>9</v>
      </c>
      <c r="AO622" s="136">
        <v>56.26</v>
      </c>
      <c r="AP622" s="139">
        <v>10</v>
      </c>
      <c r="AQ622" s="138">
        <v>50</v>
      </c>
      <c r="AS622" s="136">
        <v>33.479999999999997</v>
      </c>
      <c r="AT622" s="139">
        <v>16</v>
      </c>
      <c r="AU622" s="138">
        <v>98</v>
      </c>
      <c r="AW622" s="136">
        <v>56.34</v>
      </c>
      <c r="AX622" s="139">
        <v>10</v>
      </c>
      <c r="AY622" s="138">
        <v>50</v>
      </c>
      <c r="BA622" s="136">
        <v>34.31</v>
      </c>
      <c r="BB622" s="139">
        <v>15</v>
      </c>
      <c r="BC622" s="138">
        <v>95</v>
      </c>
    </row>
    <row r="623" spans="5:55" x14ac:dyDescent="0.3">
      <c r="E623" s="152">
        <v>34.520000000000003</v>
      </c>
      <c r="F623" s="153">
        <v>13</v>
      </c>
      <c r="G623" s="155" t="s">
        <v>869</v>
      </c>
      <c r="I623" s="136">
        <v>56.37</v>
      </c>
      <c r="J623" s="139">
        <v>17</v>
      </c>
      <c r="K623" s="138">
        <v>99</v>
      </c>
      <c r="M623" s="136">
        <v>33.549999999999997</v>
      </c>
      <c r="N623" s="139">
        <v>17</v>
      </c>
      <c r="O623" s="138">
        <v>99</v>
      </c>
      <c r="Q623" s="136">
        <v>57.4</v>
      </c>
      <c r="R623" s="139">
        <v>11</v>
      </c>
      <c r="S623" s="138">
        <v>63</v>
      </c>
      <c r="U623" s="136">
        <v>34.26</v>
      </c>
      <c r="V623" s="139">
        <v>4</v>
      </c>
      <c r="W623" s="138">
        <v>2</v>
      </c>
      <c r="Y623" s="136">
        <v>33.43</v>
      </c>
      <c r="Z623" s="139">
        <v>16</v>
      </c>
      <c r="AA623" s="138">
        <v>98</v>
      </c>
      <c r="AC623" s="136">
        <v>34.35</v>
      </c>
      <c r="AD623" s="139">
        <v>7</v>
      </c>
      <c r="AE623" s="138">
        <v>16</v>
      </c>
      <c r="AG623" s="136">
        <v>33.78</v>
      </c>
      <c r="AH623" s="137">
        <v>18</v>
      </c>
      <c r="AI623" s="138" t="s">
        <v>884</v>
      </c>
      <c r="AK623" s="136">
        <v>34.299999999999997</v>
      </c>
      <c r="AL623" s="139">
        <v>7</v>
      </c>
      <c r="AM623" s="138">
        <v>16</v>
      </c>
      <c r="AO623" s="136">
        <v>56.27</v>
      </c>
      <c r="AP623" s="139">
        <v>11</v>
      </c>
      <c r="AQ623" s="138">
        <v>63</v>
      </c>
      <c r="AS623" s="136">
        <v>33.5</v>
      </c>
      <c r="AT623" s="139">
        <v>17</v>
      </c>
      <c r="AU623" s="138">
        <v>99</v>
      </c>
      <c r="AW623" s="136">
        <v>56.36</v>
      </c>
      <c r="AX623" s="139">
        <v>11</v>
      </c>
      <c r="AY623" s="138">
        <v>63</v>
      </c>
      <c r="BA623" s="136">
        <v>34.32</v>
      </c>
      <c r="BB623" s="139">
        <v>16</v>
      </c>
      <c r="BC623" s="138">
        <v>98</v>
      </c>
    </row>
    <row r="624" spans="5:55" x14ac:dyDescent="0.3">
      <c r="E624" s="152">
        <v>34.54</v>
      </c>
      <c r="F624" s="153">
        <v>14</v>
      </c>
      <c r="G624" s="155" t="s">
        <v>870</v>
      </c>
      <c r="I624" s="136">
        <v>56.39</v>
      </c>
      <c r="J624" s="139">
        <v>18</v>
      </c>
      <c r="K624" s="138" t="s">
        <v>884</v>
      </c>
      <c r="M624" s="136">
        <v>33.56</v>
      </c>
      <c r="N624" s="139">
        <v>18</v>
      </c>
      <c r="O624" s="138" t="s">
        <v>884</v>
      </c>
      <c r="Q624" s="136">
        <v>57.41</v>
      </c>
      <c r="R624" s="139">
        <v>12</v>
      </c>
      <c r="S624" s="138">
        <v>75</v>
      </c>
      <c r="U624" s="136">
        <v>34.28</v>
      </c>
      <c r="V624" s="139">
        <v>5</v>
      </c>
      <c r="W624" s="138">
        <v>5</v>
      </c>
      <c r="Y624" s="136">
        <v>33.450000000000003</v>
      </c>
      <c r="Z624" s="139">
        <v>17</v>
      </c>
      <c r="AA624" s="138">
        <v>99</v>
      </c>
      <c r="AC624" s="136">
        <v>34.369999999999997</v>
      </c>
      <c r="AD624" s="139">
        <v>8</v>
      </c>
      <c r="AE624" s="138">
        <v>25</v>
      </c>
      <c r="AG624" s="136">
        <v>33.799999999999997</v>
      </c>
      <c r="AH624" s="137">
        <v>19</v>
      </c>
      <c r="AI624" s="138" t="s">
        <v>884</v>
      </c>
      <c r="AK624" s="136">
        <v>34.31</v>
      </c>
      <c r="AL624" s="139">
        <v>8</v>
      </c>
      <c r="AM624" s="138">
        <v>25</v>
      </c>
      <c r="AO624" s="136">
        <v>56.28</v>
      </c>
      <c r="AP624" s="139">
        <v>12</v>
      </c>
      <c r="AQ624" s="138">
        <v>75</v>
      </c>
      <c r="AS624" s="136">
        <v>33.51</v>
      </c>
      <c r="AT624" s="139">
        <v>18</v>
      </c>
      <c r="AU624" s="138" t="s">
        <v>884</v>
      </c>
      <c r="AW624" s="136">
        <v>56.38</v>
      </c>
      <c r="AX624" s="139">
        <v>12</v>
      </c>
      <c r="AY624" s="138">
        <v>75</v>
      </c>
      <c r="BA624" s="136">
        <v>34.33</v>
      </c>
      <c r="BB624" s="139">
        <v>17</v>
      </c>
      <c r="BC624" s="138">
        <v>99</v>
      </c>
    </row>
    <row r="625" spans="5:55" x14ac:dyDescent="0.3">
      <c r="E625" s="152">
        <v>34.549999999999997</v>
      </c>
      <c r="F625" s="153">
        <v>15</v>
      </c>
      <c r="G625" s="155" t="s">
        <v>871</v>
      </c>
      <c r="I625" s="136">
        <v>56.41</v>
      </c>
      <c r="J625" s="139">
        <v>19</v>
      </c>
      <c r="K625" s="138" t="s">
        <v>884</v>
      </c>
      <c r="M625" s="136">
        <v>33.57</v>
      </c>
      <c r="N625" s="139">
        <v>19</v>
      </c>
      <c r="O625" s="138" t="s">
        <v>884</v>
      </c>
      <c r="Q625" s="136">
        <v>57.42</v>
      </c>
      <c r="R625" s="139">
        <v>13</v>
      </c>
      <c r="S625" s="138">
        <v>85</v>
      </c>
      <c r="U625" s="136">
        <v>34.33</v>
      </c>
      <c r="V625" s="139">
        <v>6</v>
      </c>
      <c r="W625" s="138">
        <v>9</v>
      </c>
      <c r="Y625" s="136">
        <v>33.46</v>
      </c>
      <c r="Z625" s="139">
        <v>18</v>
      </c>
      <c r="AA625" s="138" t="s">
        <v>884</v>
      </c>
      <c r="AC625" s="136">
        <v>34.39</v>
      </c>
      <c r="AD625" s="139">
        <v>9</v>
      </c>
      <c r="AE625" s="138">
        <v>37</v>
      </c>
      <c r="AG625" s="136">
        <v>34</v>
      </c>
      <c r="AH625" s="137">
        <v>1</v>
      </c>
      <c r="AI625" s="138" t="s">
        <v>883</v>
      </c>
      <c r="AK625" s="136">
        <v>34.33</v>
      </c>
      <c r="AL625" s="139">
        <v>9</v>
      </c>
      <c r="AM625" s="138">
        <v>37</v>
      </c>
      <c r="AO625" s="136">
        <v>56.29</v>
      </c>
      <c r="AP625" s="139">
        <v>13</v>
      </c>
      <c r="AQ625" s="138">
        <v>85</v>
      </c>
      <c r="AS625" s="136">
        <v>33.53</v>
      </c>
      <c r="AT625" s="139">
        <v>19</v>
      </c>
      <c r="AU625" s="138" t="s">
        <v>884</v>
      </c>
      <c r="AW625" s="136">
        <v>56.4</v>
      </c>
      <c r="AX625" s="139">
        <v>13</v>
      </c>
      <c r="AY625" s="138">
        <v>85</v>
      </c>
      <c r="BA625" s="136">
        <v>34.35</v>
      </c>
      <c r="BB625" s="139">
        <v>18</v>
      </c>
      <c r="BC625" s="138" t="s">
        <v>884</v>
      </c>
    </row>
    <row r="626" spans="5:55" x14ac:dyDescent="0.3">
      <c r="E626" s="152">
        <v>34.57</v>
      </c>
      <c r="F626" s="153">
        <v>16</v>
      </c>
      <c r="G626" s="155" t="s">
        <v>872</v>
      </c>
      <c r="I626" s="136">
        <v>57</v>
      </c>
      <c r="J626" s="139">
        <v>1</v>
      </c>
      <c r="K626" s="138" t="s">
        <v>883</v>
      </c>
      <c r="M626" s="136">
        <v>34</v>
      </c>
      <c r="N626" s="139">
        <v>1</v>
      </c>
      <c r="O626" s="138" t="s">
        <v>883</v>
      </c>
      <c r="Q626" s="136">
        <v>57.43</v>
      </c>
      <c r="R626" s="139">
        <v>14</v>
      </c>
      <c r="S626" s="138">
        <v>91</v>
      </c>
      <c r="U626" s="136">
        <v>34.369999999999997</v>
      </c>
      <c r="V626" s="139">
        <v>7</v>
      </c>
      <c r="W626" s="138">
        <v>16</v>
      </c>
      <c r="Y626" s="136">
        <v>33.5</v>
      </c>
      <c r="Z626" s="139">
        <v>19</v>
      </c>
      <c r="AA626" s="138" t="s">
        <v>884</v>
      </c>
      <c r="AC626" s="136">
        <v>34.409999999999997</v>
      </c>
      <c r="AD626" s="139">
        <v>10</v>
      </c>
      <c r="AE626" s="138">
        <v>50</v>
      </c>
      <c r="AG626" s="136">
        <v>34.47</v>
      </c>
      <c r="AH626" s="137">
        <v>2</v>
      </c>
      <c r="AI626" s="138" t="s">
        <v>883</v>
      </c>
      <c r="AK626" s="136">
        <v>34.340000000000003</v>
      </c>
      <c r="AL626" s="139">
        <v>10</v>
      </c>
      <c r="AM626" s="138">
        <v>50</v>
      </c>
      <c r="AO626" s="136">
        <v>56.3</v>
      </c>
      <c r="AP626" s="139">
        <v>14</v>
      </c>
      <c r="AQ626" s="138">
        <v>91</v>
      </c>
      <c r="AS626" s="136">
        <v>34</v>
      </c>
      <c r="AT626" s="139">
        <v>1</v>
      </c>
      <c r="AU626" s="138" t="s">
        <v>883</v>
      </c>
      <c r="AW626" s="136">
        <v>56.42</v>
      </c>
      <c r="AX626" s="139">
        <v>14</v>
      </c>
      <c r="AY626" s="138">
        <v>91</v>
      </c>
      <c r="BA626" s="136">
        <v>34.409999999999997</v>
      </c>
      <c r="BB626" s="139">
        <v>19</v>
      </c>
      <c r="BC626" s="138" t="s">
        <v>884</v>
      </c>
    </row>
    <row r="627" spans="5:55" x14ac:dyDescent="0.3">
      <c r="E627" s="152">
        <v>34.58</v>
      </c>
      <c r="F627" s="153">
        <v>17</v>
      </c>
      <c r="G627" s="155" t="s">
        <v>873</v>
      </c>
      <c r="I627" s="136">
        <v>57.09</v>
      </c>
      <c r="J627" s="139">
        <v>2</v>
      </c>
      <c r="K627" s="138" t="s">
        <v>883</v>
      </c>
      <c r="M627" s="136">
        <v>34.26</v>
      </c>
      <c r="N627" s="139">
        <v>2</v>
      </c>
      <c r="O627" s="138" t="s">
        <v>883</v>
      </c>
      <c r="Q627" s="136">
        <v>57.44</v>
      </c>
      <c r="R627" s="139">
        <v>15</v>
      </c>
      <c r="S627" s="138">
        <v>95</v>
      </c>
      <c r="U627" s="136">
        <v>34.4</v>
      </c>
      <c r="V627" s="139">
        <v>8</v>
      </c>
      <c r="W627" s="138">
        <v>25</v>
      </c>
      <c r="Y627" s="136">
        <v>34</v>
      </c>
      <c r="Z627" s="139">
        <v>1</v>
      </c>
      <c r="AA627" s="138" t="s">
        <v>883</v>
      </c>
      <c r="AC627" s="136">
        <v>34.44</v>
      </c>
      <c r="AD627" s="139">
        <v>11</v>
      </c>
      <c r="AE627" s="138">
        <v>63</v>
      </c>
      <c r="AG627" s="136">
        <v>34.49</v>
      </c>
      <c r="AH627" s="137">
        <v>3</v>
      </c>
      <c r="AI627" s="138">
        <v>1</v>
      </c>
      <c r="AK627" s="136">
        <v>34.35</v>
      </c>
      <c r="AL627" s="139">
        <v>11</v>
      </c>
      <c r="AM627" s="138">
        <v>63</v>
      </c>
      <c r="AO627" s="136">
        <v>56.32</v>
      </c>
      <c r="AP627" s="139">
        <v>15</v>
      </c>
      <c r="AQ627" s="138">
        <v>95</v>
      </c>
      <c r="AS627" s="136">
        <v>34.25</v>
      </c>
      <c r="AT627" s="139">
        <v>2</v>
      </c>
      <c r="AU627" s="138" t="s">
        <v>883</v>
      </c>
      <c r="AW627" s="136">
        <v>56.44</v>
      </c>
      <c r="AX627" s="139">
        <v>15</v>
      </c>
      <c r="AY627" s="138">
        <v>95</v>
      </c>
      <c r="BA627" s="136">
        <v>35</v>
      </c>
      <c r="BB627" s="139">
        <v>1</v>
      </c>
      <c r="BC627" s="138" t="s">
        <v>883</v>
      </c>
    </row>
    <row r="628" spans="5:55" x14ac:dyDescent="0.3">
      <c r="E628" s="152">
        <v>34.6</v>
      </c>
      <c r="F628" s="153">
        <v>18</v>
      </c>
      <c r="G628" s="155" t="s">
        <v>874</v>
      </c>
      <c r="I628" s="136">
        <v>57.15</v>
      </c>
      <c r="J628" s="139">
        <v>3</v>
      </c>
      <c r="K628" s="138">
        <v>1</v>
      </c>
      <c r="M628" s="136">
        <v>34.32</v>
      </c>
      <c r="N628" s="139">
        <v>3</v>
      </c>
      <c r="O628" s="138">
        <v>1</v>
      </c>
      <c r="Q628" s="136">
        <v>57.45</v>
      </c>
      <c r="R628" s="139">
        <v>16</v>
      </c>
      <c r="S628" s="138">
        <v>98</v>
      </c>
      <c r="U628" s="136">
        <v>34.43</v>
      </c>
      <c r="V628" s="139">
        <v>9</v>
      </c>
      <c r="W628" s="138">
        <v>37</v>
      </c>
      <c r="Y628" s="136">
        <v>34.24</v>
      </c>
      <c r="Z628" s="139">
        <v>2</v>
      </c>
      <c r="AA628" s="138" t="s">
        <v>883</v>
      </c>
      <c r="AC628" s="136">
        <v>34.46</v>
      </c>
      <c r="AD628" s="139">
        <v>12</v>
      </c>
      <c r="AE628" s="138">
        <v>75</v>
      </c>
      <c r="AG628" s="136">
        <v>34.51</v>
      </c>
      <c r="AH628" s="137">
        <v>4</v>
      </c>
      <c r="AI628" s="138">
        <v>2</v>
      </c>
      <c r="AK628" s="136">
        <v>34.36</v>
      </c>
      <c r="AL628" s="139">
        <v>12</v>
      </c>
      <c r="AM628" s="138">
        <v>75</v>
      </c>
      <c r="AO628" s="136">
        <v>56.33</v>
      </c>
      <c r="AP628" s="139">
        <v>16</v>
      </c>
      <c r="AQ628" s="138">
        <v>98</v>
      </c>
      <c r="AS628" s="136">
        <v>34.26</v>
      </c>
      <c r="AT628" s="139">
        <v>3</v>
      </c>
      <c r="AU628" s="138">
        <v>1</v>
      </c>
      <c r="AW628" s="136">
        <v>56.46</v>
      </c>
      <c r="AX628" s="139">
        <v>16</v>
      </c>
      <c r="AY628" s="138">
        <v>98</v>
      </c>
      <c r="BA628" s="136">
        <v>35.119999999999997</v>
      </c>
      <c r="BB628" s="139">
        <v>2</v>
      </c>
      <c r="BC628" s="138" t="s">
        <v>883</v>
      </c>
    </row>
    <row r="629" spans="5:55" x14ac:dyDescent="0.3">
      <c r="E629" s="152">
        <v>34.630000000000003</v>
      </c>
      <c r="F629" s="153">
        <v>19</v>
      </c>
      <c r="G629" s="155" t="s">
        <v>874</v>
      </c>
      <c r="I629" s="136">
        <v>57.17</v>
      </c>
      <c r="J629" s="139">
        <v>4</v>
      </c>
      <c r="K629" s="138">
        <v>2</v>
      </c>
      <c r="M629" s="136">
        <v>34.35</v>
      </c>
      <c r="N629" s="139">
        <v>4</v>
      </c>
      <c r="O629" s="138">
        <v>2</v>
      </c>
      <c r="Q629" s="136">
        <v>57.46</v>
      </c>
      <c r="R629" s="139">
        <v>17</v>
      </c>
      <c r="S629" s="138">
        <v>99</v>
      </c>
      <c r="U629" s="136">
        <v>34.46</v>
      </c>
      <c r="V629" s="139">
        <v>10</v>
      </c>
      <c r="W629" s="138">
        <v>50</v>
      </c>
      <c r="Y629" s="136">
        <v>34.26</v>
      </c>
      <c r="Z629" s="139">
        <v>3</v>
      </c>
      <c r="AA629" s="138">
        <v>1</v>
      </c>
      <c r="AC629" s="136">
        <v>34.479999999999997</v>
      </c>
      <c r="AD629" s="139">
        <v>13</v>
      </c>
      <c r="AE629" s="138">
        <v>85</v>
      </c>
      <c r="AG629" s="136">
        <v>34.53</v>
      </c>
      <c r="AH629" s="137">
        <v>5</v>
      </c>
      <c r="AI629" s="138">
        <v>5</v>
      </c>
      <c r="AK629" s="136">
        <v>34.380000000000003</v>
      </c>
      <c r="AL629" s="139">
        <v>13</v>
      </c>
      <c r="AM629" s="138">
        <v>85</v>
      </c>
      <c r="AO629" s="136">
        <v>56.34</v>
      </c>
      <c r="AP629" s="139">
        <v>17</v>
      </c>
      <c r="AQ629" s="138">
        <v>99</v>
      </c>
      <c r="AS629" s="136">
        <v>34.28</v>
      </c>
      <c r="AT629" s="139">
        <v>4</v>
      </c>
      <c r="AU629" s="138">
        <v>2</v>
      </c>
      <c r="AW629" s="136">
        <v>56.49</v>
      </c>
      <c r="AX629" s="139">
        <v>17</v>
      </c>
      <c r="AY629" s="138">
        <v>99</v>
      </c>
      <c r="BA629" s="136">
        <v>35.130000000000003</v>
      </c>
      <c r="BB629" s="139">
        <v>3</v>
      </c>
      <c r="BC629" s="138">
        <v>1</v>
      </c>
    </row>
    <row r="630" spans="5:55" x14ac:dyDescent="0.3">
      <c r="E630" s="152">
        <v>35</v>
      </c>
      <c r="F630" s="153">
        <v>1</v>
      </c>
      <c r="G630" s="155" t="s">
        <v>862</v>
      </c>
      <c r="I630" s="136">
        <v>57.19</v>
      </c>
      <c r="J630" s="139">
        <v>5</v>
      </c>
      <c r="K630" s="138">
        <v>5</v>
      </c>
      <c r="M630" s="136">
        <v>34.369999999999997</v>
      </c>
      <c r="N630" s="139">
        <v>5</v>
      </c>
      <c r="O630" s="138">
        <v>5</v>
      </c>
      <c r="Q630" s="136">
        <v>57.47</v>
      </c>
      <c r="R630" s="139">
        <v>18</v>
      </c>
      <c r="S630" s="138" t="s">
        <v>884</v>
      </c>
      <c r="U630" s="136">
        <v>34.479999999999997</v>
      </c>
      <c r="V630" s="139">
        <v>11</v>
      </c>
      <c r="W630" s="138">
        <v>63</v>
      </c>
      <c r="Y630" s="136">
        <v>34.270000000000003</v>
      </c>
      <c r="Z630" s="139">
        <v>4</v>
      </c>
      <c r="AA630" s="138">
        <v>2</v>
      </c>
      <c r="AC630" s="136">
        <v>34.5</v>
      </c>
      <c r="AD630" s="139">
        <v>14</v>
      </c>
      <c r="AE630" s="138">
        <v>91</v>
      </c>
      <c r="AG630" s="136">
        <v>34.57</v>
      </c>
      <c r="AH630" s="137">
        <v>6</v>
      </c>
      <c r="AI630" s="138">
        <v>9</v>
      </c>
      <c r="AK630" s="136">
        <v>34.39</v>
      </c>
      <c r="AL630" s="139">
        <v>14</v>
      </c>
      <c r="AM630" s="138">
        <v>91</v>
      </c>
      <c r="AO630" s="136">
        <v>56.36</v>
      </c>
      <c r="AP630" s="139">
        <v>18</v>
      </c>
      <c r="AQ630" s="138" t="s">
        <v>884</v>
      </c>
      <c r="AS630" s="136">
        <v>34.31</v>
      </c>
      <c r="AT630" s="139">
        <v>5</v>
      </c>
      <c r="AU630" s="138">
        <v>5</v>
      </c>
      <c r="AW630" s="136">
        <v>56.51</v>
      </c>
      <c r="AX630" s="139">
        <v>18</v>
      </c>
      <c r="AY630" s="138" t="s">
        <v>884</v>
      </c>
      <c r="BA630" s="136">
        <v>35.15</v>
      </c>
      <c r="BB630" s="139">
        <v>4</v>
      </c>
      <c r="BC630" s="138">
        <v>2</v>
      </c>
    </row>
    <row r="631" spans="5:55" x14ac:dyDescent="0.3">
      <c r="E631" s="152">
        <v>35.28</v>
      </c>
      <c r="F631" s="153">
        <v>2</v>
      </c>
      <c r="G631" s="155" t="s">
        <v>862</v>
      </c>
      <c r="I631" s="136">
        <v>57.2</v>
      </c>
      <c r="J631" s="139">
        <v>6</v>
      </c>
      <c r="K631" s="138">
        <v>9</v>
      </c>
      <c r="M631" s="136">
        <v>34.39</v>
      </c>
      <c r="N631" s="139">
        <v>6</v>
      </c>
      <c r="O631" s="138">
        <v>9</v>
      </c>
      <c r="Q631" s="136">
        <v>57.49</v>
      </c>
      <c r="R631" s="139">
        <v>19</v>
      </c>
      <c r="S631" s="138" t="s">
        <v>884</v>
      </c>
      <c r="U631" s="136">
        <v>34.51</v>
      </c>
      <c r="V631" s="139">
        <v>12</v>
      </c>
      <c r="W631" s="138">
        <v>75</v>
      </c>
      <c r="Y631" s="136">
        <v>34.29</v>
      </c>
      <c r="Z631" s="139">
        <v>5</v>
      </c>
      <c r="AA631" s="138">
        <v>5</v>
      </c>
      <c r="AC631" s="136">
        <v>34.53</v>
      </c>
      <c r="AD631" s="139">
        <v>15</v>
      </c>
      <c r="AE631" s="138">
        <v>95</v>
      </c>
      <c r="AG631" s="136">
        <v>34.590000000000003</v>
      </c>
      <c r="AH631" s="137">
        <v>7</v>
      </c>
      <c r="AI631" s="138">
        <v>16</v>
      </c>
      <c r="AK631" s="136">
        <v>34.4</v>
      </c>
      <c r="AL631" s="139">
        <v>15</v>
      </c>
      <c r="AM631" s="138">
        <v>95</v>
      </c>
      <c r="AO631" s="136">
        <v>56.39</v>
      </c>
      <c r="AP631" s="139">
        <v>19</v>
      </c>
      <c r="AQ631" s="138" t="s">
        <v>884</v>
      </c>
      <c r="AS631" s="136">
        <v>34.33</v>
      </c>
      <c r="AT631" s="139">
        <v>6</v>
      </c>
      <c r="AU631" s="138">
        <v>9</v>
      </c>
      <c r="AW631" s="136">
        <v>56.55</v>
      </c>
      <c r="AX631" s="139">
        <v>19</v>
      </c>
      <c r="AY631" s="138" t="s">
        <v>884</v>
      </c>
      <c r="BA631" s="136">
        <v>35.17</v>
      </c>
      <c r="BB631" s="139">
        <v>5</v>
      </c>
      <c r="BC631" s="138">
        <v>5</v>
      </c>
    </row>
    <row r="632" spans="5:55" x14ac:dyDescent="0.3">
      <c r="E632" s="152">
        <v>35.299999999999997</v>
      </c>
      <c r="F632" s="153">
        <v>3</v>
      </c>
      <c r="G632" s="155" t="s">
        <v>876</v>
      </c>
      <c r="I632" s="136">
        <v>57.22</v>
      </c>
      <c r="J632" s="139">
        <v>7</v>
      </c>
      <c r="K632" s="138">
        <v>16</v>
      </c>
      <c r="M632" s="136">
        <v>34.409999999999997</v>
      </c>
      <c r="N632" s="139">
        <v>7</v>
      </c>
      <c r="O632" s="138">
        <v>16</v>
      </c>
      <c r="Q632" s="136">
        <v>58</v>
      </c>
      <c r="R632" s="139">
        <v>1</v>
      </c>
      <c r="S632" s="138" t="s">
        <v>883</v>
      </c>
      <c r="U632" s="136">
        <v>34.53</v>
      </c>
      <c r="V632" s="139">
        <v>13</v>
      </c>
      <c r="W632" s="138">
        <v>85</v>
      </c>
      <c r="Y632" s="136">
        <v>34.299999999999997</v>
      </c>
      <c r="Z632" s="139">
        <v>6</v>
      </c>
      <c r="AA632" s="138">
        <v>9</v>
      </c>
      <c r="AC632" s="136">
        <v>34.549999999999997</v>
      </c>
      <c r="AD632" s="139">
        <v>16</v>
      </c>
      <c r="AE632" s="138">
        <v>98</v>
      </c>
      <c r="AG632" s="136">
        <v>34.61</v>
      </c>
      <c r="AH632" s="137">
        <v>8</v>
      </c>
      <c r="AI632" s="138">
        <v>25</v>
      </c>
      <c r="AK632" s="136">
        <v>34.409999999999997</v>
      </c>
      <c r="AL632" s="139">
        <v>16</v>
      </c>
      <c r="AM632" s="138">
        <v>98</v>
      </c>
      <c r="AO632" s="136">
        <v>57</v>
      </c>
      <c r="AP632" s="139">
        <v>1</v>
      </c>
      <c r="AQ632" s="138" t="s">
        <v>883</v>
      </c>
      <c r="AS632" s="136">
        <v>34.35</v>
      </c>
      <c r="AT632" s="139">
        <v>7</v>
      </c>
      <c r="AU632" s="138">
        <v>16</v>
      </c>
      <c r="AW632" s="136">
        <v>57</v>
      </c>
      <c r="AX632" s="139">
        <v>1</v>
      </c>
      <c r="AY632" s="138" t="s">
        <v>883</v>
      </c>
      <c r="BA632" s="136">
        <v>35.19</v>
      </c>
      <c r="BB632" s="139">
        <v>6</v>
      </c>
      <c r="BC632" s="138">
        <v>9</v>
      </c>
    </row>
    <row r="633" spans="5:55" x14ac:dyDescent="0.3">
      <c r="E633" s="152">
        <v>35.32</v>
      </c>
      <c r="F633" s="153">
        <v>4</v>
      </c>
      <c r="G633" s="155" t="s">
        <v>863</v>
      </c>
      <c r="I633" s="136">
        <v>57.24</v>
      </c>
      <c r="J633" s="139">
        <v>8</v>
      </c>
      <c r="K633" s="138">
        <v>25</v>
      </c>
      <c r="M633" s="136">
        <v>34.44</v>
      </c>
      <c r="N633" s="139">
        <v>8</v>
      </c>
      <c r="O633" s="138">
        <v>25</v>
      </c>
      <c r="Q633" s="136">
        <v>58.18</v>
      </c>
      <c r="R633" s="139">
        <v>2</v>
      </c>
      <c r="S633" s="138" t="s">
        <v>883</v>
      </c>
      <c r="U633" s="136">
        <v>34.56</v>
      </c>
      <c r="V633" s="139">
        <v>14</v>
      </c>
      <c r="W633" s="138">
        <v>91</v>
      </c>
      <c r="Y633" s="136">
        <v>34.32</v>
      </c>
      <c r="Z633" s="139">
        <v>7</v>
      </c>
      <c r="AA633" s="138">
        <v>16</v>
      </c>
      <c r="AC633" s="136">
        <v>34.57</v>
      </c>
      <c r="AD633" s="139">
        <v>17</v>
      </c>
      <c r="AE633" s="138">
        <v>99</v>
      </c>
      <c r="AG633" s="136">
        <v>34.630000000000003</v>
      </c>
      <c r="AH633" s="137">
        <v>9</v>
      </c>
      <c r="AI633" s="138">
        <v>37</v>
      </c>
      <c r="AK633" s="136">
        <v>34.42</v>
      </c>
      <c r="AL633" s="139">
        <v>17</v>
      </c>
      <c r="AM633" s="138">
        <v>99</v>
      </c>
      <c r="AO633" s="136">
        <v>57.16</v>
      </c>
      <c r="AP633" s="139">
        <v>2</v>
      </c>
      <c r="AQ633" s="138" t="s">
        <v>883</v>
      </c>
      <c r="AS633" s="136">
        <v>34.36</v>
      </c>
      <c r="AT633" s="139">
        <v>8</v>
      </c>
      <c r="AU633" s="138">
        <v>25</v>
      </c>
      <c r="AW633" s="136">
        <v>57.17</v>
      </c>
      <c r="AX633" s="139">
        <v>2</v>
      </c>
      <c r="AY633" s="138" t="s">
        <v>883</v>
      </c>
      <c r="BA633" s="136">
        <v>35.200000000000003</v>
      </c>
      <c r="BB633" s="139">
        <v>7</v>
      </c>
      <c r="BC633" s="138">
        <v>16</v>
      </c>
    </row>
    <row r="634" spans="5:55" x14ac:dyDescent="0.3">
      <c r="E634" s="152">
        <v>35.340000000000003</v>
      </c>
      <c r="F634" s="153">
        <v>5</v>
      </c>
      <c r="G634" s="155" t="s">
        <v>877</v>
      </c>
      <c r="I634" s="136">
        <v>57.25</v>
      </c>
      <c r="J634" s="139">
        <v>9</v>
      </c>
      <c r="K634" s="138">
        <v>37</v>
      </c>
      <c r="M634" s="136">
        <v>34.46</v>
      </c>
      <c r="N634" s="139">
        <v>9</v>
      </c>
      <c r="O634" s="138">
        <v>37</v>
      </c>
      <c r="Q634" s="136">
        <v>58.24</v>
      </c>
      <c r="R634" s="139">
        <v>3</v>
      </c>
      <c r="S634" s="138">
        <v>1</v>
      </c>
      <c r="U634" s="136">
        <v>34.58</v>
      </c>
      <c r="V634" s="139">
        <v>15</v>
      </c>
      <c r="W634" s="138">
        <v>95</v>
      </c>
      <c r="Y634" s="136">
        <v>34.33</v>
      </c>
      <c r="Z634" s="139">
        <v>8</v>
      </c>
      <c r="AA634" s="138">
        <v>25</v>
      </c>
      <c r="AC634" s="136">
        <v>34.590000000000003</v>
      </c>
      <c r="AD634" s="139">
        <v>18</v>
      </c>
      <c r="AE634" s="138" t="s">
        <v>884</v>
      </c>
      <c r="AG634" s="136">
        <v>34.65</v>
      </c>
      <c r="AH634" s="137">
        <v>10</v>
      </c>
      <c r="AI634" s="138">
        <v>50</v>
      </c>
      <c r="AK634" s="136">
        <v>34.43</v>
      </c>
      <c r="AL634" s="139">
        <v>18</v>
      </c>
      <c r="AM634" s="138" t="s">
        <v>884</v>
      </c>
      <c r="AO634" s="136">
        <v>57.18</v>
      </c>
      <c r="AP634" s="139">
        <v>3</v>
      </c>
      <c r="AQ634" s="138">
        <v>1</v>
      </c>
      <c r="AS634" s="136">
        <v>34.380000000000003</v>
      </c>
      <c r="AT634" s="139">
        <v>9</v>
      </c>
      <c r="AU634" s="138">
        <v>37</v>
      </c>
      <c r="AW634" s="136">
        <v>57.19</v>
      </c>
      <c r="AX634" s="139">
        <v>3</v>
      </c>
      <c r="AY634" s="138">
        <v>1</v>
      </c>
      <c r="BA634" s="136">
        <v>35.21</v>
      </c>
      <c r="BB634" s="139">
        <v>8</v>
      </c>
      <c r="BC634" s="138">
        <v>25</v>
      </c>
    </row>
    <row r="635" spans="5:55" x14ac:dyDescent="0.3">
      <c r="E635" s="152">
        <v>35.369999999999997</v>
      </c>
      <c r="F635" s="153">
        <v>6</v>
      </c>
      <c r="G635" s="155" t="s">
        <v>864</v>
      </c>
      <c r="I635" s="136">
        <v>57.27</v>
      </c>
      <c r="J635" s="139">
        <v>10</v>
      </c>
      <c r="K635" s="138">
        <v>50</v>
      </c>
      <c r="M635" s="136">
        <v>34.47</v>
      </c>
      <c r="N635" s="139">
        <v>10</v>
      </c>
      <c r="O635" s="138">
        <v>50</v>
      </c>
      <c r="Q635" s="136">
        <v>58.26</v>
      </c>
      <c r="R635" s="139">
        <v>4</v>
      </c>
      <c r="S635" s="138">
        <v>2</v>
      </c>
      <c r="U635" s="136">
        <v>34.6</v>
      </c>
      <c r="V635" s="139">
        <v>16</v>
      </c>
      <c r="W635" s="138">
        <v>98</v>
      </c>
      <c r="Y635" s="136">
        <v>34.340000000000003</v>
      </c>
      <c r="Z635" s="139">
        <v>9</v>
      </c>
      <c r="AA635" s="138">
        <v>37</v>
      </c>
      <c r="AC635" s="136">
        <v>34.64</v>
      </c>
      <c r="AD635" s="139">
        <v>19</v>
      </c>
      <c r="AE635" s="138" t="s">
        <v>884</v>
      </c>
      <c r="AG635" s="136">
        <v>34.67</v>
      </c>
      <c r="AH635" s="137">
        <v>11</v>
      </c>
      <c r="AI635" s="138">
        <v>63</v>
      </c>
      <c r="AK635" s="136">
        <v>34.450000000000003</v>
      </c>
      <c r="AL635" s="139">
        <v>19</v>
      </c>
      <c r="AM635" s="138" t="s">
        <v>884</v>
      </c>
      <c r="AO635" s="136">
        <v>57.19</v>
      </c>
      <c r="AP635" s="139">
        <v>4</v>
      </c>
      <c r="AQ635" s="138">
        <v>2</v>
      </c>
      <c r="AS635" s="136">
        <v>34.4</v>
      </c>
      <c r="AT635" s="139">
        <v>10</v>
      </c>
      <c r="AU635" s="138">
        <v>50</v>
      </c>
      <c r="AW635" s="136">
        <v>57.21</v>
      </c>
      <c r="AX635" s="139">
        <v>4</v>
      </c>
      <c r="AY635" s="138">
        <v>2</v>
      </c>
      <c r="BA635" s="136">
        <v>35.229999999999997</v>
      </c>
      <c r="BB635" s="139">
        <v>9</v>
      </c>
      <c r="BC635" s="138">
        <v>37</v>
      </c>
    </row>
    <row r="636" spans="5:55" x14ac:dyDescent="0.3">
      <c r="E636" s="152">
        <v>35.4</v>
      </c>
      <c r="F636" s="153">
        <v>7</v>
      </c>
      <c r="G636" s="155" t="s">
        <v>878</v>
      </c>
      <c r="I636" s="136">
        <v>57.28</v>
      </c>
      <c r="J636" s="139">
        <v>11</v>
      </c>
      <c r="K636" s="138">
        <v>63</v>
      </c>
      <c r="M636" s="136">
        <v>34.479999999999997</v>
      </c>
      <c r="N636" s="139">
        <v>11</v>
      </c>
      <c r="O636" s="138">
        <v>63</v>
      </c>
      <c r="Q636" s="136">
        <v>58.28</v>
      </c>
      <c r="R636" s="139">
        <v>5</v>
      </c>
      <c r="S636" s="138">
        <v>5</v>
      </c>
      <c r="U636" s="136">
        <v>34.630000000000003</v>
      </c>
      <c r="V636" s="139">
        <v>17</v>
      </c>
      <c r="W636" s="138">
        <v>99</v>
      </c>
      <c r="Y636" s="136">
        <v>34.35</v>
      </c>
      <c r="Z636" s="139">
        <v>10</v>
      </c>
      <c r="AA636" s="138">
        <v>50</v>
      </c>
      <c r="AC636" s="136">
        <v>35</v>
      </c>
      <c r="AD636" s="139">
        <v>1</v>
      </c>
      <c r="AE636" s="138" t="s">
        <v>883</v>
      </c>
      <c r="AG636" s="136">
        <v>34.69</v>
      </c>
      <c r="AH636" s="137">
        <v>12</v>
      </c>
      <c r="AI636" s="138">
        <v>75</v>
      </c>
      <c r="AK636" s="136">
        <v>35</v>
      </c>
      <c r="AL636" s="139">
        <v>1</v>
      </c>
      <c r="AM636" s="138" t="s">
        <v>883</v>
      </c>
      <c r="AO636" s="136">
        <v>57.21</v>
      </c>
      <c r="AP636" s="139">
        <v>5</v>
      </c>
      <c r="AQ636" s="138">
        <v>5</v>
      </c>
      <c r="AS636" s="136">
        <v>34.409999999999997</v>
      </c>
      <c r="AT636" s="139">
        <v>11</v>
      </c>
      <c r="AU636" s="138">
        <v>63</v>
      </c>
      <c r="AW636" s="136">
        <v>57.24</v>
      </c>
      <c r="AX636" s="139">
        <v>5</v>
      </c>
      <c r="AY636" s="138">
        <v>5</v>
      </c>
      <c r="BA636" s="136">
        <v>35.24</v>
      </c>
      <c r="BB636" s="139">
        <v>10</v>
      </c>
      <c r="BC636" s="138">
        <v>50</v>
      </c>
    </row>
    <row r="637" spans="5:55" x14ac:dyDescent="0.3">
      <c r="E637" s="152">
        <v>35.42</v>
      </c>
      <c r="F637" s="153">
        <v>8</v>
      </c>
      <c r="G637" s="155" t="s">
        <v>865</v>
      </c>
      <c r="I637" s="136">
        <v>57.29</v>
      </c>
      <c r="J637" s="139">
        <v>12</v>
      </c>
      <c r="K637" s="138">
        <v>75</v>
      </c>
      <c r="M637" s="136">
        <v>34.49</v>
      </c>
      <c r="N637" s="139">
        <v>12</v>
      </c>
      <c r="O637" s="138">
        <v>75</v>
      </c>
      <c r="Q637" s="136">
        <v>58.3</v>
      </c>
      <c r="R637" s="139">
        <v>6</v>
      </c>
      <c r="S637" s="138">
        <v>9</v>
      </c>
      <c r="U637" s="136">
        <v>34.659999999999997</v>
      </c>
      <c r="V637" s="139">
        <v>18</v>
      </c>
      <c r="W637" s="138" t="s">
        <v>884</v>
      </c>
      <c r="Y637" s="136">
        <v>34.36</v>
      </c>
      <c r="Z637" s="139">
        <v>11</v>
      </c>
      <c r="AA637" s="138">
        <v>63</v>
      </c>
      <c r="AC637" s="136">
        <v>35.24</v>
      </c>
      <c r="AD637" s="139">
        <v>2</v>
      </c>
      <c r="AE637" s="138" t="s">
        <v>883</v>
      </c>
      <c r="AG637" s="136">
        <v>34.700000000000003</v>
      </c>
      <c r="AH637" s="137">
        <v>13</v>
      </c>
      <c r="AI637" s="138">
        <v>85</v>
      </c>
      <c r="AK637" s="136">
        <v>35.24</v>
      </c>
      <c r="AL637" s="139">
        <v>2</v>
      </c>
      <c r="AM637" s="138" t="s">
        <v>883</v>
      </c>
      <c r="AO637" s="136">
        <v>57.22</v>
      </c>
      <c r="AP637" s="139">
        <v>6</v>
      </c>
      <c r="AQ637" s="138">
        <v>9</v>
      </c>
      <c r="AS637" s="136">
        <v>34.43</v>
      </c>
      <c r="AT637" s="139">
        <v>12</v>
      </c>
      <c r="AU637" s="138">
        <v>75</v>
      </c>
      <c r="AW637" s="136">
        <v>57.26</v>
      </c>
      <c r="AX637" s="139">
        <v>6</v>
      </c>
      <c r="AY637" s="138">
        <v>9</v>
      </c>
      <c r="BA637" s="136">
        <v>35.25</v>
      </c>
      <c r="BB637" s="139">
        <v>11</v>
      </c>
      <c r="BC637" s="138">
        <v>63</v>
      </c>
    </row>
    <row r="638" spans="5:55" x14ac:dyDescent="0.3">
      <c r="E638" s="152">
        <v>35.44</v>
      </c>
      <c r="F638" s="153">
        <v>9</v>
      </c>
      <c r="G638" s="155" t="s">
        <v>879</v>
      </c>
      <c r="I638" s="136">
        <v>57.31</v>
      </c>
      <c r="J638" s="139">
        <v>13</v>
      </c>
      <c r="K638" s="138">
        <v>85</v>
      </c>
      <c r="M638" s="136">
        <v>34.5</v>
      </c>
      <c r="N638" s="139">
        <v>13</v>
      </c>
      <c r="O638" s="138">
        <v>85</v>
      </c>
      <c r="Q638" s="136">
        <v>58.32</v>
      </c>
      <c r="R638" s="139">
        <v>7</v>
      </c>
      <c r="S638" s="138">
        <v>16</v>
      </c>
      <c r="U638" s="136">
        <v>34.69</v>
      </c>
      <c r="V638" s="139">
        <v>19</v>
      </c>
      <c r="W638" s="138" t="s">
        <v>884</v>
      </c>
      <c r="Y638" s="136">
        <v>34.380000000000003</v>
      </c>
      <c r="Z638" s="139">
        <v>12</v>
      </c>
      <c r="AA638" s="138">
        <v>75</v>
      </c>
      <c r="AC638" s="136">
        <v>35.26</v>
      </c>
      <c r="AD638" s="139">
        <v>3</v>
      </c>
      <c r="AE638" s="138">
        <v>1</v>
      </c>
      <c r="AG638" s="136">
        <v>34.72</v>
      </c>
      <c r="AH638" s="137">
        <v>14</v>
      </c>
      <c r="AI638" s="138">
        <v>91</v>
      </c>
      <c r="AK638" s="136">
        <v>35.25</v>
      </c>
      <c r="AL638" s="139">
        <v>3</v>
      </c>
      <c r="AM638" s="138">
        <v>1</v>
      </c>
      <c r="AO638" s="136">
        <v>57.24</v>
      </c>
      <c r="AP638" s="139">
        <v>7</v>
      </c>
      <c r="AQ638" s="138">
        <v>16</v>
      </c>
      <c r="AS638" s="136">
        <v>34.44</v>
      </c>
      <c r="AT638" s="139">
        <v>13</v>
      </c>
      <c r="AU638" s="138">
        <v>85</v>
      </c>
      <c r="AW638" s="136">
        <v>57.28</v>
      </c>
      <c r="AX638" s="139">
        <v>7</v>
      </c>
      <c r="AY638" s="138">
        <v>16</v>
      </c>
      <c r="BA638" s="136">
        <v>35.270000000000003</v>
      </c>
      <c r="BB638" s="139">
        <v>12</v>
      </c>
      <c r="BC638" s="138">
        <v>75</v>
      </c>
    </row>
    <row r="639" spans="5:55" x14ac:dyDescent="0.3">
      <c r="E639" s="152">
        <v>35.46</v>
      </c>
      <c r="F639" s="153">
        <v>10</v>
      </c>
      <c r="G639" s="155" t="s">
        <v>866</v>
      </c>
      <c r="I639" s="136">
        <v>57.33</v>
      </c>
      <c r="J639" s="139">
        <v>14</v>
      </c>
      <c r="K639" s="138">
        <v>91</v>
      </c>
      <c r="M639" s="136">
        <v>34.51</v>
      </c>
      <c r="N639" s="139">
        <v>14</v>
      </c>
      <c r="O639" s="138">
        <v>91</v>
      </c>
      <c r="Q639" s="136">
        <v>58.34</v>
      </c>
      <c r="R639" s="139">
        <v>8</v>
      </c>
      <c r="S639" s="138">
        <v>25</v>
      </c>
      <c r="U639" s="136">
        <v>35</v>
      </c>
      <c r="V639" s="139">
        <v>1</v>
      </c>
      <c r="W639" s="138" t="s">
        <v>883</v>
      </c>
      <c r="Y639" s="136">
        <v>34.4</v>
      </c>
      <c r="Z639" s="139">
        <v>13</v>
      </c>
      <c r="AA639" s="138">
        <v>85</v>
      </c>
      <c r="AC639" s="136">
        <v>35.28</v>
      </c>
      <c r="AD639" s="139">
        <v>4</v>
      </c>
      <c r="AE639" s="138">
        <v>2</v>
      </c>
      <c r="AG639" s="136">
        <v>34.729999999999997</v>
      </c>
      <c r="AH639" s="137">
        <v>15</v>
      </c>
      <c r="AI639" s="138">
        <v>95</v>
      </c>
      <c r="AK639" s="136">
        <v>35.26</v>
      </c>
      <c r="AL639" s="139">
        <v>4</v>
      </c>
      <c r="AM639" s="138">
        <v>2</v>
      </c>
      <c r="AO639" s="136">
        <v>57.25</v>
      </c>
      <c r="AP639" s="139">
        <v>8</v>
      </c>
      <c r="AQ639" s="138">
        <v>25</v>
      </c>
      <c r="AS639" s="136">
        <v>34.450000000000003</v>
      </c>
      <c r="AT639" s="139">
        <v>14</v>
      </c>
      <c r="AU639" s="138">
        <v>91</v>
      </c>
      <c r="AW639" s="136">
        <v>57.3</v>
      </c>
      <c r="AX639" s="139">
        <v>8</v>
      </c>
      <c r="AY639" s="138">
        <v>25</v>
      </c>
      <c r="BA639" s="136">
        <v>35.28</v>
      </c>
      <c r="BB639" s="139">
        <v>13</v>
      </c>
      <c r="BC639" s="138">
        <v>85</v>
      </c>
    </row>
    <row r="640" spans="5:55" x14ac:dyDescent="0.3">
      <c r="E640" s="152">
        <v>35.479999999999997</v>
      </c>
      <c r="F640" s="153">
        <v>11</v>
      </c>
      <c r="G640" s="155" t="s">
        <v>867</v>
      </c>
      <c r="I640" s="136">
        <v>57.35</v>
      </c>
      <c r="J640" s="139">
        <v>15</v>
      </c>
      <c r="K640" s="138">
        <v>95</v>
      </c>
      <c r="M640" s="136">
        <v>34.520000000000003</v>
      </c>
      <c r="N640" s="139">
        <v>15</v>
      </c>
      <c r="O640" s="138">
        <v>95</v>
      </c>
      <c r="Q640" s="136">
        <v>58.37</v>
      </c>
      <c r="R640" s="139">
        <v>9</v>
      </c>
      <c r="S640" s="138">
        <v>37</v>
      </c>
      <c r="U640" s="136">
        <v>35.200000000000003</v>
      </c>
      <c r="V640" s="139">
        <v>2</v>
      </c>
      <c r="W640" s="138" t="s">
        <v>883</v>
      </c>
      <c r="Y640" s="136">
        <v>34.409999999999997</v>
      </c>
      <c r="Z640" s="139">
        <v>14</v>
      </c>
      <c r="AA640" s="138">
        <v>91</v>
      </c>
      <c r="AC640" s="136">
        <v>35.299999999999997</v>
      </c>
      <c r="AD640" s="139">
        <v>5</v>
      </c>
      <c r="AE640" s="138">
        <v>5</v>
      </c>
      <c r="AG640" s="136">
        <v>34.75</v>
      </c>
      <c r="AH640" s="137">
        <v>16</v>
      </c>
      <c r="AI640" s="138">
        <v>98</v>
      </c>
      <c r="AK640" s="136">
        <v>35.270000000000003</v>
      </c>
      <c r="AL640" s="139">
        <v>5</v>
      </c>
      <c r="AM640" s="138">
        <v>5</v>
      </c>
      <c r="AO640" s="136">
        <v>57.27</v>
      </c>
      <c r="AP640" s="139">
        <v>9</v>
      </c>
      <c r="AQ640" s="138">
        <v>37</v>
      </c>
      <c r="AS640" s="136">
        <v>34.46</v>
      </c>
      <c r="AT640" s="139">
        <v>15</v>
      </c>
      <c r="AU640" s="138">
        <v>95</v>
      </c>
      <c r="AW640" s="136">
        <v>57.33</v>
      </c>
      <c r="AX640" s="139">
        <v>9</v>
      </c>
      <c r="AY640" s="138">
        <v>37</v>
      </c>
      <c r="BA640" s="136">
        <v>35.29</v>
      </c>
      <c r="BB640" s="139">
        <v>14</v>
      </c>
      <c r="BC640" s="138">
        <v>91</v>
      </c>
    </row>
    <row r="641" spans="5:55" x14ac:dyDescent="0.3">
      <c r="E641" s="152">
        <v>35.5</v>
      </c>
      <c r="F641" s="153">
        <v>12</v>
      </c>
      <c r="G641" s="155" t="s">
        <v>868</v>
      </c>
      <c r="I641" s="136">
        <v>57.37</v>
      </c>
      <c r="J641" s="139">
        <v>16</v>
      </c>
      <c r="K641" s="138">
        <v>98</v>
      </c>
      <c r="M641" s="136">
        <v>34.54</v>
      </c>
      <c r="N641" s="139">
        <v>16</v>
      </c>
      <c r="O641" s="138">
        <v>98</v>
      </c>
      <c r="Q641" s="136">
        <v>58.39</v>
      </c>
      <c r="R641" s="139">
        <v>10</v>
      </c>
      <c r="S641" s="138">
        <v>50</v>
      </c>
      <c r="U641" s="136">
        <v>35.229999999999997</v>
      </c>
      <c r="V641" s="139">
        <v>3</v>
      </c>
      <c r="W641" s="138">
        <v>1</v>
      </c>
      <c r="Y641" s="136">
        <v>34.42</v>
      </c>
      <c r="Z641" s="139">
        <v>15</v>
      </c>
      <c r="AA641" s="138">
        <v>95</v>
      </c>
      <c r="AC641" s="136">
        <v>35.32</v>
      </c>
      <c r="AD641" s="139">
        <v>6</v>
      </c>
      <c r="AE641" s="138">
        <v>9</v>
      </c>
      <c r="AG641" s="136">
        <v>34.76</v>
      </c>
      <c r="AH641" s="137">
        <v>17</v>
      </c>
      <c r="AI641" s="138">
        <v>99</v>
      </c>
      <c r="AK641" s="136">
        <v>35.29</v>
      </c>
      <c r="AL641" s="139">
        <v>6</v>
      </c>
      <c r="AM641" s="138">
        <v>9</v>
      </c>
      <c r="AO641" s="136">
        <v>57.28</v>
      </c>
      <c r="AP641" s="139">
        <v>10</v>
      </c>
      <c r="AQ641" s="138">
        <v>50</v>
      </c>
      <c r="AS641" s="136">
        <v>34.479999999999997</v>
      </c>
      <c r="AT641" s="139">
        <v>16</v>
      </c>
      <c r="AU641" s="138">
        <v>98</v>
      </c>
      <c r="AW641" s="136">
        <v>57.35</v>
      </c>
      <c r="AX641" s="139">
        <v>10</v>
      </c>
      <c r="AY641" s="138">
        <v>50</v>
      </c>
      <c r="BA641" s="136">
        <v>35.31</v>
      </c>
      <c r="BB641" s="139">
        <v>15</v>
      </c>
      <c r="BC641" s="138">
        <v>95</v>
      </c>
    </row>
    <row r="642" spans="5:55" x14ac:dyDescent="0.3">
      <c r="E642" s="152">
        <v>35.520000000000003</v>
      </c>
      <c r="F642" s="153">
        <v>13</v>
      </c>
      <c r="G642" s="155" t="s">
        <v>869</v>
      </c>
      <c r="I642" s="136">
        <v>57.39</v>
      </c>
      <c r="J642" s="139">
        <v>17</v>
      </c>
      <c r="K642" s="138">
        <v>99</v>
      </c>
      <c r="M642" s="136">
        <v>34.549999999999997</v>
      </c>
      <c r="N642" s="139">
        <v>17</v>
      </c>
      <c r="O642" s="138">
        <v>99</v>
      </c>
      <c r="Q642" s="136">
        <v>58.4</v>
      </c>
      <c r="R642" s="139">
        <v>11</v>
      </c>
      <c r="S642" s="138">
        <v>63</v>
      </c>
      <c r="U642" s="136">
        <v>35.26</v>
      </c>
      <c r="V642" s="139">
        <v>4</v>
      </c>
      <c r="W642" s="138">
        <v>2</v>
      </c>
      <c r="Y642" s="136">
        <v>34.43</v>
      </c>
      <c r="Z642" s="139">
        <v>16</v>
      </c>
      <c r="AA642" s="138">
        <v>98</v>
      </c>
      <c r="AC642" s="136">
        <v>35.35</v>
      </c>
      <c r="AD642" s="139">
        <v>7</v>
      </c>
      <c r="AE642" s="138">
        <v>16</v>
      </c>
      <c r="AG642" s="136">
        <v>34.78</v>
      </c>
      <c r="AH642" s="137">
        <v>18</v>
      </c>
      <c r="AI642" s="138" t="s">
        <v>884</v>
      </c>
      <c r="AK642" s="136">
        <v>35.299999999999997</v>
      </c>
      <c r="AL642" s="139">
        <v>7</v>
      </c>
      <c r="AM642" s="138">
        <v>16</v>
      </c>
      <c r="AO642" s="136">
        <v>57.29</v>
      </c>
      <c r="AP642" s="139">
        <v>11</v>
      </c>
      <c r="AQ642" s="138">
        <v>63</v>
      </c>
      <c r="AS642" s="136">
        <v>34.5</v>
      </c>
      <c r="AT642" s="139">
        <v>17</v>
      </c>
      <c r="AU642" s="138">
        <v>99</v>
      </c>
      <c r="AW642" s="136">
        <v>57.37</v>
      </c>
      <c r="AX642" s="139">
        <v>11</v>
      </c>
      <c r="AY642" s="138">
        <v>63</v>
      </c>
      <c r="BA642" s="136">
        <v>35.32</v>
      </c>
      <c r="BB642" s="139">
        <v>16</v>
      </c>
      <c r="BC642" s="138">
        <v>98</v>
      </c>
    </row>
    <row r="643" spans="5:55" x14ac:dyDescent="0.3">
      <c r="E643" s="152">
        <v>35.54</v>
      </c>
      <c r="F643" s="153">
        <v>14</v>
      </c>
      <c r="G643" s="155" t="s">
        <v>870</v>
      </c>
      <c r="I643" s="136">
        <v>57.4</v>
      </c>
      <c r="J643" s="139">
        <v>18</v>
      </c>
      <c r="K643" s="138" t="s">
        <v>884</v>
      </c>
      <c r="M643" s="136">
        <v>34.56</v>
      </c>
      <c r="N643" s="139">
        <v>18</v>
      </c>
      <c r="O643" s="138" t="s">
        <v>884</v>
      </c>
      <c r="Q643" s="136">
        <v>58.41</v>
      </c>
      <c r="R643" s="139">
        <v>12</v>
      </c>
      <c r="S643" s="138">
        <v>75</v>
      </c>
      <c r="U643" s="136">
        <v>35.28</v>
      </c>
      <c r="V643" s="139">
        <v>5</v>
      </c>
      <c r="W643" s="138">
        <v>5</v>
      </c>
      <c r="Y643" s="136">
        <v>34.450000000000003</v>
      </c>
      <c r="Z643" s="139">
        <v>17</v>
      </c>
      <c r="AA643" s="138">
        <v>99</v>
      </c>
      <c r="AC643" s="136">
        <v>35.369999999999997</v>
      </c>
      <c r="AD643" s="139">
        <v>8</v>
      </c>
      <c r="AE643" s="138">
        <v>25</v>
      </c>
      <c r="AG643" s="136">
        <v>34.799999999999997</v>
      </c>
      <c r="AH643" s="137">
        <v>19</v>
      </c>
      <c r="AI643" s="138" t="s">
        <v>884</v>
      </c>
      <c r="AK643" s="136">
        <v>35.31</v>
      </c>
      <c r="AL643" s="139">
        <v>8</v>
      </c>
      <c r="AM643" s="138">
        <v>25</v>
      </c>
      <c r="AO643" s="136">
        <v>57.3</v>
      </c>
      <c r="AP643" s="139">
        <v>12</v>
      </c>
      <c r="AQ643" s="138">
        <v>75</v>
      </c>
      <c r="AS643" s="136">
        <v>34.51</v>
      </c>
      <c r="AT643" s="139">
        <v>18</v>
      </c>
      <c r="AU643" s="138" t="s">
        <v>884</v>
      </c>
      <c r="AW643" s="136">
        <v>57.39</v>
      </c>
      <c r="AX643" s="139">
        <v>12</v>
      </c>
      <c r="AY643" s="138">
        <v>75</v>
      </c>
      <c r="BA643" s="136">
        <v>35.33</v>
      </c>
      <c r="BB643" s="139">
        <v>17</v>
      </c>
      <c r="BC643" s="138">
        <v>99</v>
      </c>
    </row>
    <row r="644" spans="5:55" x14ac:dyDescent="0.3">
      <c r="E644" s="152">
        <v>35.549999999999997</v>
      </c>
      <c r="F644" s="153">
        <v>15</v>
      </c>
      <c r="G644" s="155" t="s">
        <v>871</v>
      </c>
      <c r="I644" s="136">
        <v>57.43</v>
      </c>
      <c r="J644" s="139">
        <v>19</v>
      </c>
      <c r="K644" s="138" t="s">
        <v>884</v>
      </c>
      <c r="M644" s="136">
        <v>34.57</v>
      </c>
      <c r="N644" s="139">
        <v>19</v>
      </c>
      <c r="O644" s="138" t="s">
        <v>884</v>
      </c>
      <c r="Q644" s="136">
        <v>58.42</v>
      </c>
      <c r="R644" s="139">
        <v>13</v>
      </c>
      <c r="S644" s="138">
        <v>85</v>
      </c>
      <c r="U644" s="136">
        <v>35.33</v>
      </c>
      <c r="V644" s="139">
        <v>6</v>
      </c>
      <c r="W644" s="138">
        <v>9</v>
      </c>
      <c r="Y644" s="136">
        <v>34.46</v>
      </c>
      <c r="Z644" s="139">
        <v>18</v>
      </c>
      <c r="AA644" s="138" t="s">
        <v>884</v>
      </c>
      <c r="AC644" s="136">
        <v>35.39</v>
      </c>
      <c r="AD644" s="139">
        <v>9</v>
      </c>
      <c r="AE644" s="138">
        <v>37</v>
      </c>
      <c r="AG644" s="136">
        <v>35</v>
      </c>
      <c r="AH644" s="137">
        <v>1</v>
      </c>
      <c r="AI644" s="138" t="s">
        <v>883</v>
      </c>
      <c r="AK644" s="136">
        <v>35.33</v>
      </c>
      <c r="AL644" s="139">
        <v>9</v>
      </c>
      <c r="AM644" s="138">
        <v>37</v>
      </c>
      <c r="AO644" s="136">
        <v>57.32</v>
      </c>
      <c r="AP644" s="139">
        <v>13</v>
      </c>
      <c r="AQ644" s="138">
        <v>85</v>
      </c>
      <c r="AS644" s="136">
        <v>34.53</v>
      </c>
      <c r="AT644" s="139">
        <v>19</v>
      </c>
      <c r="AU644" s="138" t="s">
        <v>884</v>
      </c>
      <c r="AW644" s="136">
        <v>57.42</v>
      </c>
      <c r="AX644" s="139">
        <v>13</v>
      </c>
      <c r="AY644" s="138">
        <v>85</v>
      </c>
      <c r="BA644" s="136">
        <v>35.35</v>
      </c>
      <c r="BB644" s="139">
        <v>18</v>
      </c>
      <c r="BC644" s="138" t="s">
        <v>884</v>
      </c>
    </row>
    <row r="645" spans="5:55" x14ac:dyDescent="0.3">
      <c r="E645" s="152">
        <v>35.57</v>
      </c>
      <c r="F645" s="153">
        <v>16</v>
      </c>
      <c r="G645" s="155" t="s">
        <v>872</v>
      </c>
      <c r="I645" s="136">
        <v>58</v>
      </c>
      <c r="J645" s="139">
        <v>1</v>
      </c>
      <c r="K645" s="138" t="s">
        <v>883</v>
      </c>
      <c r="M645" s="136">
        <v>35</v>
      </c>
      <c r="N645" s="139">
        <v>1</v>
      </c>
      <c r="O645" s="138" t="s">
        <v>883</v>
      </c>
      <c r="Q645" s="136">
        <v>58.43</v>
      </c>
      <c r="R645" s="139">
        <v>14</v>
      </c>
      <c r="S645" s="138">
        <v>91</v>
      </c>
      <c r="U645" s="136">
        <v>35.369999999999997</v>
      </c>
      <c r="V645" s="139">
        <v>7</v>
      </c>
      <c r="W645" s="138">
        <v>16</v>
      </c>
      <c r="Y645" s="136">
        <v>34.5</v>
      </c>
      <c r="Z645" s="139">
        <v>19</v>
      </c>
      <c r="AA645" s="138" t="s">
        <v>884</v>
      </c>
      <c r="AC645" s="136">
        <v>35.409999999999997</v>
      </c>
      <c r="AD645" s="139">
        <v>10</v>
      </c>
      <c r="AE645" s="138">
        <v>50</v>
      </c>
      <c r="AG645" s="136">
        <v>35.47</v>
      </c>
      <c r="AH645" s="137">
        <v>2</v>
      </c>
      <c r="AI645" s="138" t="s">
        <v>883</v>
      </c>
      <c r="AK645" s="136">
        <v>35.340000000000003</v>
      </c>
      <c r="AL645" s="139">
        <v>10</v>
      </c>
      <c r="AM645" s="138">
        <v>50</v>
      </c>
      <c r="AO645" s="136">
        <v>57.33</v>
      </c>
      <c r="AP645" s="139">
        <v>14</v>
      </c>
      <c r="AQ645" s="138">
        <v>91</v>
      </c>
      <c r="AS645" s="136">
        <v>35</v>
      </c>
      <c r="AT645" s="139">
        <v>1</v>
      </c>
      <c r="AU645" s="138" t="s">
        <v>883</v>
      </c>
      <c r="AW645" s="136">
        <v>57.44</v>
      </c>
      <c r="AX645" s="139">
        <v>14</v>
      </c>
      <c r="AY645" s="138">
        <v>91</v>
      </c>
      <c r="BA645" s="136">
        <v>35.409999999999997</v>
      </c>
      <c r="BB645" s="139">
        <v>19</v>
      </c>
      <c r="BC645" s="138" t="s">
        <v>884</v>
      </c>
    </row>
    <row r="646" spans="5:55" x14ac:dyDescent="0.3">
      <c r="E646" s="152">
        <v>35.58</v>
      </c>
      <c r="F646" s="153">
        <v>17</v>
      </c>
      <c r="G646" s="155" t="s">
        <v>873</v>
      </c>
      <c r="I646" s="136">
        <v>58.09</v>
      </c>
      <c r="J646" s="139">
        <v>2</v>
      </c>
      <c r="K646" s="168" t="s">
        <v>862</v>
      </c>
      <c r="M646" s="136">
        <v>35.26</v>
      </c>
      <c r="N646" s="139">
        <v>2</v>
      </c>
      <c r="O646" s="138" t="s">
        <v>883</v>
      </c>
      <c r="Q646" s="136">
        <v>58.44</v>
      </c>
      <c r="R646" s="139">
        <v>15</v>
      </c>
      <c r="S646" s="138">
        <v>95</v>
      </c>
      <c r="U646" s="136">
        <v>35.4</v>
      </c>
      <c r="V646" s="139">
        <v>8</v>
      </c>
      <c r="W646" s="138">
        <v>25</v>
      </c>
      <c r="Y646" s="136">
        <v>35</v>
      </c>
      <c r="Z646" s="139">
        <v>1</v>
      </c>
      <c r="AA646" s="138" t="s">
        <v>883</v>
      </c>
      <c r="AC646" s="136">
        <v>35.44</v>
      </c>
      <c r="AD646" s="139">
        <v>11</v>
      </c>
      <c r="AE646" s="138">
        <v>63</v>
      </c>
      <c r="AG646" s="136">
        <v>35.49</v>
      </c>
      <c r="AH646" s="137">
        <v>3</v>
      </c>
      <c r="AI646" s="138">
        <v>1</v>
      </c>
      <c r="AK646" s="136">
        <v>35.35</v>
      </c>
      <c r="AL646" s="139">
        <v>11</v>
      </c>
      <c r="AM646" s="138">
        <v>63</v>
      </c>
      <c r="AO646" s="136">
        <v>57.34</v>
      </c>
      <c r="AP646" s="139">
        <v>15</v>
      </c>
      <c r="AQ646" s="138">
        <v>95</v>
      </c>
      <c r="AS646" s="136">
        <v>35.25</v>
      </c>
      <c r="AT646" s="139">
        <v>2</v>
      </c>
      <c r="AU646" s="138" t="s">
        <v>883</v>
      </c>
      <c r="AW646" s="136">
        <v>57.46</v>
      </c>
      <c r="AX646" s="139">
        <v>15</v>
      </c>
      <c r="AY646" s="138">
        <v>95</v>
      </c>
      <c r="BA646" s="136">
        <v>36</v>
      </c>
      <c r="BB646" s="139">
        <v>1</v>
      </c>
      <c r="BC646" s="138" t="s">
        <v>883</v>
      </c>
    </row>
    <row r="647" spans="5:55" x14ac:dyDescent="0.3">
      <c r="E647" s="152">
        <v>35.6</v>
      </c>
      <c r="F647" s="153">
        <v>18</v>
      </c>
      <c r="G647" s="155" t="s">
        <v>874</v>
      </c>
      <c r="I647" s="136">
        <v>58.15</v>
      </c>
      <c r="J647" s="139">
        <v>3</v>
      </c>
      <c r="K647" s="138">
        <v>1</v>
      </c>
      <c r="M647" s="136">
        <v>35.32</v>
      </c>
      <c r="N647" s="139">
        <v>3</v>
      </c>
      <c r="O647" s="138">
        <v>1</v>
      </c>
      <c r="Q647" s="136">
        <v>58.45</v>
      </c>
      <c r="R647" s="139">
        <v>16</v>
      </c>
      <c r="S647" s="138">
        <v>98</v>
      </c>
      <c r="U647" s="136">
        <v>35.43</v>
      </c>
      <c r="V647" s="139">
        <v>9</v>
      </c>
      <c r="W647" s="138">
        <v>37</v>
      </c>
      <c r="Y647" s="136">
        <v>35.24</v>
      </c>
      <c r="Z647" s="139">
        <v>2</v>
      </c>
      <c r="AA647" s="138" t="s">
        <v>883</v>
      </c>
      <c r="AC647" s="136">
        <v>35.46</v>
      </c>
      <c r="AD647" s="139">
        <v>12</v>
      </c>
      <c r="AE647" s="138">
        <v>75</v>
      </c>
      <c r="AG647" s="136">
        <v>35.51</v>
      </c>
      <c r="AH647" s="137">
        <v>4</v>
      </c>
      <c r="AI647" s="138">
        <v>2</v>
      </c>
      <c r="AK647" s="136">
        <v>35.36</v>
      </c>
      <c r="AL647" s="139">
        <v>12</v>
      </c>
      <c r="AM647" s="138">
        <v>75</v>
      </c>
      <c r="AO647" s="136">
        <v>57.35</v>
      </c>
      <c r="AP647" s="139">
        <v>16</v>
      </c>
      <c r="AQ647" s="138">
        <v>98</v>
      </c>
      <c r="AS647" s="136">
        <v>35.26</v>
      </c>
      <c r="AT647" s="139">
        <v>3</v>
      </c>
      <c r="AU647" s="138">
        <v>1</v>
      </c>
      <c r="AW647" s="136">
        <v>57.48</v>
      </c>
      <c r="AX647" s="139">
        <v>16</v>
      </c>
      <c r="AY647" s="138">
        <v>98</v>
      </c>
      <c r="BA647" s="136">
        <v>36.130000000000003</v>
      </c>
      <c r="BB647" s="139">
        <v>2</v>
      </c>
      <c r="BC647" s="138" t="s">
        <v>883</v>
      </c>
    </row>
    <row r="648" spans="5:55" x14ac:dyDescent="0.3">
      <c r="E648" s="152">
        <v>35.630000000000003</v>
      </c>
      <c r="F648" s="153">
        <v>19</v>
      </c>
      <c r="G648" s="155" t="s">
        <v>874</v>
      </c>
      <c r="I648" s="136">
        <v>58.17</v>
      </c>
      <c r="J648" s="139">
        <v>4</v>
      </c>
      <c r="K648" s="138">
        <v>2</v>
      </c>
      <c r="M648" s="136">
        <v>35.35</v>
      </c>
      <c r="N648" s="139">
        <v>4</v>
      </c>
      <c r="O648" s="138">
        <v>2</v>
      </c>
      <c r="Q648" s="136">
        <v>58.46</v>
      </c>
      <c r="R648" s="139">
        <v>17</v>
      </c>
      <c r="S648" s="138">
        <v>99</v>
      </c>
      <c r="U648" s="136">
        <v>35.46</v>
      </c>
      <c r="V648" s="139">
        <v>10</v>
      </c>
      <c r="W648" s="138">
        <v>50</v>
      </c>
      <c r="Y648" s="136">
        <v>35.26</v>
      </c>
      <c r="Z648" s="139">
        <v>3</v>
      </c>
      <c r="AA648" s="138">
        <v>1</v>
      </c>
      <c r="AC648" s="136">
        <v>35.479999999999997</v>
      </c>
      <c r="AD648" s="139">
        <v>13</v>
      </c>
      <c r="AE648" s="138">
        <v>85</v>
      </c>
      <c r="AG648" s="136">
        <v>35.53</v>
      </c>
      <c r="AH648" s="137">
        <v>5</v>
      </c>
      <c r="AI648" s="138">
        <v>5</v>
      </c>
      <c r="AK648" s="136">
        <v>35.380000000000003</v>
      </c>
      <c r="AL648" s="139">
        <v>13</v>
      </c>
      <c r="AM648" s="138">
        <v>85</v>
      </c>
      <c r="AO648" s="136">
        <v>57.37</v>
      </c>
      <c r="AP648" s="139">
        <v>17</v>
      </c>
      <c r="AQ648" s="138">
        <v>99</v>
      </c>
      <c r="AS648" s="136">
        <v>35.28</v>
      </c>
      <c r="AT648" s="139">
        <v>4</v>
      </c>
      <c r="AU648" s="138">
        <v>2</v>
      </c>
      <c r="AW648" s="136">
        <v>57.51</v>
      </c>
      <c r="AX648" s="139">
        <v>17</v>
      </c>
      <c r="AY648" s="138">
        <v>99</v>
      </c>
      <c r="BA648" s="136">
        <v>36.17</v>
      </c>
      <c r="BB648" s="139">
        <v>3</v>
      </c>
      <c r="BC648" s="138">
        <v>1</v>
      </c>
    </row>
    <row r="649" spans="5:55" x14ac:dyDescent="0.3">
      <c r="E649" s="152">
        <v>36</v>
      </c>
      <c r="F649" s="153">
        <v>1</v>
      </c>
      <c r="G649" s="155" t="s">
        <v>862</v>
      </c>
      <c r="I649" s="136">
        <v>58.19</v>
      </c>
      <c r="J649" s="139">
        <v>5</v>
      </c>
      <c r="K649" s="138">
        <v>5</v>
      </c>
      <c r="M649" s="136">
        <v>35.369999999999997</v>
      </c>
      <c r="N649" s="139">
        <v>5</v>
      </c>
      <c r="O649" s="138">
        <v>5</v>
      </c>
      <c r="Q649" s="136">
        <v>58.47</v>
      </c>
      <c r="R649" s="139">
        <v>18</v>
      </c>
      <c r="S649" s="138" t="s">
        <v>884</v>
      </c>
      <c r="U649" s="136">
        <v>35.479999999999997</v>
      </c>
      <c r="V649" s="139">
        <v>11</v>
      </c>
      <c r="W649" s="138">
        <v>63</v>
      </c>
      <c r="Y649" s="136">
        <v>35.270000000000003</v>
      </c>
      <c r="Z649" s="139">
        <v>4</v>
      </c>
      <c r="AA649" s="138">
        <v>2</v>
      </c>
      <c r="AC649" s="136">
        <v>35.5</v>
      </c>
      <c r="AD649" s="139">
        <v>14</v>
      </c>
      <c r="AE649" s="138">
        <v>91</v>
      </c>
      <c r="AG649" s="136">
        <v>35.57</v>
      </c>
      <c r="AH649" s="137">
        <v>6</v>
      </c>
      <c r="AI649" s="138">
        <v>9</v>
      </c>
      <c r="AK649" s="136">
        <v>35.39</v>
      </c>
      <c r="AL649" s="139">
        <v>14</v>
      </c>
      <c r="AM649" s="138">
        <v>91</v>
      </c>
      <c r="AO649" s="136">
        <v>57.38</v>
      </c>
      <c r="AP649" s="139">
        <v>18</v>
      </c>
      <c r="AQ649" s="138" t="s">
        <v>884</v>
      </c>
      <c r="AS649" s="136">
        <v>35.31</v>
      </c>
      <c r="AT649" s="139">
        <v>5</v>
      </c>
      <c r="AU649" s="138">
        <v>5</v>
      </c>
      <c r="AW649" s="136">
        <v>57.53</v>
      </c>
      <c r="AX649" s="139">
        <v>18</v>
      </c>
      <c r="AY649" s="138" t="s">
        <v>884</v>
      </c>
      <c r="BA649" s="136">
        <v>36.19</v>
      </c>
      <c r="BB649" s="139">
        <v>4</v>
      </c>
      <c r="BC649" s="138">
        <v>2</v>
      </c>
    </row>
    <row r="650" spans="5:55" x14ac:dyDescent="0.3">
      <c r="E650" s="152">
        <v>36.299999999999997</v>
      </c>
      <c r="F650" s="153">
        <v>2</v>
      </c>
      <c r="G650" s="155" t="s">
        <v>862</v>
      </c>
      <c r="I650" s="136">
        <v>58.2</v>
      </c>
      <c r="J650" s="139">
        <v>6</v>
      </c>
      <c r="K650" s="138">
        <v>9</v>
      </c>
      <c r="M650" s="136">
        <v>35.39</v>
      </c>
      <c r="N650" s="139">
        <v>6</v>
      </c>
      <c r="O650" s="138">
        <v>9</v>
      </c>
      <c r="Q650" s="136">
        <v>58.49</v>
      </c>
      <c r="R650" s="139">
        <v>19</v>
      </c>
      <c r="S650" s="138" t="s">
        <v>874</v>
      </c>
      <c r="U650" s="136">
        <v>35.51</v>
      </c>
      <c r="V650" s="139">
        <v>12</v>
      </c>
      <c r="W650" s="138">
        <v>75</v>
      </c>
      <c r="Y650" s="136">
        <v>35.29</v>
      </c>
      <c r="Z650" s="139">
        <v>5</v>
      </c>
      <c r="AA650" s="138">
        <v>5</v>
      </c>
      <c r="AC650" s="136">
        <v>35.53</v>
      </c>
      <c r="AD650" s="139">
        <v>15</v>
      </c>
      <c r="AE650" s="138">
        <v>95</v>
      </c>
      <c r="AG650" s="136">
        <v>35.590000000000003</v>
      </c>
      <c r="AH650" s="137">
        <v>7</v>
      </c>
      <c r="AI650" s="138">
        <v>16</v>
      </c>
      <c r="AK650" s="136">
        <v>35.4</v>
      </c>
      <c r="AL650" s="139">
        <v>15</v>
      </c>
      <c r="AM650" s="138">
        <v>95</v>
      </c>
      <c r="AO650" s="136">
        <v>57.41</v>
      </c>
      <c r="AP650" s="139">
        <v>19</v>
      </c>
      <c r="AQ650" s="138" t="s">
        <v>884</v>
      </c>
      <c r="AS650" s="136">
        <v>35.33</v>
      </c>
      <c r="AT650" s="139">
        <v>6</v>
      </c>
      <c r="AU650" s="138">
        <v>9</v>
      </c>
      <c r="AW650" s="136">
        <v>57.55</v>
      </c>
      <c r="AX650" s="139">
        <v>19</v>
      </c>
      <c r="AY650" s="138" t="s">
        <v>884</v>
      </c>
      <c r="BA650" s="136">
        <v>36.200000000000003</v>
      </c>
      <c r="BB650" s="139">
        <v>5</v>
      </c>
      <c r="BC650" s="138">
        <v>5</v>
      </c>
    </row>
    <row r="651" spans="5:55" x14ac:dyDescent="0.3">
      <c r="E651" s="152">
        <v>36.32</v>
      </c>
      <c r="F651" s="153">
        <v>3</v>
      </c>
      <c r="G651" s="155" t="s">
        <v>876</v>
      </c>
      <c r="I651" s="136">
        <v>58.22</v>
      </c>
      <c r="J651" s="139">
        <v>7</v>
      </c>
      <c r="K651" s="138">
        <v>16</v>
      </c>
      <c r="M651" s="136">
        <v>35.409999999999997</v>
      </c>
      <c r="N651" s="139">
        <v>7</v>
      </c>
      <c r="O651" s="138">
        <v>16</v>
      </c>
      <c r="Q651" s="136">
        <v>59</v>
      </c>
      <c r="R651" s="139">
        <v>1</v>
      </c>
      <c r="S651" s="138" t="s">
        <v>883</v>
      </c>
      <c r="U651" s="136">
        <v>35.53</v>
      </c>
      <c r="V651" s="139">
        <v>13</v>
      </c>
      <c r="W651" s="138">
        <v>85</v>
      </c>
      <c r="Y651" s="136">
        <v>35.299999999999997</v>
      </c>
      <c r="Z651" s="139">
        <v>6</v>
      </c>
      <c r="AA651" s="138">
        <v>9</v>
      </c>
      <c r="AC651" s="136">
        <v>35.549999999999997</v>
      </c>
      <c r="AD651" s="139">
        <v>16</v>
      </c>
      <c r="AE651" s="138">
        <v>98</v>
      </c>
      <c r="AG651" s="136">
        <v>35.61</v>
      </c>
      <c r="AH651" s="137">
        <v>8</v>
      </c>
      <c r="AI651" s="138">
        <v>25</v>
      </c>
      <c r="AK651" s="136">
        <v>35.409999999999997</v>
      </c>
      <c r="AL651" s="139">
        <v>16</v>
      </c>
      <c r="AM651" s="138">
        <v>98</v>
      </c>
      <c r="AO651" s="136">
        <v>58</v>
      </c>
      <c r="AP651" s="139">
        <v>1</v>
      </c>
      <c r="AQ651" s="138" t="s">
        <v>883</v>
      </c>
      <c r="AS651" s="136">
        <v>35.35</v>
      </c>
      <c r="AT651" s="139">
        <v>7</v>
      </c>
      <c r="AU651" s="138">
        <v>16</v>
      </c>
      <c r="AW651" s="136">
        <v>58</v>
      </c>
      <c r="AX651" s="139">
        <v>1</v>
      </c>
      <c r="AY651" s="138" t="s">
        <v>883</v>
      </c>
      <c r="BA651" s="136">
        <v>36.21</v>
      </c>
      <c r="BB651" s="139">
        <v>6</v>
      </c>
      <c r="BC651" s="138">
        <v>9</v>
      </c>
    </row>
    <row r="652" spans="5:55" x14ac:dyDescent="0.3">
      <c r="E652" s="152">
        <v>36.369999999999997</v>
      </c>
      <c r="F652" s="153">
        <v>4</v>
      </c>
      <c r="G652" s="155" t="s">
        <v>863</v>
      </c>
      <c r="I652" s="136">
        <v>58.24</v>
      </c>
      <c r="J652" s="139">
        <v>8</v>
      </c>
      <c r="K652" s="138">
        <v>25</v>
      </c>
      <c r="M652" s="136">
        <v>35.44</v>
      </c>
      <c r="N652" s="139">
        <v>8</v>
      </c>
      <c r="O652" s="138">
        <v>25</v>
      </c>
      <c r="Q652" s="136">
        <v>59.18</v>
      </c>
      <c r="R652" s="139">
        <v>2</v>
      </c>
      <c r="S652" s="138" t="s">
        <v>883</v>
      </c>
      <c r="U652" s="136">
        <v>35.56</v>
      </c>
      <c r="V652" s="139">
        <v>14</v>
      </c>
      <c r="W652" s="138">
        <v>91</v>
      </c>
      <c r="Y652" s="136">
        <v>35.32</v>
      </c>
      <c r="Z652" s="139">
        <v>7</v>
      </c>
      <c r="AA652" s="138">
        <v>16</v>
      </c>
      <c r="AC652" s="136">
        <v>35.57</v>
      </c>
      <c r="AD652" s="139">
        <v>17</v>
      </c>
      <c r="AE652" s="138">
        <v>99</v>
      </c>
      <c r="AG652" s="136">
        <v>35.630000000000003</v>
      </c>
      <c r="AH652" s="137">
        <v>9</v>
      </c>
      <c r="AI652" s="138">
        <v>37</v>
      </c>
      <c r="AK652" s="136">
        <v>35.42</v>
      </c>
      <c r="AL652" s="139">
        <v>17</v>
      </c>
      <c r="AM652" s="138">
        <v>99</v>
      </c>
      <c r="AO652" s="136">
        <v>58.15</v>
      </c>
      <c r="AP652" s="139">
        <v>2</v>
      </c>
      <c r="AQ652" s="138" t="s">
        <v>883</v>
      </c>
      <c r="AS652" s="136">
        <v>35.36</v>
      </c>
      <c r="AT652" s="139">
        <v>8</v>
      </c>
      <c r="AU652" s="138">
        <v>25</v>
      </c>
      <c r="AW652" s="136">
        <v>58.17</v>
      </c>
      <c r="AX652" s="139">
        <v>2</v>
      </c>
      <c r="AY652" s="138" t="s">
        <v>883</v>
      </c>
      <c r="BA652" s="136">
        <v>36.229999999999997</v>
      </c>
      <c r="BB652" s="139">
        <v>7</v>
      </c>
      <c r="BC652" s="138">
        <v>16</v>
      </c>
    </row>
    <row r="653" spans="5:55" x14ac:dyDescent="0.3">
      <c r="E653" s="152">
        <v>36.4</v>
      </c>
      <c r="F653" s="153">
        <v>5</v>
      </c>
      <c r="G653" s="155" t="s">
        <v>877</v>
      </c>
      <c r="I653" s="136">
        <v>58.25</v>
      </c>
      <c r="J653" s="139">
        <v>9</v>
      </c>
      <c r="K653" s="138">
        <v>37</v>
      </c>
      <c r="M653" s="136">
        <v>35.46</v>
      </c>
      <c r="N653" s="139">
        <v>9</v>
      </c>
      <c r="O653" s="138">
        <v>37</v>
      </c>
      <c r="Q653" s="136">
        <v>59.24</v>
      </c>
      <c r="R653" s="139">
        <v>3</v>
      </c>
      <c r="S653" s="138">
        <v>1</v>
      </c>
      <c r="U653" s="136">
        <v>35.58</v>
      </c>
      <c r="V653" s="139">
        <v>15</v>
      </c>
      <c r="W653" s="138">
        <v>95</v>
      </c>
      <c r="Y653" s="136">
        <v>35.33</v>
      </c>
      <c r="Z653" s="139">
        <v>8</v>
      </c>
      <c r="AA653" s="138">
        <v>25</v>
      </c>
      <c r="AC653" s="136">
        <v>35.590000000000003</v>
      </c>
      <c r="AD653" s="139">
        <v>18</v>
      </c>
      <c r="AE653" s="138" t="s">
        <v>884</v>
      </c>
      <c r="AG653" s="136">
        <v>35.65</v>
      </c>
      <c r="AH653" s="137">
        <v>10</v>
      </c>
      <c r="AI653" s="138">
        <v>50</v>
      </c>
      <c r="AK653" s="136">
        <v>35.43</v>
      </c>
      <c r="AL653" s="139">
        <v>18</v>
      </c>
      <c r="AM653" s="138" t="s">
        <v>884</v>
      </c>
      <c r="AO653" s="136">
        <v>58.18</v>
      </c>
      <c r="AP653" s="139">
        <v>3</v>
      </c>
      <c r="AQ653" s="138">
        <v>1</v>
      </c>
      <c r="AS653" s="136">
        <v>35.380000000000003</v>
      </c>
      <c r="AT653" s="139">
        <v>9</v>
      </c>
      <c r="AU653" s="138">
        <v>37</v>
      </c>
      <c r="AW653" s="136">
        <v>58.19</v>
      </c>
      <c r="AX653" s="139">
        <v>3</v>
      </c>
      <c r="AY653" s="138">
        <v>1</v>
      </c>
      <c r="BA653" s="136">
        <v>36.24</v>
      </c>
      <c r="BB653" s="139">
        <v>8</v>
      </c>
      <c r="BC653" s="138">
        <v>25</v>
      </c>
    </row>
    <row r="654" spans="5:55" x14ac:dyDescent="0.3">
      <c r="E654" s="152">
        <v>36.42</v>
      </c>
      <c r="F654" s="153">
        <v>6</v>
      </c>
      <c r="G654" s="155" t="s">
        <v>864</v>
      </c>
      <c r="I654" s="136">
        <v>58.27</v>
      </c>
      <c r="J654" s="139">
        <v>10</v>
      </c>
      <c r="K654" s="138">
        <v>50</v>
      </c>
      <c r="M654" s="136">
        <v>35.47</v>
      </c>
      <c r="N654" s="139">
        <v>10</v>
      </c>
      <c r="O654" s="138">
        <v>50</v>
      </c>
      <c r="Q654" s="136">
        <v>59.26</v>
      </c>
      <c r="R654" s="139">
        <v>4</v>
      </c>
      <c r="S654" s="138">
        <v>2</v>
      </c>
      <c r="U654" s="136">
        <v>35.6</v>
      </c>
      <c r="V654" s="139">
        <v>16</v>
      </c>
      <c r="W654" s="138">
        <v>98</v>
      </c>
      <c r="Y654" s="136">
        <v>35.340000000000003</v>
      </c>
      <c r="Z654" s="139">
        <v>9</v>
      </c>
      <c r="AA654" s="138">
        <v>37</v>
      </c>
      <c r="AC654" s="136">
        <v>35.64</v>
      </c>
      <c r="AD654" s="139">
        <v>19</v>
      </c>
      <c r="AE654" s="138" t="s">
        <v>884</v>
      </c>
      <c r="AG654" s="136">
        <v>35.67</v>
      </c>
      <c r="AH654" s="137">
        <v>11</v>
      </c>
      <c r="AI654" s="138">
        <v>63</v>
      </c>
      <c r="AK654" s="136">
        <v>35.450000000000003</v>
      </c>
      <c r="AL654" s="139">
        <v>19</v>
      </c>
      <c r="AM654" s="138" t="s">
        <v>884</v>
      </c>
      <c r="AO654" s="136">
        <v>58.19</v>
      </c>
      <c r="AP654" s="139">
        <v>4</v>
      </c>
      <c r="AQ654" s="138">
        <v>2</v>
      </c>
      <c r="AS654" s="136">
        <v>35.4</v>
      </c>
      <c r="AT654" s="139">
        <v>10</v>
      </c>
      <c r="AU654" s="138">
        <v>50</v>
      </c>
      <c r="AW654" s="136">
        <v>58.21</v>
      </c>
      <c r="AX654" s="139">
        <v>4</v>
      </c>
      <c r="AY654" s="138">
        <v>2</v>
      </c>
      <c r="BA654" s="136">
        <v>36.26</v>
      </c>
      <c r="BB654" s="139">
        <v>9</v>
      </c>
      <c r="BC654" s="138">
        <v>37</v>
      </c>
    </row>
    <row r="655" spans="5:55" x14ac:dyDescent="0.3">
      <c r="E655" s="152">
        <v>36.44</v>
      </c>
      <c r="F655" s="153">
        <v>7</v>
      </c>
      <c r="G655" s="155" t="s">
        <v>878</v>
      </c>
      <c r="I655" s="136">
        <v>58.28</v>
      </c>
      <c r="J655" s="139">
        <v>11</v>
      </c>
      <c r="K655" s="138">
        <v>63</v>
      </c>
      <c r="M655" s="136">
        <v>35.479999999999997</v>
      </c>
      <c r="N655" s="139">
        <v>11</v>
      </c>
      <c r="O655" s="138">
        <v>63</v>
      </c>
      <c r="Q655" s="136">
        <v>59.28</v>
      </c>
      <c r="R655" s="139">
        <v>5</v>
      </c>
      <c r="S655" s="138">
        <v>5</v>
      </c>
      <c r="U655" s="136">
        <v>35.630000000000003</v>
      </c>
      <c r="V655" s="139">
        <v>17</v>
      </c>
      <c r="W655" s="138">
        <v>99</v>
      </c>
      <c r="Y655" s="136">
        <v>35.35</v>
      </c>
      <c r="Z655" s="139">
        <v>10</v>
      </c>
      <c r="AA655" s="138">
        <v>50</v>
      </c>
      <c r="AC655" s="136">
        <v>36</v>
      </c>
      <c r="AD655" s="139">
        <v>1</v>
      </c>
      <c r="AE655" s="138" t="s">
        <v>883</v>
      </c>
      <c r="AG655" s="136">
        <v>35.69</v>
      </c>
      <c r="AH655" s="137">
        <v>12</v>
      </c>
      <c r="AI655" s="138">
        <v>75</v>
      </c>
      <c r="AK655" s="136">
        <v>36</v>
      </c>
      <c r="AL655" s="139">
        <v>1</v>
      </c>
      <c r="AM655" s="138" t="s">
        <v>883</v>
      </c>
      <c r="AO655" s="136">
        <v>58.21</v>
      </c>
      <c r="AP655" s="139">
        <v>5</v>
      </c>
      <c r="AQ655" s="138">
        <v>5</v>
      </c>
      <c r="AS655" s="136">
        <v>35.409999999999997</v>
      </c>
      <c r="AT655" s="139">
        <v>11</v>
      </c>
      <c r="AU655" s="138">
        <v>63</v>
      </c>
      <c r="AW655" s="136">
        <v>58.24</v>
      </c>
      <c r="AX655" s="139">
        <v>5</v>
      </c>
      <c r="AY655" s="138">
        <v>5</v>
      </c>
      <c r="BA655" s="136">
        <v>36.270000000000003</v>
      </c>
      <c r="BB655" s="139">
        <v>10</v>
      </c>
      <c r="BC655" s="138">
        <v>50</v>
      </c>
    </row>
    <row r="656" spans="5:55" x14ac:dyDescent="0.3">
      <c r="E656" s="152">
        <v>36.46</v>
      </c>
      <c r="F656" s="153">
        <v>8</v>
      </c>
      <c r="G656" s="155" t="s">
        <v>865</v>
      </c>
      <c r="I656" s="136">
        <v>58.29</v>
      </c>
      <c r="J656" s="139">
        <v>12</v>
      </c>
      <c r="K656" s="138">
        <v>75</v>
      </c>
      <c r="M656" s="136">
        <v>35.49</v>
      </c>
      <c r="N656" s="139">
        <v>12</v>
      </c>
      <c r="O656" s="138">
        <v>75</v>
      </c>
      <c r="Q656" s="136">
        <v>59.3</v>
      </c>
      <c r="R656" s="139">
        <v>6</v>
      </c>
      <c r="S656" s="138">
        <v>9</v>
      </c>
      <c r="U656" s="136">
        <v>35.659999999999997</v>
      </c>
      <c r="V656" s="139">
        <v>18</v>
      </c>
      <c r="W656" s="138" t="s">
        <v>884</v>
      </c>
      <c r="Y656" s="136">
        <v>35.36</v>
      </c>
      <c r="Z656" s="139">
        <v>11</v>
      </c>
      <c r="AA656" s="138">
        <v>63</v>
      </c>
      <c r="AC656" s="136">
        <v>36.26</v>
      </c>
      <c r="AD656" s="139">
        <v>2</v>
      </c>
      <c r="AE656" s="138" t="s">
        <v>883</v>
      </c>
      <c r="AG656" s="136">
        <v>35.700000000000003</v>
      </c>
      <c r="AH656" s="137">
        <v>13</v>
      </c>
      <c r="AI656" s="138">
        <v>85</v>
      </c>
      <c r="AK656" s="136">
        <v>36.25</v>
      </c>
      <c r="AL656" s="139">
        <v>2</v>
      </c>
      <c r="AM656" s="138" t="s">
        <v>883</v>
      </c>
      <c r="AO656" s="136">
        <v>58.22</v>
      </c>
      <c r="AP656" s="139">
        <v>6</v>
      </c>
      <c r="AQ656" s="138">
        <v>9</v>
      </c>
      <c r="AS656" s="136">
        <v>35.43</v>
      </c>
      <c r="AT656" s="139">
        <v>12</v>
      </c>
      <c r="AU656" s="138">
        <v>75</v>
      </c>
      <c r="AW656" s="136">
        <v>58.26</v>
      </c>
      <c r="AX656" s="139">
        <v>6</v>
      </c>
      <c r="AY656" s="138">
        <v>9</v>
      </c>
      <c r="BA656" s="136">
        <v>36.29</v>
      </c>
      <c r="BB656" s="139">
        <v>11</v>
      </c>
      <c r="BC656" s="138">
        <v>63</v>
      </c>
    </row>
    <row r="657" spans="5:55" x14ac:dyDescent="0.3">
      <c r="E657" s="152">
        <v>36.479999999999997</v>
      </c>
      <c r="F657" s="153">
        <v>9</v>
      </c>
      <c r="G657" s="155" t="s">
        <v>879</v>
      </c>
      <c r="I657" s="136">
        <v>58.31</v>
      </c>
      <c r="J657" s="139">
        <v>13</v>
      </c>
      <c r="K657" s="138">
        <v>85</v>
      </c>
      <c r="M657" s="136">
        <v>35.5</v>
      </c>
      <c r="N657" s="139">
        <v>13</v>
      </c>
      <c r="O657" s="138">
        <v>85</v>
      </c>
      <c r="Q657" s="136">
        <v>59.32</v>
      </c>
      <c r="R657" s="139">
        <v>7</v>
      </c>
      <c r="S657" s="138">
        <v>16</v>
      </c>
      <c r="U657" s="136">
        <v>35.69</v>
      </c>
      <c r="V657" s="139">
        <v>19</v>
      </c>
      <c r="W657" s="138" t="s">
        <v>884</v>
      </c>
      <c r="Y657" s="136">
        <v>35.380000000000003</v>
      </c>
      <c r="Z657" s="139">
        <v>12</v>
      </c>
      <c r="AA657" s="138">
        <v>75</v>
      </c>
      <c r="AC657" s="136">
        <v>36.299999999999997</v>
      </c>
      <c r="AD657" s="139">
        <v>3</v>
      </c>
      <c r="AE657" s="138">
        <v>1</v>
      </c>
      <c r="AG657" s="136">
        <v>35.72</v>
      </c>
      <c r="AH657" s="137">
        <v>14</v>
      </c>
      <c r="AI657" s="138">
        <v>91</v>
      </c>
      <c r="AK657" s="136">
        <v>36.26</v>
      </c>
      <c r="AL657" s="139">
        <v>3</v>
      </c>
      <c r="AM657" s="138">
        <v>1</v>
      </c>
      <c r="AO657" s="136">
        <v>58.24</v>
      </c>
      <c r="AP657" s="139">
        <v>7</v>
      </c>
      <c r="AQ657" s="138">
        <v>16</v>
      </c>
      <c r="AS657" s="136">
        <v>35.44</v>
      </c>
      <c r="AT657" s="139">
        <v>13</v>
      </c>
      <c r="AU657" s="138">
        <v>85</v>
      </c>
      <c r="AW657" s="136">
        <v>58.28</v>
      </c>
      <c r="AX657" s="139">
        <v>7</v>
      </c>
      <c r="AY657" s="138">
        <v>16</v>
      </c>
      <c r="BA657" s="136">
        <v>36.31</v>
      </c>
      <c r="BB657" s="139">
        <v>12</v>
      </c>
      <c r="BC657" s="138">
        <v>75</v>
      </c>
    </row>
    <row r="658" spans="5:55" x14ac:dyDescent="0.3">
      <c r="E658" s="152">
        <v>36.5</v>
      </c>
      <c r="F658" s="153">
        <v>10</v>
      </c>
      <c r="G658" s="155" t="s">
        <v>866</v>
      </c>
      <c r="I658" s="136">
        <v>58.33</v>
      </c>
      <c r="J658" s="139">
        <v>14</v>
      </c>
      <c r="K658" s="138">
        <v>91</v>
      </c>
      <c r="M658" s="136">
        <v>35.51</v>
      </c>
      <c r="N658" s="139">
        <v>14</v>
      </c>
      <c r="O658" s="138">
        <v>91</v>
      </c>
      <c r="Q658" s="136">
        <v>59.34</v>
      </c>
      <c r="R658" s="139">
        <v>8</v>
      </c>
      <c r="S658" s="138">
        <v>25</v>
      </c>
      <c r="U658" s="136">
        <v>36</v>
      </c>
      <c r="V658" s="139">
        <v>1</v>
      </c>
      <c r="W658" s="138" t="s">
        <v>883</v>
      </c>
      <c r="Y658" s="136">
        <v>35.4</v>
      </c>
      <c r="Z658" s="139">
        <v>13</v>
      </c>
      <c r="AA658" s="138">
        <v>85</v>
      </c>
      <c r="AC658" s="136">
        <v>36.32</v>
      </c>
      <c r="AD658" s="139">
        <v>4</v>
      </c>
      <c r="AE658" s="138">
        <v>2</v>
      </c>
      <c r="AG658" s="136">
        <v>35.729999999999997</v>
      </c>
      <c r="AH658" s="137">
        <v>15</v>
      </c>
      <c r="AI658" s="138">
        <v>95</v>
      </c>
      <c r="AK658" s="136">
        <v>36.29</v>
      </c>
      <c r="AL658" s="139">
        <v>4</v>
      </c>
      <c r="AM658" s="138">
        <v>2</v>
      </c>
      <c r="AO658" s="136">
        <v>58.25</v>
      </c>
      <c r="AP658" s="139">
        <v>8</v>
      </c>
      <c r="AQ658" s="138">
        <v>25</v>
      </c>
      <c r="AS658" s="136">
        <v>35.450000000000003</v>
      </c>
      <c r="AT658" s="139">
        <v>14</v>
      </c>
      <c r="AU658" s="138">
        <v>91</v>
      </c>
      <c r="AW658" s="136">
        <v>58.3</v>
      </c>
      <c r="AX658" s="139">
        <v>8</v>
      </c>
      <c r="AY658" s="138">
        <v>25</v>
      </c>
      <c r="BA658" s="136">
        <v>36.32</v>
      </c>
      <c r="BB658" s="139">
        <v>13</v>
      </c>
      <c r="BC658" s="138">
        <v>85</v>
      </c>
    </row>
    <row r="659" spans="5:55" x14ac:dyDescent="0.3">
      <c r="E659" s="152">
        <v>36.520000000000003</v>
      </c>
      <c r="F659" s="153">
        <v>11</v>
      </c>
      <c r="G659" s="155" t="s">
        <v>867</v>
      </c>
      <c r="I659" s="136">
        <v>58.35</v>
      </c>
      <c r="J659" s="139">
        <v>15</v>
      </c>
      <c r="K659" s="138">
        <v>95</v>
      </c>
      <c r="M659" s="136">
        <v>35.520000000000003</v>
      </c>
      <c r="N659" s="139">
        <v>15</v>
      </c>
      <c r="O659" s="138">
        <v>95</v>
      </c>
      <c r="Q659" s="136">
        <v>59.37</v>
      </c>
      <c r="R659" s="139">
        <v>9</v>
      </c>
      <c r="S659" s="138">
        <v>37</v>
      </c>
      <c r="U659" s="136">
        <v>36.229999999999997</v>
      </c>
      <c r="V659" s="139">
        <v>2</v>
      </c>
      <c r="W659" s="138" t="s">
        <v>883</v>
      </c>
      <c r="Y659" s="136">
        <v>35.409999999999997</v>
      </c>
      <c r="Z659" s="139">
        <v>14</v>
      </c>
      <c r="AA659" s="138">
        <v>91</v>
      </c>
      <c r="AC659" s="136">
        <v>36.35</v>
      </c>
      <c r="AD659" s="139">
        <v>5</v>
      </c>
      <c r="AE659" s="138">
        <v>5</v>
      </c>
      <c r="AG659" s="136">
        <v>35.75</v>
      </c>
      <c r="AH659" s="137">
        <v>16</v>
      </c>
      <c r="AI659" s="138">
        <v>98</v>
      </c>
      <c r="AK659" s="136">
        <v>36.299999999999997</v>
      </c>
      <c r="AL659" s="139">
        <v>5</v>
      </c>
      <c r="AM659" s="138">
        <v>5</v>
      </c>
      <c r="AO659" s="136">
        <v>58.27</v>
      </c>
      <c r="AP659" s="139">
        <v>9</v>
      </c>
      <c r="AQ659" s="138">
        <v>37</v>
      </c>
      <c r="AS659" s="136">
        <v>35.46</v>
      </c>
      <c r="AT659" s="139">
        <v>15</v>
      </c>
      <c r="AU659" s="138">
        <v>95</v>
      </c>
      <c r="AW659" s="136">
        <v>58.33</v>
      </c>
      <c r="AX659" s="139">
        <v>9</v>
      </c>
      <c r="AY659" s="138">
        <v>37</v>
      </c>
      <c r="BA659" s="136">
        <v>36.340000000000003</v>
      </c>
      <c r="BB659" s="139">
        <v>14</v>
      </c>
      <c r="BC659" s="138">
        <v>91</v>
      </c>
    </row>
    <row r="660" spans="5:55" x14ac:dyDescent="0.3">
      <c r="E660" s="152">
        <v>36.54</v>
      </c>
      <c r="F660" s="153">
        <v>12</v>
      </c>
      <c r="G660" s="155" t="s">
        <v>868</v>
      </c>
      <c r="I660" s="136">
        <v>58.37</v>
      </c>
      <c r="J660" s="139">
        <v>16</v>
      </c>
      <c r="K660" s="138">
        <v>98</v>
      </c>
      <c r="M660" s="136">
        <v>35.54</v>
      </c>
      <c r="N660" s="139">
        <v>16</v>
      </c>
      <c r="O660" s="138">
        <v>98</v>
      </c>
      <c r="Q660" s="136">
        <v>59.39</v>
      </c>
      <c r="R660" s="139">
        <v>10</v>
      </c>
      <c r="S660" s="138">
        <v>50</v>
      </c>
      <c r="U660" s="136">
        <v>36.26</v>
      </c>
      <c r="V660" s="139">
        <v>3</v>
      </c>
      <c r="W660" s="138">
        <v>1</v>
      </c>
      <c r="Y660" s="136">
        <v>35.42</v>
      </c>
      <c r="Z660" s="139">
        <v>15</v>
      </c>
      <c r="AA660" s="138">
        <v>95</v>
      </c>
      <c r="AC660" s="136">
        <v>36.369999999999997</v>
      </c>
      <c r="AD660" s="139">
        <v>6</v>
      </c>
      <c r="AE660" s="138">
        <v>9</v>
      </c>
      <c r="AG660" s="136">
        <v>35.76</v>
      </c>
      <c r="AH660" s="137">
        <v>17</v>
      </c>
      <c r="AI660" s="138">
        <v>99</v>
      </c>
      <c r="AK660" s="136">
        <v>36.31</v>
      </c>
      <c r="AL660" s="139">
        <v>6</v>
      </c>
      <c r="AM660" s="138">
        <v>9</v>
      </c>
      <c r="AO660" s="136">
        <v>58.28</v>
      </c>
      <c r="AP660" s="139">
        <v>10</v>
      </c>
      <c r="AQ660" s="138">
        <v>50</v>
      </c>
      <c r="AS660" s="136">
        <v>35.479999999999997</v>
      </c>
      <c r="AT660" s="139">
        <v>16</v>
      </c>
      <c r="AU660" s="138">
        <v>98</v>
      </c>
      <c r="AW660" s="136">
        <v>58.35</v>
      </c>
      <c r="AX660" s="139">
        <v>10</v>
      </c>
      <c r="AY660" s="138">
        <v>50</v>
      </c>
      <c r="BA660" s="136">
        <v>36.36</v>
      </c>
      <c r="BB660" s="139">
        <v>15</v>
      </c>
      <c r="BC660" s="138">
        <v>95</v>
      </c>
    </row>
    <row r="661" spans="5:55" x14ac:dyDescent="0.3">
      <c r="E661" s="152">
        <v>36.549999999999997</v>
      </c>
      <c r="F661" s="153">
        <v>13</v>
      </c>
      <c r="G661" s="155" t="s">
        <v>869</v>
      </c>
      <c r="I661" s="136">
        <v>58.39</v>
      </c>
      <c r="J661" s="139">
        <v>17</v>
      </c>
      <c r="K661" s="138">
        <v>99</v>
      </c>
      <c r="M661" s="136">
        <v>35.549999999999997</v>
      </c>
      <c r="N661" s="139">
        <v>17</v>
      </c>
      <c r="O661" s="138">
        <v>99</v>
      </c>
      <c r="Q661" s="136">
        <v>59.4</v>
      </c>
      <c r="R661" s="139">
        <v>11</v>
      </c>
      <c r="S661" s="138">
        <v>63</v>
      </c>
      <c r="U661" s="136">
        <v>36.33</v>
      </c>
      <c r="V661" s="139">
        <v>4</v>
      </c>
      <c r="W661" s="138">
        <v>2</v>
      </c>
      <c r="Y661" s="136">
        <v>35.43</v>
      </c>
      <c r="Z661" s="139">
        <v>16</v>
      </c>
      <c r="AA661" s="138">
        <v>98</v>
      </c>
      <c r="AC661" s="136">
        <v>36.39</v>
      </c>
      <c r="AD661" s="139">
        <v>7</v>
      </c>
      <c r="AE661" s="138">
        <v>16</v>
      </c>
      <c r="AG661" s="136">
        <v>35.78</v>
      </c>
      <c r="AH661" s="137">
        <v>18</v>
      </c>
      <c r="AI661" s="138" t="s">
        <v>884</v>
      </c>
      <c r="AK661" s="136">
        <v>36.33</v>
      </c>
      <c r="AL661" s="139">
        <v>7</v>
      </c>
      <c r="AM661" s="138">
        <v>16</v>
      </c>
      <c r="AO661" s="136">
        <v>58.29</v>
      </c>
      <c r="AP661" s="139">
        <v>11</v>
      </c>
      <c r="AQ661" s="138">
        <v>63</v>
      </c>
      <c r="AS661" s="136">
        <v>35.5</v>
      </c>
      <c r="AT661" s="139">
        <v>17</v>
      </c>
      <c r="AU661" s="138">
        <v>99</v>
      </c>
      <c r="AW661" s="136">
        <v>58.37</v>
      </c>
      <c r="AX661" s="139">
        <v>11</v>
      </c>
      <c r="AY661" s="138">
        <v>63</v>
      </c>
      <c r="BA661" s="136">
        <v>36.369999999999997</v>
      </c>
      <c r="BB661" s="139">
        <v>16</v>
      </c>
      <c r="BC661" s="138">
        <v>98</v>
      </c>
    </row>
    <row r="662" spans="5:55" x14ac:dyDescent="0.3">
      <c r="E662" s="152">
        <v>36.57</v>
      </c>
      <c r="F662" s="153">
        <v>14</v>
      </c>
      <c r="G662" s="155" t="s">
        <v>870</v>
      </c>
      <c r="I662" s="136">
        <v>58.4</v>
      </c>
      <c r="J662" s="139">
        <v>18</v>
      </c>
      <c r="K662" s="138" t="s">
        <v>884</v>
      </c>
      <c r="M662" s="136">
        <v>35.56</v>
      </c>
      <c r="N662" s="139">
        <v>18</v>
      </c>
      <c r="O662" s="138" t="s">
        <v>884</v>
      </c>
      <c r="Q662" s="136">
        <v>59.41</v>
      </c>
      <c r="R662" s="139">
        <v>12</v>
      </c>
      <c r="S662" s="138">
        <v>75</v>
      </c>
      <c r="U662" s="136">
        <v>36.369999999999997</v>
      </c>
      <c r="V662" s="139">
        <v>5</v>
      </c>
      <c r="W662" s="138">
        <v>5</v>
      </c>
      <c r="Y662" s="136">
        <v>35.450000000000003</v>
      </c>
      <c r="Z662" s="139">
        <v>17</v>
      </c>
      <c r="AA662" s="138">
        <v>99</v>
      </c>
      <c r="AC662" s="136">
        <v>36.409999999999997</v>
      </c>
      <c r="AD662" s="139">
        <v>8</v>
      </c>
      <c r="AE662" s="138">
        <v>25</v>
      </c>
      <c r="AG662" s="136">
        <v>35.799999999999997</v>
      </c>
      <c r="AH662" s="137">
        <v>19</v>
      </c>
      <c r="AI662" s="138" t="s">
        <v>884</v>
      </c>
      <c r="AK662" s="136">
        <v>36.340000000000003</v>
      </c>
      <c r="AL662" s="139">
        <v>8</v>
      </c>
      <c r="AM662" s="138">
        <v>25</v>
      </c>
      <c r="AO662" s="136">
        <v>58.3</v>
      </c>
      <c r="AP662" s="139">
        <v>12</v>
      </c>
      <c r="AQ662" s="138">
        <v>75</v>
      </c>
      <c r="AS662" s="136">
        <v>35.51</v>
      </c>
      <c r="AT662" s="139">
        <v>18</v>
      </c>
      <c r="AU662" s="138" t="s">
        <v>884</v>
      </c>
      <c r="AW662" s="136">
        <v>58.39</v>
      </c>
      <c r="AX662" s="139">
        <v>12</v>
      </c>
      <c r="AY662" s="138">
        <v>75</v>
      </c>
      <c r="BA662" s="136">
        <v>36.409999999999997</v>
      </c>
      <c r="BB662" s="139">
        <v>17</v>
      </c>
      <c r="BC662" s="138">
        <v>99</v>
      </c>
    </row>
    <row r="663" spans="5:55" x14ac:dyDescent="0.3">
      <c r="E663" s="152">
        <v>36.58</v>
      </c>
      <c r="F663" s="153">
        <v>15</v>
      </c>
      <c r="G663" s="155" t="s">
        <v>871</v>
      </c>
      <c r="I663" s="136">
        <v>58.43</v>
      </c>
      <c r="J663" s="139">
        <v>19</v>
      </c>
      <c r="K663" s="138" t="s">
        <v>884</v>
      </c>
      <c r="M663" s="136">
        <v>35.57</v>
      </c>
      <c r="N663" s="139">
        <v>19</v>
      </c>
      <c r="O663" s="138" t="s">
        <v>884</v>
      </c>
      <c r="Q663" s="136">
        <v>59.42</v>
      </c>
      <c r="R663" s="139">
        <v>13</v>
      </c>
      <c r="S663" s="138">
        <v>85</v>
      </c>
      <c r="U663" s="136">
        <v>36.4</v>
      </c>
      <c r="V663" s="139">
        <v>6</v>
      </c>
      <c r="W663" s="138">
        <v>9</v>
      </c>
      <c r="Y663" s="136">
        <v>35.46</v>
      </c>
      <c r="Z663" s="139">
        <v>18</v>
      </c>
      <c r="AA663" s="138" t="s">
        <v>884</v>
      </c>
      <c r="AC663" s="136">
        <v>36.44</v>
      </c>
      <c r="AD663" s="139">
        <v>9</v>
      </c>
      <c r="AE663" s="138">
        <v>37</v>
      </c>
      <c r="AG663" s="136">
        <v>36</v>
      </c>
      <c r="AH663" s="137">
        <v>1</v>
      </c>
      <c r="AI663" s="138" t="s">
        <v>883</v>
      </c>
      <c r="AK663" s="136">
        <v>36.35</v>
      </c>
      <c r="AL663" s="139">
        <v>9</v>
      </c>
      <c r="AM663" s="138">
        <v>37</v>
      </c>
      <c r="AO663" s="136">
        <v>58.32</v>
      </c>
      <c r="AP663" s="139">
        <v>13</v>
      </c>
      <c r="AQ663" s="138">
        <v>85</v>
      </c>
      <c r="AS663" s="136">
        <v>35.53</v>
      </c>
      <c r="AT663" s="139">
        <v>19</v>
      </c>
      <c r="AU663" s="138" t="s">
        <v>884</v>
      </c>
      <c r="AW663" s="136">
        <v>58.42</v>
      </c>
      <c r="AX663" s="139">
        <v>13</v>
      </c>
      <c r="AY663" s="138">
        <v>85</v>
      </c>
      <c r="BA663" s="136">
        <v>36.43</v>
      </c>
      <c r="BB663" s="139">
        <v>18</v>
      </c>
      <c r="BC663" s="138" t="s">
        <v>884</v>
      </c>
    </row>
    <row r="664" spans="5:55" x14ac:dyDescent="0.3">
      <c r="E664" s="152">
        <v>36.6</v>
      </c>
      <c r="F664" s="153">
        <v>16</v>
      </c>
      <c r="G664" s="155" t="s">
        <v>872</v>
      </c>
      <c r="I664" s="136">
        <v>59</v>
      </c>
      <c r="J664" s="139">
        <v>1</v>
      </c>
      <c r="K664" s="138" t="s">
        <v>883</v>
      </c>
      <c r="M664" s="136">
        <v>36</v>
      </c>
      <c r="N664" s="139">
        <v>1</v>
      </c>
      <c r="O664" s="138" t="s">
        <v>883</v>
      </c>
      <c r="Q664" s="136">
        <v>59.43</v>
      </c>
      <c r="R664" s="139">
        <v>14</v>
      </c>
      <c r="S664" s="138">
        <v>91</v>
      </c>
      <c r="U664" s="136">
        <v>36.43</v>
      </c>
      <c r="V664" s="139">
        <v>7</v>
      </c>
      <c r="W664" s="138">
        <v>16</v>
      </c>
      <c r="Y664" s="136">
        <v>35.5</v>
      </c>
      <c r="Z664" s="139">
        <v>19</v>
      </c>
      <c r="AA664" s="138" t="s">
        <v>884</v>
      </c>
      <c r="AC664" s="136">
        <v>36.46</v>
      </c>
      <c r="AD664" s="139">
        <v>10</v>
      </c>
      <c r="AE664" s="138">
        <v>50</v>
      </c>
      <c r="AG664" s="136">
        <v>36.49</v>
      </c>
      <c r="AH664" s="137">
        <v>2</v>
      </c>
      <c r="AI664" s="138" t="s">
        <v>883</v>
      </c>
      <c r="AK664" s="136">
        <v>36.36</v>
      </c>
      <c r="AL664" s="139">
        <v>10</v>
      </c>
      <c r="AM664" s="138">
        <v>50</v>
      </c>
      <c r="AO664" s="136">
        <v>58.33</v>
      </c>
      <c r="AP664" s="139">
        <v>14</v>
      </c>
      <c r="AQ664" s="138">
        <v>91</v>
      </c>
      <c r="AS664" s="136">
        <v>36</v>
      </c>
      <c r="AT664" s="139">
        <v>1</v>
      </c>
      <c r="AU664" s="138" t="s">
        <v>883</v>
      </c>
      <c r="AW664" s="136">
        <v>58.44</v>
      </c>
      <c r="AX664" s="139">
        <v>14</v>
      </c>
      <c r="AY664" s="138">
        <v>91</v>
      </c>
      <c r="BA664" s="136">
        <v>36.46</v>
      </c>
      <c r="BB664" s="139">
        <v>19</v>
      </c>
      <c r="BC664" s="138" t="s">
        <v>884</v>
      </c>
    </row>
    <row r="665" spans="5:55" x14ac:dyDescent="0.3">
      <c r="E665" s="152">
        <v>36.61</v>
      </c>
      <c r="F665" s="153">
        <v>17</v>
      </c>
      <c r="G665" s="155" t="s">
        <v>873</v>
      </c>
      <c r="I665" s="136">
        <v>59.09</v>
      </c>
      <c r="J665" s="139">
        <v>2</v>
      </c>
      <c r="K665" s="138" t="s">
        <v>883</v>
      </c>
      <c r="M665" s="136">
        <v>36.270000000000003</v>
      </c>
      <c r="N665" s="139">
        <v>2</v>
      </c>
      <c r="O665" s="138" t="s">
        <v>883</v>
      </c>
      <c r="Q665" s="136">
        <v>59.44</v>
      </c>
      <c r="R665" s="139">
        <v>15</v>
      </c>
      <c r="S665" s="138">
        <v>95</v>
      </c>
      <c r="U665" s="136">
        <v>36.46</v>
      </c>
      <c r="V665" s="139">
        <v>8</v>
      </c>
      <c r="W665" s="138">
        <v>25</v>
      </c>
      <c r="Y665" s="136">
        <v>36</v>
      </c>
      <c r="Z665" s="139">
        <v>1</v>
      </c>
      <c r="AA665" s="138" t="s">
        <v>883</v>
      </c>
      <c r="AC665" s="136">
        <v>36.479999999999997</v>
      </c>
      <c r="AD665" s="139">
        <v>11</v>
      </c>
      <c r="AE665" s="138">
        <v>63</v>
      </c>
      <c r="AG665" s="136">
        <v>36.51</v>
      </c>
      <c r="AH665" s="137">
        <v>3</v>
      </c>
      <c r="AI665" s="138">
        <v>1</v>
      </c>
      <c r="AK665" s="136">
        <v>36.380000000000003</v>
      </c>
      <c r="AL665" s="139">
        <v>11</v>
      </c>
      <c r="AM665" s="138">
        <v>63</v>
      </c>
      <c r="AO665" s="136">
        <v>58.34</v>
      </c>
      <c r="AP665" s="139">
        <v>15</v>
      </c>
      <c r="AQ665" s="138">
        <v>95</v>
      </c>
      <c r="AS665" s="136">
        <v>36.28</v>
      </c>
      <c r="AT665" s="139">
        <v>2</v>
      </c>
      <c r="AU665" s="138" t="s">
        <v>883</v>
      </c>
      <c r="AW665" s="136">
        <v>58.46</v>
      </c>
      <c r="AX665" s="139">
        <v>15</v>
      </c>
      <c r="AY665" s="138">
        <v>95</v>
      </c>
      <c r="BA665" s="136">
        <v>37</v>
      </c>
      <c r="BB665" s="139">
        <v>1</v>
      </c>
      <c r="BC665" s="138" t="s">
        <v>883</v>
      </c>
    </row>
    <row r="666" spans="5:55" x14ac:dyDescent="0.3">
      <c r="E666" s="152">
        <v>36.619999999999997</v>
      </c>
      <c r="F666" s="153">
        <v>18</v>
      </c>
      <c r="G666" s="155" t="s">
        <v>874</v>
      </c>
      <c r="I666" s="136">
        <v>59.15</v>
      </c>
      <c r="J666" s="139">
        <v>3</v>
      </c>
      <c r="K666" s="138">
        <v>1</v>
      </c>
      <c r="M666" s="136">
        <v>36.340000000000003</v>
      </c>
      <c r="N666" s="139">
        <v>3</v>
      </c>
      <c r="O666" s="138">
        <v>1</v>
      </c>
      <c r="Q666" s="136">
        <v>59.45</v>
      </c>
      <c r="R666" s="139">
        <v>16</v>
      </c>
      <c r="S666" s="138">
        <v>98</v>
      </c>
      <c r="U666" s="136">
        <v>36.479999999999997</v>
      </c>
      <c r="V666" s="139">
        <v>9</v>
      </c>
      <c r="W666" s="138">
        <v>37</v>
      </c>
      <c r="Y666" s="136">
        <v>36.26</v>
      </c>
      <c r="Z666" s="139">
        <v>2</v>
      </c>
      <c r="AA666" s="138" t="s">
        <v>883</v>
      </c>
      <c r="AC666" s="136">
        <v>36.5</v>
      </c>
      <c r="AD666" s="139">
        <v>12</v>
      </c>
      <c r="AE666" s="138">
        <v>75</v>
      </c>
      <c r="AG666" s="136">
        <v>36.57</v>
      </c>
      <c r="AH666" s="137">
        <v>4</v>
      </c>
      <c r="AI666" s="138">
        <v>2</v>
      </c>
      <c r="AK666" s="136">
        <v>36.39</v>
      </c>
      <c r="AL666" s="139">
        <v>12</v>
      </c>
      <c r="AM666" s="138">
        <v>75</v>
      </c>
      <c r="AO666" s="136">
        <v>58.35</v>
      </c>
      <c r="AP666" s="139">
        <v>16</v>
      </c>
      <c r="AQ666" s="138">
        <v>98</v>
      </c>
      <c r="AS666" s="136">
        <v>36.31</v>
      </c>
      <c r="AT666" s="139">
        <v>3</v>
      </c>
      <c r="AU666" s="138">
        <v>1</v>
      </c>
      <c r="AW666" s="136">
        <v>58.48</v>
      </c>
      <c r="AX666" s="139">
        <v>16</v>
      </c>
      <c r="AY666" s="138">
        <v>98</v>
      </c>
      <c r="BA666" s="136">
        <v>37.130000000000003</v>
      </c>
      <c r="BB666" s="139">
        <v>2</v>
      </c>
      <c r="BC666" s="138" t="s">
        <v>883</v>
      </c>
    </row>
    <row r="667" spans="5:55" x14ac:dyDescent="0.3">
      <c r="E667" s="152">
        <v>36.65</v>
      </c>
      <c r="F667" s="153">
        <v>19</v>
      </c>
      <c r="G667" s="155" t="s">
        <v>874</v>
      </c>
      <c r="I667" s="136">
        <v>59.17</v>
      </c>
      <c r="J667" s="139">
        <v>4</v>
      </c>
      <c r="K667" s="138">
        <v>2</v>
      </c>
      <c r="M667" s="136">
        <v>36.369999999999997</v>
      </c>
      <c r="N667" s="139">
        <v>4</v>
      </c>
      <c r="O667" s="138">
        <v>2</v>
      </c>
      <c r="Q667" s="136">
        <v>59.46</v>
      </c>
      <c r="R667" s="139">
        <v>17</v>
      </c>
      <c r="S667" s="138">
        <v>99</v>
      </c>
      <c r="U667" s="136">
        <v>36.51</v>
      </c>
      <c r="V667" s="139">
        <v>10</v>
      </c>
      <c r="W667" s="138">
        <v>50</v>
      </c>
      <c r="Y667" s="136">
        <v>36.29</v>
      </c>
      <c r="Z667" s="139">
        <v>3</v>
      </c>
      <c r="AA667" s="138">
        <v>1</v>
      </c>
      <c r="AC667" s="136">
        <v>36.53</v>
      </c>
      <c r="AD667" s="139">
        <v>13</v>
      </c>
      <c r="AE667" s="138">
        <v>85</v>
      </c>
      <c r="AG667" s="136">
        <v>36.590000000000003</v>
      </c>
      <c r="AH667" s="137">
        <v>5</v>
      </c>
      <c r="AI667" s="138">
        <v>5</v>
      </c>
      <c r="AK667" s="136">
        <v>36.4</v>
      </c>
      <c r="AL667" s="139">
        <v>13</v>
      </c>
      <c r="AM667" s="138">
        <v>85</v>
      </c>
      <c r="AO667" s="136">
        <v>58.37</v>
      </c>
      <c r="AP667" s="139">
        <v>17</v>
      </c>
      <c r="AQ667" s="138">
        <v>99</v>
      </c>
      <c r="AS667" s="136">
        <v>36.340000000000003</v>
      </c>
      <c r="AT667" s="139">
        <v>4</v>
      </c>
      <c r="AU667" s="138">
        <v>2</v>
      </c>
      <c r="AW667" s="136">
        <v>58.51</v>
      </c>
      <c r="AX667" s="139">
        <v>17</v>
      </c>
      <c r="AY667" s="138">
        <v>99</v>
      </c>
      <c r="BA667" s="136">
        <v>37.17</v>
      </c>
      <c r="BB667" s="139">
        <v>3</v>
      </c>
      <c r="BC667" s="138">
        <v>1</v>
      </c>
    </row>
    <row r="668" spans="5:55" x14ac:dyDescent="0.3">
      <c r="E668" s="152">
        <v>37</v>
      </c>
      <c r="F668" s="153">
        <v>1</v>
      </c>
      <c r="G668" s="155" t="s">
        <v>862</v>
      </c>
      <c r="I668" s="136">
        <v>59.19</v>
      </c>
      <c r="J668" s="139">
        <v>5</v>
      </c>
      <c r="K668" s="138">
        <v>5</v>
      </c>
      <c r="M668" s="136">
        <v>36.39</v>
      </c>
      <c r="N668" s="139">
        <v>5</v>
      </c>
      <c r="O668" s="138">
        <v>5</v>
      </c>
      <c r="Q668" s="136">
        <v>59.47</v>
      </c>
      <c r="R668" s="139">
        <v>18</v>
      </c>
      <c r="S668" s="138" t="s">
        <v>884</v>
      </c>
      <c r="U668" s="136">
        <v>36.53</v>
      </c>
      <c r="V668" s="139">
        <v>11</v>
      </c>
      <c r="W668" s="138">
        <v>63</v>
      </c>
      <c r="Y668" s="136">
        <v>36.299999999999997</v>
      </c>
      <c r="Z668" s="139">
        <v>4</v>
      </c>
      <c r="AA668" s="138">
        <v>2</v>
      </c>
      <c r="AC668" s="136">
        <v>36.549999999999997</v>
      </c>
      <c r="AD668" s="139">
        <v>14</v>
      </c>
      <c r="AE668" s="138">
        <v>91</v>
      </c>
      <c r="AG668" s="136">
        <v>36.61</v>
      </c>
      <c r="AH668" s="137">
        <v>6</v>
      </c>
      <c r="AI668" s="138">
        <v>9</v>
      </c>
      <c r="AK668" s="136">
        <v>36.409999999999997</v>
      </c>
      <c r="AL668" s="139">
        <v>14</v>
      </c>
      <c r="AM668" s="138">
        <v>91</v>
      </c>
      <c r="AO668" s="136">
        <v>58.38</v>
      </c>
      <c r="AP668" s="139">
        <v>18</v>
      </c>
      <c r="AQ668" s="138" t="s">
        <v>884</v>
      </c>
      <c r="AS668" s="136">
        <v>36.36</v>
      </c>
      <c r="AT668" s="139">
        <v>5</v>
      </c>
      <c r="AU668" s="138">
        <v>5</v>
      </c>
      <c r="AW668" s="136">
        <v>58.53</v>
      </c>
      <c r="AX668" s="139">
        <v>18</v>
      </c>
      <c r="AY668" s="138" t="s">
        <v>884</v>
      </c>
      <c r="BA668" s="136">
        <v>37.19</v>
      </c>
      <c r="BB668" s="139">
        <v>4</v>
      </c>
      <c r="BC668" s="138">
        <v>2</v>
      </c>
    </row>
    <row r="669" spans="5:55" x14ac:dyDescent="0.3">
      <c r="E669" s="152">
        <v>37.299999999999997</v>
      </c>
      <c r="F669" s="153">
        <v>2</v>
      </c>
      <c r="G669" s="155" t="s">
        <v>862</v>
      </c>
      <c r="I669" s="136">
        <v>59.2</v>
      </c>
      <c r="J669" s="139">
        <v>6</v>
      </c>
      <c r="K669" s="138">
        <v>9</v>
      </c>
      <c r="M669" s="136">
        <v>36.409999999999997</v>
      </c>
      <c r="N669" s="139">
        <v>6</v>
      </c>
      <c r="O669" s="138">
        <v>9</v>
      </c>
      <c r="Q669" s="136">
        <v>59.49</v>
      </c>
      <c r="R669" s="139">
        <v>19</v>
      </c>
      <c r="S669" s="138" t="s">
        <v>874</v>
      </c>
      <c r="U669" s="136">
        <v>36.56</v>
      </c>
      <c r="V669" s="139">
        <v>12</v>
      </c>
      <c r="W669" s="138">
        <v>75</v>
      </c>
      <c r="Y669" s="136">
        <v>36.32</v>
      </c>
      <c r="Z669" s="139">
        <v>5</v>
      </c>
      <c r="AA669" s="138">
        <v>5</v>
      </c>
      <c r="AC669" s="136">
        <v>36.57</v>
      </c>
      <c r="AD669" s="139">
        <v>15</v>
      </c>
      <c r="AE669" s="138">
        <v>95</v>
      </c>
      <c r="AG669" s="136">
        <v>36.630000000000003</v>
      </c>
      <c r="AH669" s="137">
        <v>7</v>
      </c>
      <c r="AI669" s="138">
        <v>16</v>
      </c>
      <c r="AK669" s="136">
        <v>36.42</v>
      </c>
      <c r="AL669" s="139">
        <v>15</v>
      </c>
      <c r="AM669" s="138">
        <v>95</v>
      </c>
      <c r="AO669" s="136">
        <v>58.41</v>
      </c>
      <c r="AP669" s="139">
        <v>19</v>
      </c>
      <c r="AQ669" s="138" t="s">
        <v>884</v>
      </c>
      <c r="AS669" s="136">
        <v>36.369999999999997</v>
      </c>
      <c r="AT669" s="139">
        <v>6</v>
      </c>
      <c r="AU669" s="138">
        <v>9</v>
      </c>
      <c r="AW669" s="136">
        <v>58.55</v>
      </c>
      <c r="AX669" s="139">
        <v>19</v>
      </c>
      <c r="AY669" s="138" t="s">
        <v>884</v>
      </c>
      <c r="BA669" s="136">
        <v>37.200000000000003</v>
      </c>
      <c r="BB669" s="139">
        <v>5</v>
      </c>
      <c r="BC669" s="138">
        <v>5</v>
      </c>
    </row>
    <row r="670" spans="5:55" x14ac:dyDescent="0.3">
      <c r="E670" s="152">
        <v>37.32</v>
      </c>
      <c r="F670" s="153">
        <v>3</v>
      </c>
      <c r="G670" s="155" t="s">
        <v>876</v>
      </c>
      <c r="I670" s="136">
        <v>59.22</v>
      </c>
      <c r="J670" s="139">
        <v>7</v>
      </c>
      <c r="K670" s="138">
        <v>16</v>
      </c>
      <c r="M670" s="136">
        <v>36.44</v>
      </c>
      <c r="N670" s="139">
        <v>7</v>
      </c>
      <c r="O670" s="138">
        <v>16</v>
      </c>
      <c r="U670" s="136">
        <v>36.58</v>
      </c>
      <c r="V670" s="139">
        <v>13</v>
      </c>
      <c r="W670" s="138">
        <v>85</v>
      </c>
      <c r="Y670" s="136">
        <v>36.33</v>
      </c>
      <c r="Z670" s="139">
        <v>6</v>
      </c>
      <c r="AA670" s="138">
        <v>9</v>
      </c>
      <c r="AC670" s="136">
        <v>36.590000000000003</v>
      </c>
      <c r="AD670" s="139">
        <v>16</v>
      </c>
      <c r="AE670" s="138">
        <v>98</v>
      </c>
      <c r="AG670" s="136">
        <v>36.65</v>
      </c>
      <c r="AH670" s="137">
        <v>8</v>
      </c>
      <c r="AI670" s="138">
        <v>25</v>
      </c>
      <c r="AK670" s="136">
        <v>36.43</v>
      </c>
      <c r="AL670" s="139">
        <v>16</v>
      </c>
      <c r="AM670" s="138">
        <v>98</v>
      </c>
      <c r="AO670" s="136">
        <v>59</v>
      </c>
      <c r="AP670" s="139">
        <v>1</v>
      </c>
      <c r="AQ670" s="138" t="s">
        <v>883</v>
      </c>
      <c r="AS670" s="136">
        <v>36.380000000000003</v>
      </c>
      <c r="AT670" s="139">
        <v>7</v>
      </c>
      <c r="AU670" s="138">
        <v>16</v>
      </c>
      <c r="AW670" s="136">
        <v>59</v>
      </c>
      <c r="AX670" s="139">
        <v>1</v>
      </c>
      <c r="AY670" s="138" t="s">
        <v>883</v>
      </c>
      <c r="BA670" s="136">
        <v>37.21</v>
      </c>
      <c r="BB670" s="139">
        <v>6</v>
      </c>
      <c r="BC670" s="138">
        <v>9</v>
      </c>
    </row>
    <row r="671" spans="5:55" x14ac:dyDescent="0.3">
      <c r="E671" s="152">
        <v>37.369999999999997</v>
      </c>
      <c r="F671" s="153">
        <v>4</v>
      </c>
      <c r="G671" s="155" t="s">
        <v>863</v>
      </c>
      <c r="I671" s="136">
        <v>59.24</v>
      </c>
      <c r="J671" s="139">
        <v>8</v>
      </c>
      <c r="K671" s="138">
        <v>25</v>
      </c>
      <c r="M671" s="136">
        <v>36.46</v>
      </c>
      <c r="N671" s="139">
        <v>8</v>
      </c>
      <c r="O671" s="138">
        <v>25</v>
      </c>
      <c r="U671" s="136">
        <v>36.6</v>
      </c>
      <c r="V671" s="139">
        <v>14</v>
      </c>
      <c r="W671" s="138">
        <v>91</v>
      </c>
      <c r="Y671" s="136">
        <v>36.340000000000003</v>
      </c>
      <c r="Z671" s="139">
        <v>7</v>
      </c>
      <c r="AA671" s="138">
        <v>16</v>
      </c>
      <c r="AC671" s="136">
        <v>36.619999999999997</v>
      </c>
      <c r="AD671" s="139">
        <v>17</v>
      </c>
      <c r="AE671" s="138">
        <v>99</v>
      </c>
      <c r="AG671" s="136">
        <v>36.67</v>
      </c>
      <c r="AH671" s="137">
        <v>9</v>
      </c>
      <c r="AI671" s="138">
        <v>37</v>
      </c>
      <c r="AK671" s="136">
        <v>36.46</v>
      </c>
      <c r="AL671" s="139">
        <v>17</v>
      </c>
      <c r="AM671" s="138">
        <v>99</v>
      </c>
      <c r="AO671" s="136">
        <v>59.15</v>
      </c>
      <c r="AP671" s="139">
        <v>2</v>
      </c>
      <c r="AQ671" s="138" t="s">
        <v>883</v>
      </c>
      <c r="AS671" s="136">
        <v>36.4</v>
      </c>
      <c r="AT671" s="139">
        <v>8</v>
      </c>
      <c r="AU671" s="138">
        <v>25</v>
      </c>
      <c r="AW671" s="136">
        <v>59.17</v>
      </c>
      <c r="AX671" s="139">
        <v>2</v>
      </c>
      <c r="AY671" s="138" t="s">
        <v>883</v>
      </c>
      <c r="BA671" s="136">
        <v>37.229999999999997</v>
      </c>
      <c r="BB671" s="139">
        <v>7</v>
      </c>
      <c r="BC671" s="138">
        <v>16</v>
      </c>
    </row>
    <row r="672" spans="5:55" x14ac:dyDescent="0.3">
      <c r="E672" s="152">
        <v>37.4</v>
      </c>
      <c r="F672" s="153">
        <v>5</v>
      </c>
      <c r="G672" s="155" t="s">
        <v>877</v>
      </c>
      <c r="I672" s="136">
        <v>59.25</v>
      </c>
      <c r="J672" s="139">
        <v>9</v>
      </c>
      <c r="K672" s="138">
        <v>37</v>
      </c>
      <c r="M672" s="136">
        <v>36.47</v>
      </c>
      <c r="N672" s="139">
        <v>9</v>
      </c>
      <c r="O672" s="138">
        <v>37</v>
      </c>
      <c r="U672" s="136">
        <v>36.630000000000003</v>
      </c>
      <c r="V672" s="139">
        <v>15</v>
      </c>
      <c r="W672" s="138">
        <v>95</v>
      </c>
      <c r="Y672" s="136">
        <v>36.36</v>
      </c>
      <c r="Z672" s="139">
        <v>8</v>
      </c>
      <c r="AA672" s="138">
        <v>25</v>
      </c>
      <c r="AC672" s="136">
        <v>36.64</v>
      </c>
      <c r="AD672" s="139">
        <v>18</v>
      </c>
      <c r="AE672" s="138" t="s">
        <v>884</v>
      </c>
      <c r="AG672" s="136">
        <v>36.69</v>
      </c>
      <c r="AH672" s="137">
        <v>10</v>
      </c>
      <c r="AI672" s="138">
        <v>50</v>
      </c>
      <c r="AK672" s="136">
        <v>36.479999999999997</v>
      </c>
      <c r="AL672" s="139">
        <v>18</v>
      </c>
      <c r="AM672" s="138" t="s">
        <v>884</v>
      </c>
      <c r="AO672" s="136">
        <v>59.18</v>
      </c>
      <c r="AP672" s="139">
        <v>3</v>
      </c>
      <c r="AQ672" s="138">
        <v>1</v>
      </c>
      <c r="AS672" s="136">
        <v>36.409999999999997</v>
      </c>
      <c r="AT672" s="139">
        <v>9</v>
      </c>
      <c r="AU672" s="138">
        <v>37</v>
      </c>
      <c r="AW672" s="136">
        <v>59.19</v>
      </c>
      <c r="AX672" s="139">
        <v>3</v>
      </c>
      <c r="AY672" s="138">
        <v>1</v>
      </c>
      <c r="BA672" s="136">
        <v>37.24</v>
      </c>
      <c r="BB672" s="139">
        <v>8</v>
      </c>
      <c r="BC672" s="138">
        <v>25</v>
      </c>
    </row>
    <row r="673" spans="5:55" x14ac:dyDescent="0.3">
      <c r="E673" s="152">
        <v>37.42</v>
      </c>
      <c r="F673" s="153">
        <v>6</v>
      </c>
      <c r="G673" s="155" t="s">
        <v>864</v>
      </c>
      <c r="I673" s="136">
        <v>59.27</v>
      </c>
      <c r="J673" s="139">
        <v>10</v>
      </c>
      <c r="K673" s="138">
        <v>50</v>
      </c>
      <c r="M673" s="136">
        <v>36.479999999999997</v>
      </c>
      <c r="N673" s="139">
        <v>10</v>
      </c>
      <c r="O673" s="138">
        <v>50</v>
      </c>
      <c r="U673" s="136">
        <v>36.65</v>
      </c>
      <c r="V673" s="139">
        <v>16</v>
      </c>
      <c r="W673" s="138">
        <v>98</v>
      </c>
      <c r="Y673" s="136">
        <v>36.369999999999997</v>
      </c>
      <c r="Z673" s="139">
        <v>9</v>
      </c>
      <c r="AA673" s="138">
        <v>37</v>
      </c>
      <c r="AC673" s="136">
        <v>36.68</v>
      </c>
      <c r="AD673" s="139">
        <v>19</v>
      </c>
      <c r="AE673" s="138" t="s">
        <v>884</v>
      </c>
      <c r="AG673" s="136">
        <v>36.700000000000003</v>
      </c>
      <c r="AH673" s="137">
        <v>11</v>
      </c>
      <c r="AI673" s="138">
        <v>63</v>
      </c>
      <c r="AK673" s="136">
        <v>36.49</v>
      </c>
      <c r="AL673" s="139">
        <v>19</v>
      </c>
      <c r="AM673" s="138" t="s">
        <v>884</v>
      </c>
      <c r="AO673" s="136">
        <v>59.19</v>
      </c>
      <c r="AP673" s="139">
        <v>4</v>
      </c>
      <c r="AQ673" s="138">
        <v>2</v>
      </c>
      <c r="AS673" s="136">
        <v>36.43</v>
      </c>
      <c r="AT673" s="139">
        <v>10</v>
      </c>
      <c r="AU673" s="138">
        <v>50</v>
      </c>
      <c r="AW673" s="136">
        <v>59.21</v>
      </c>
      <c r="AX673" s="139">
        <v>4</v>
      </c>
      <c r="AY673" s="138">
        <v>2</v>
      </c>
      <c r="BA673" s="136">
        <v>37.26</v>
      </c>
      <c r="BB673" s="139">
        <v>9</v>
      </c>
      <c r="BC673" s="138">
        <v>37</v>
      </c>
    </row>
    <row r="674" spans="5:55" x14ac:dyDescent="0.3">
      <c r="E674" s="152">
        <v>37.44</v>
      </c>
      <c r="F674" s="153">
        <v>7</v>
      </c>
      <c r="G674" s="155" t="s">
        <v>878</v>
      </c>
      <c r="I674" s="136">
        <v>59.28</v>
      </c>
      <c r="J674" s="139">
        <v>11</v>
      </c>
      <c r="K674" s="138">
        <v>63</v>
      </c>
      <c r="M674" s="136">
        <v>36.49</v>
      </c>
      <c r="N674" s="139">
        <v>11</v>
      </c>
      <c r="O674" s="138">
        <v>63</v>
      </c>
      <c r="U674" s="136">
        <v>36.68</v>
      </c>
      <c r="V674" s="139">
        <v>17</v>
      </c>
      <c r="W674" s="138">
        <v>99</v>
      </c>
      <c r="Y674" s="136">
        <v>36.380000000000003</v>
      </c>
      <c r="Z674" s="139">
        <v>10</v>
      </c>
      <c r="AA674" s="138">
        <v>50</v>
      </c>
      <c r="AC674" s="136">
        <v>37</v>
      </c>
      <c r="AD674" s="139">
        <v>1</v>
      </c>
      <c r="AE674" s="138" t="s">
        <v>883</v>
      </c>
      <c r="AG674" s="136">
        <v>36.72</v>
      </c>
      <c r="AH674" s="137">
        <v>12</v>
      </c>
      <c r="AI674" s="138">
        <v>75</v>
      </c>
      <c r="AK674" s="136">
        <v>37</v>
      </c>
      <c r="AL674" s="139">
        <v>1</v>
      </c>
      <c r="AM674" s="138" t="s">
        <v>883</v>
      </c>
      <c r="AO674" s="136">
        <v>59.21</v>
      </c>
      <c r="AP674" s="139">
        <v>5</v>
      </c>
      <c r="AQ674" s="138">
        <v>5</v>
      </c>
      <c r="AS674" s="136">
        <v>36.44</v>
      </c>
      <c r="AT674" s="139">
        <v>11</v>
      </c>
      <c r="AU674" s="138">
        <v>63</v>
      </c>
      <c r="AW674" s="136">
        <v>59.24</v>
      </c>
      <c r="AX674" s="139">
        <v>5</v>
      </c>
      <c r="AY674" s="138">
        <v>5</v>
      </c>
      <c r="BA674" s="136">
        <v>37.270000000000003</v>
      </c>
      <c r="BB674" s="139">
        <v>10</v>
      </c>
      <c r="BC674" s="138">
        <v>50</v>
      </c>
    </row>
    <row r="675" spans="5:55" x14ac:dyDescent="0.3">
      <c r="E675" s="152">
        <v>37.46</v>
      </c>
      <c r="F675" s="153">
        <v>8</v>
      </c>
      <c r="G675" s="155" t="s">
        <v>865</v>
      </c>
      <c r="I675" s="136">
        <v>59.29</v>
      </c>
      <c r="J675" s="139">
        <v>12</v>
      </c>
      <c r="K675" s="138">
        <v>75</v>
      </c>
      <c r="M675" s="136">
        <v>36.5</v>
      </c>
      <c r="N675" s="139">
        <v>12</v>
      </c>
      <c r="O675" s="138">
        <v>75</v>
      </c>
      <c r="U675" s="136">
        <v>36.700000000000003</v>
      </c>
      <c r="V675" s="139">
        <v>18</v>
      </c>
      <c r="W675" s="138" t="s">
        <v>884</v>
      </c>
      <c r="Y675" s="136">
        <v>36.4</v>
      </c>
      <c r="Z675" s="139">
        <v>11</v>
      </c>
      <c r="AA675" s="138">
        <v>63</v>
      </c>
      <c r="AC675" s="136">
        <v>37.26</v>
      </c>
      <c r="AD675" s="139">
        <v>2</v>
      </c>
      <c r="AE675" s="138" t="s">
        <v>883</v>
      </c>
      <c r="AG675" s="136">
        <v>36.729999999999997</v>
      </c>
      <c r="AH675" s="137">
        <v>13</v>
      </c>
      <c r="AI675" s="138">
        <v>85</v>
      </c>
      <c r="AK675" s="136">
        <v>37.25</v>
      </c>
      <c r="AL675" s="139">
        <v>2</v>
      </c>
      <c r="AM675" s="138" t="s">
        <v>883</v>
      </c>
      <c r="AO675" s="136">
        <v>59.22</v>
      </c>
      <c r="AP675" s="139">
        <v>6</v>
      </c>
      <c r="AQ675" s="138">
        <v>9</v>
      </c>
      <c r="AS675" s="136">
        <v>36.450000000000003</v>
      </c>
      <c r="AT675" s="139">
        <v>12</v>
      </c>
      <c r="AU675" s="138">
        <v>75</v>
      </c>
      <c r="AW675" s="136">
        <v>59.26</v>
      </c>
      <c r="AX675" s="139">
        <v>6</v>
      </c>
      <c r="AY675" s="138">
        <v>9</v>
      </c>
      <c r="BA675" s="136">
        <v>37.29</v>
      </c>
      <c r="BB675" s="139">
        <v>11</v>
      </c>
      <c r="BC675" s="138">
        <v>63</v>
      </c>
    </row>
    <row r="676" spans="5:55" x14ac:dyDescent="0.3">
      <c r="E676" s="152">
        <v>37.479999999999997</v>
      </c>
      <c r="F676" s="153">
        <v>9</v>
      </c>
      <c r="G676" s="155" t="s">
        <v>879</v>
      </c>
      <c r="I676" s="136">
        <v>59.31</v>
      </c>
      <c r="J676" s="139">
        <v>13</v>
      </c>
      <c r="K676" s="138">
        <v>85</v>
      </c>
      <c r="M676" s="136">
        <v>36.51</v>
      </c>
      <c r="N676" s="139">
        <v>13</v>
      </c>
      <c r="O676" s="138">
        <v>85</v>
      </c>
      <c r="U676" s="136">
        <v>36.729999999999997</v>
      </c>
      <c r="V676" s="139">
        <v>19</v>
      </c>
      <c r="W676" s="138" t="s">
        <v>884</v>
      </c>
      <c r="Y676" s="136">
        <v>36.409999999999997</v>
      </c>
      <c r="Z676" s="139">
        <v>12</v>
      </c>
      <c r="AA676" s="138">
        <v>75</v>
      </c>
      <c r="AC676" s="136">
        <v>37.299999999999997</v>
      </c>
      <c r="AD676" s="139">
        <v>3</v>
      </c>
      <c r="AE676" s="138">
        <v>1</v>
      </c>
      <c r="AG676" s="136">
        <v>36.75</v>
      </c>
      <c r="AH676" s="137">
        <v>14</v>
      </c>
      <c r="AI676" s="138">
        <v>91</v>
      </c>
      <c r="AK676" s="136">
        <v>37.26</v>
      </c>
      <c r="AL676" s="139">
        <v>3</v>
      </c>
      <c r="AM676" s="138">
        <v>1</v>
      </c>
      <c r="AO676" s="136">
        <v>59.24</v>
      </c>
      <c r="AP676" s="139">
        <v>7</v>
      </c>
      <c r="AQ676" s="138">
        <v>16</v>
      </c>
      <c r="AS676" s="136">
        <v>36.46</v>
      </c>
      <c r="AT676" s="139">
        <v>13</v>
      </c>
      <c r="AU676" s="138">
        <v>85</v>
      </c>
      <c r="AW676" s="136">
        <v>59.28</v>
      </c>
      <c r="AX676" s="139">
        <v>7</v>
      </c>
      <c r="AY676" s="138">
        <v>16</v>
      </c>
      <c r="BA676" s="136">
        <v>37.31</v>
      </c>
      <c r="BB676" s="139">
        <v>12</v>
      </c>
      <c r="BC676" s="138">
        <v>75</v>
      </c>
    </row>
    <row r="677" spans="5:55" x14ac:dyDescent="0.3">
      <c r="E677" s="152">
        <v>37.5</v>
      </c>
      <c r="F677" s="153">
        <v>10</v>
      </c>
      <c r="G677" s="155" t="s">
        <v>866</v>
      </c>
      <c r="I677" s="136">
        <v>59.33</v>
      </c>
      <c r="J677" s="139">
        <v>14</v>
      </c>
      <c r="K677" s="138">
        <v>91</v>
      </c>
      <c r="M677" s="136">
        <v>36.520000000000003</v>
      </c>
      <c r="N677" s="139">
        <v>14</v>
      </c>
      <c r="O677" s="138">
        <v>91</v>
      </c>
      <c r="U677" s="136">
        <v>37</v>
      </c>
      <c r="V677" s="139">
        <v>1</v>
      </c>
      <c r="W677" s="138" t="s">
        <v>883</v>
      </c>
      <c r="Y677" s="136">
        <v>36.42</v>
      </c>
      <c r="Z677" s="139">
        <v>13</v>
      </c>
      <c r="AA677" s="138">
        <v>85</v>
      </c>
      <c r="AC677" s="136">
        <v>37.32</v>
      </c>
      <c r="AD677" s="139">
        <v>4</v>
      </c>
      <c r="AE677" s="138">
        <v>2</v>
      </c>
      <c r="AG677" s="136">
        <v>36.76</v>
      </c>
      <c r="AH677" s="137">
        <v>15</v>
      </c>
      <c r="AI677" s="138">
        <v>95</v>
      </c>
      <c r="AK677" s="136">
        <v>37.29</v>
      </c>
      <c r="AL677" s="139">
        <v>4</v>
      </c>
      <c r="AM677" s="138">
        <v>2</v>
      </c>
      <c r="AO677" s="136">
        <v>59.25</v>
      </c>
      <c r="AP677" s="139">
        <v>8</v>
      </c>
      <c r="AQ677" s="138">
        <v>25</v>
      </c>
      <c r="AS677" s="136">
        <v>36.47</v>
      </c>
      <c r="AT677" s="139">
        <v>14</v>
      </c>
      <c r="AU677" s="138">
        <v>91</v>
      </c>
      <c r="AW677" s="136">
        <v>59.3</v>
      </c>
      <c r="AX677" s="139">
        <v>8</v>
      </c>
      <c r="AY677" s="138">
        <v>25</v>
      </c>
      <c r="BA677" s="136">
        <v>37.32</v>
      </c>
      <c r="BB677" s="139">
        <v>13</v>
      </c>
      <c r="BC677" s="138">
        <v>85</v>
      </c>
    </row>
    <row r="678" spans="5:55" x14ac:dyDescent="0.3">
      <c r="E678" s="152">
        <v>37.520000000000003</v>
      </c>
      <c r="F678" s="153">
        <v>11</v>
      </c>
      <c r="G678" s="155" t="s">
        <v>867</v>
      </c>
      <c r="I678" s="136">
        <v>59.35</v>
      </c>
      <c r="J678" s="139">
        <v>15</v>
      </c>
      <c r="K678" s="138">
        <v>95</v>
      </c>
      <c r="M678" s="136">
        <v>36.54</v>
      </c>
      <c r="N678" s="139">
        <v>15</v>
      </c>
      <c r="O678" s="138">
        <v>95</v>
      </c>
      <c r="U678" s="136">
        <v>37.229999999999997</v>
      </c>
      <c r="V678" s="139">
        <v>2</v>
      </c>
      <c r="W678" s="138" t="s">
        <v>883</v>
      </c>
      <c r="Y678" s="136">
        <v>36.44</v>
      </c>
      <c r="Z678" s="139">
        <v>14</v>
      </c>
      <c r="AA678" s="138">
        <v>91</v>
      </c>
      <c r="AC678" s="136">
        <v>37.35</v>
      </c>
      <c r="AD678" s="139">
        <v>5</v>
      </c>
      <c r="AE678" s="138">
        <v>5</v>
      </c>
      <c r="AG678" s="136">
        <v>36.78</v>
      </c>
      <c r="AH678" s="137">
        <v>16</v>
      </c>
      <c r="AI678" s="138">
        <v>98</v>
      </c>
      <c r="AK678" s="136">
        <v>37.299999999999997</v>
      </c>
      <c r="AL678" s="139">
        <v>5</v>
      </c>
      <c r="AM678" s="138">
        <v>5</v>
      </c>
      <c r="AO678" s="136">
        <v>59.27</v>
      </c>
      <c r="AP678" s="139">
        <v>9</v>
      </c>
      <c r="AQ678" s="138">
        <v>37</v>
      </c>
      <c r="AS678" s="136">
        <v>36.49</v>
      </c>
      <c r="AT678" s="139">
        <v>15</v>
      </c>
      <c r="AU678" s="138">
        <v>95</v>
      </c>
      <c r="AW678" s="136">
        <v>59.33</v>
      </c>
      <c r="AX678" s="139">
        <v>9</v>
      </c>
      <c r="AY678" s="138">
        <v>37</v>
      </c>
      <c r="BA678" s="136">
        <v>37.340000000000003</v>
      </c>
      <c r="BB678" s="139">
        <v>14</v>
      </c>
      <c r="BC678" s="138">
        <v>91</v>
      </c>
    </row>
    <row r="679" spans="5:55" x14ac:dyDescent="0.3">
      <c r="E679" s="152">
        <v>37.54</v>
      </c>
      <c r="F679" s="153">
        <v>12</v>
      </c>
      <c r="G679" s="155" t="s">
        <v>868</v>
      </c>
      <c r="I679" s="136">
        <v>59.37</v>
      </c>
      <c r="J679" s="139">
        <v>16</v>
      </c>
      <c r="K679" s="138">
        <v>98</v>
      </c>
      <c r="M679" s="136">
        <v>36.549999999999997</v>
      </c>
      <c r="N679" s="139">
        <v>16</v>
      </c>
      <c r="O679" s="138">
        <v>98</v>
      </c>
      <c r="U679" s="136">
        <v>37.26</v>
      </c>
      <c r="V679" s="139">
        <v>3</v>
      </c>
      <c r="W679" s="138">
        <v>1</v>
      </c>
      <c r="Y679" s="136">
        <v>36.450000000000003</v>
      </c>
      <c r="Z679" s="139">
        <v>15</v>
      </c>
      <c r="AA679" s="138">
        <v>95</v>
      </c>
      <c r="AC679" s="136">
        <v>37.369999999999997</v>
      </c>
      <c r="AD679" s="139">
        <v>6</v>
      </c>
      <c r="AE679" s="138">
        <v>9</v>
      </c>
      <c r="AG679" s="136">
        <v>36.79</v>
      </c>
      <c r="AH679" s="137">
        <v>17</v>
      </c>
      <c r="AI679" s="138">
        <v>99</v>
      </c>
      <c r="AK679" s="136">
        <v>37.31</v>
      </c>
      <c r="AL679" s="139">
        <v>6</v>
      </c>
      <c r="AM679" s="138">
        <v>9</v>
      </c>
      <c r="AO679" s="136">
        <v>59.28</v>
      </c>
      <c r="AP679" s="139">
        <v>10</v>
      </c>
      <c r="AQ679" s="138">
        <v>50</v>
      </c>
      <c r="AS679" s="136">
        <v>36.5</v>
      </c>
      <c r="AT679" s="139">
        <v>16</v>
      </c>
      <c r="AU679" s="138">
        <v>98</v>
      </c>
      <c r="AW679" s="136">
        <v>59.35</v>
      </c>
      <c r="AX679" s="139">
        <v>10</v>
      </c>
      <c r="AY679" s="138">
        <v>50</v>
      </c>
      <c r="BA679" s="136">
        <v>37.36</v>
      </c>
      <c r="BB679" s="139">
        <v>15</v>
      </c>
      <c r="BC679" s="138">
        <v>95</v>
      </c>
    </row>
    <row r="680" spans="5:55" x14ac:dyDescent="0.3">
      <c r="E680" s="152">
        <v>37.549999999999997</v>
      </c>
      <c r="F680" s="153">
        <v>13</v>
      </c>
      <c r="G680" s="155" t="s">
        <v>869</v>
      </c>
      <c r="I680" s="136">
        <v>59.39</v>
      </c>
      <c r="J680" s="139">
        <v>17</v>
      </c>
      <c r="K680" s="138">
        <v>99</v>
      </c>
      <c r="M680" s="136">
        <v>36.56</v>
      </c>
      <c r="N680" s="139">
        <v>17</v>
      </c>
      <c r="O680" s="138">
        <v>99</v>
      </c>
      <c r="U680" s="136">
        <v>37.33</v>
      </c>
      <c r="V680" s="139">
        <v>4</v>
      </c>
      <c r="W680" s="138">
        <v>2</v>
      </c>
      <c r="Y680" s="136">
        <v>36.47</v>
      </c>
      <c r="Z680" s="139">
        <v>16</v>
      </c>
      <c r="AA680" s="138">
        <v>98</v>
      </c>
      <c r="AC680" s="136">
        <v>37.39</v>
      </c>
      <c r="AD680" s="139">
        <v>7</v>
      </c>
      <c r="AE680" s="138">
        <v>16</v>
      </c>
      <c r="AG680" s="136">
        <v>36.81</v>
      </c>
      <c r="AH680" s="137">
        <v>18</v>
      </c>
      <c r="AI680" s="138" t="s">
        <v>884</v>
      </c>
      <c r="AK680" s="136">
        <v>37.33</v>
      </c>
      <c r="AL680" s="139">
        <v>7</v>
      </c>
      <c r="AM680" s="138">
        <v>16</v>
      </c>
      <c r="AO680" s="136">
        <v>59.29</v>
      </c>
      <c r="AP680" s="139">
        <v>11</v>
      </c>
      <c r="AQ680" s="138">
        <v>63</v>
      </c>
      <c r="AS680" s="136">
        <v>36.51</v>
      </c>
      <c r="AT680" s="139">
        <v>17</v>
      </c>
      <c r="AU680" s="138">
        <v>99</v>
      </c>
      <c r="AW680" s="136">
        <v>59.37</v>
      </c>
      <c r="AX680" s="139">
        <v>11</v>
      </c>
      <c r="AY680" s="138">
        <v>63</v>
      </c>
      <c r="BA680" s="136">
        <v>37.369999999999997</v>
      </c>
      <c r="BB680" s="139">
        <v>16</v>
      </c>
      <c r="BC680" s="138">
        <v>98</v>
      </c>
    </row>
    <row r="681" spans="5:55" x14ac:dyDescent="0.3">
      <c r="E681" s="152">
        <v>37.57</v>
      </c>
      <c r="F681" s="153">
        <v>14</v>
      </c>
      <c r="G681" s="155" t="s">
        <v>870</v>
      </c>
      <c r="I681" s="136">
        <v>59.4</v>
      </c>
      <c r="J681" s="139">
        <v>18</v>
      </c>
      <c r="K681" s="138" t="s">
        <v>884</v>
      </c>
      <c r="M681" s="136">
        <v>36.57</v>
      </c>
      <c r="N681" s="139">
        <v>18</v>
      </c>
      <c r="O681" s="138" t="s">
        <v>884</v>
      </c>
      <c r="U681" s="136">
        <v>37.369999999999997</v>
      </c>
      <c r="V681" s="139">
        <v>5</v>
      </c>
      <c r="W681" s="138">
        <v>5</v>
      </c>
      <c r="Y681" s="136">
        <v>36.5</v>
      </c>
      <c r="Z681" s="139">
        <v>17</v>
      </c>
      <c r="AA681" s="138">
        <v>99</v>
      </c>
      <c r="AC681" s="136">
        <v>37.409999999999997</v>
      </c>
      <c r="AD681" s="139">
        <v>8</v>
      </c>
      <c r="AE681" s="138">
        <v>25</v>
      </c>
      <c r="AG681" s="136">
        <v>36.83</v>
      </c>
      <c r="AH681" s="137">
        <v>19</v>
      </c>
      <c r="AI681" s="138" t="s">
        <v>884</v>
      </c>
      <c r="AK681" s="136">
        <v>37.340000000000003</v>
      </c>
      <c r="AL681" s="139">
        <v>8</v>
      </c>
      <c r="AM681" s="138">
        <v>25</v>
      </c>
      <c r="AO681" s="136">
        <v>59.3</v>
      </c>
      <c r="AP681" s="139">
        <v>12</v>
      </c>
      <c r="AQ681" s="138">
        <v>75</v>
      </c>
      <c r="AS681" s="136">
        <v>36.53</v>
      </c>
      <c r="AT681" s="139">
        <v>18</v>
      </c>
      <c r="AU681" s="138" t="s">
        <v>884</v>
      </c>
      <c r="AW681" s="136">
        <v>59.39</v>
      </c>
      <c r="AX681" s="139">
        <v>12</v>
      </c>
      <c r="AY681" s="138">
        <v>75</v>
      </c>
      <c r="BA681" s="136">
        <v>37.409999999999997</v>
      </c>
      <c r="BB681" s="139">
        <v>17</v>
      </c>
      <c r="BC681" s="138">
        <v>99</v>
      </c>
    </row>
    <row r="682" spans="5:55" x14ac:dyDescent="0.3">
      <c r="E682" s="152">
        <v>37.58</v>
      </c>
      <c r="F682" s="153">
        <v>15</v>
      </c>
      <c r="G682" s="155" t="s">
        <v>871</v>
      </c>
      <c r="I682" s="136">
        <v>59.43</v>
      </c>
      <c r="J682" s="139">
        <v>19</v>
      </c>
      <c r="K682" s="138" t="s">
        <v>884</v>
      </c>
      <c r="M682" s="136">
        <v>36.58</v>
      </c>
      <c r="N682" s="139">
        <v>19</v>
      </c>
      <c r="O682" s="138" t="s">
        <v>884</v>
      </c>
      <c r="U682" s="136">
        <v>37.4</v>
      </c>
      <c r="V682" s="139">
        <v>6</v>
      </c>
      <c r="W682" s="138">
        <v>9</v>
      </c>
      <c r="Y682" s="136">
        <v>36.51</v>
      </c>
      <c r="Z682" s="139">
        <v>18</v>
      </c>
      <c r="AA682" s="138" t="s">
        <v>884</v>
      </c>
      <c r="AC682" s="136">
        <v>37.44</v>
      </c>
      <c r="AD682" s="139">
        <v>9</v>
      </c>
      <c r="AE682" s="138">
        <v>37</v>
      </c>
      <c r="AG682" s="136">
        <v>37</v>
      </c>
      <c r="AH682" s="137">
        <v>1</v>
      </c>
      <c r="AI682" s="138" t="s">
        <v>883</v>
      </c>
      <c r="AK682" s="136">
        <v>37.35</v>
      </c>
      <c r="AL682" s="139">
        <v>9</v>
      </c>
      <c r="AM682" s="138">
        <v>37</v>
      </c>
      <c r="AO682" s="136">
        <v>59.32</v>
      </c>
      <c r="AP682" s="139">
        <v>13</v>
      </c>
      <c r="AQ682" s="138">
        <v>85</v>
      </c>
      <c r="AS682" s="136">
        <v>36.549999999999997</v>
      </c>
      <c r="AT682" s="139">
        <v>19</v>
      </c>
      <c r="AU682" s="138" t="s">
        <v>884</v>
      </c>
      <c r="AW682" s="136">
        <v>59.42</v>
      </c>
      <c r="AX682" s="139">
        <v>13</v>
      </c>
      <c r="AY682" s="138">
        <v>85</v>
      </c>
      <c r="BA682" s="136">
        <v>37.43</v>
      </c>
      <c r="BB682" s="139">
        <v>18</v>
      </c>
      <c r="BC682" s="138" t="s">
        <v>884</v>
      </c>
    </row>
    <row r="683" spans="5:55" x14ac:dyDescent="0.3">
      <c r="E683" s="152">
        <v>37.6</v>
      </c>
      <c r="F683" s="153">
        <v>16</v>
      </c>
      <c r="G683" s="155" t="s">
        <v>872</v>
      </c>
      <c r="M683" s="136">
        <v>37</v>
      </c>
      <c r="N683" s="139">
        <v>1</v>
      </c>
      <c r="O683" s="138" t="s">
        <v>883</v>
      </c>
      <c r="U683" s="136">
        <v>37.43</v>
      </c>
      <c r="V683" s="139">
        <v>7</v>
      </c>
      <c r="W683" s="138">
        <v>16</v>
      </c>
      <c r="Y683" s="136">
        <v>36.54</v>
      </c>
      <c r="Z683" s="139">
        <v>19</v>
      </c>
      <c r="AA683" s="138" t="s">
        <v>884</v>
      </c>
      <c r="AC683" s="136">
        <v>37.46</v>
      </c>
      <c r="AD683" s="139">
        <v>10</v>
      </c>
      <c r="AE683" s="138">
        <v>50</v>
      </c>
      <c r="AG683" s="136">
        <v>37.49</v>
      </c>
      <c r="AH683" s="137">
        <v>2</v>
      </c>
      <c r="AI683" s="138" t="s">
        <v>883</v>
      </c>
      <c r="AK683" s="136">
        <v>37.36</v>
      </c>
      <c r="AL683" s="139">
        <v>10</v>
      </c>
      <c r="AM683" s="138">
        <v>50</v>
      </c>
      <c r="AO683" s="136">
        <v>59.33</v>
      </c>
      <c r="AP683" s="139">
        <v>14</v>
      </c>
      <c r="AQ683" s="138">
        <v>91</v>
      </c>
      <c r="AS683" s="136">
        <v>37</v>
      </c>
      <c r="AT683" s="139">
        <v>1</v>
      </c>
      <c r="AU683" s="138" t="s">
        <v>883</v>
      </c>
      <c r="AW683" s="136">
        <v>59.44</v>
      </c>
      <c r="AX683" s="139">
        <v>14</v>
      </c>
      <c r="AY683" s="138">
        <v>91</v>
      </c>
      <c r="BA683" s="136">
        <v>37.46</v>
      </c>
      <c r="BB683" s="139">
        <v>19</v>
      </c>
      <c r="BC683" s="138" t="s">
        <v>884</v>
      </c>
    </row>
    <row r="684" spans="5:55" x14ac:dyDescent="0.3">
      <c r="E684" s="152">
        <v>37.61</v>
      </c>
      <c r="F684" s="153">
        <v>17</v>
      </c>
      <c r="G684" s="155" t="s">
        <v>873</v>
      </c>
      <c r="M684" s="136">
        <v>37.270000000000003</v>
      </c>
      <c r="N684" s="139">
        <v>2</v>
      </c>
      <c r="O684" s="138" t="s">
        <v>883</v>
      </c>
      <c r="U684" s="136">
        <v>37.46</v>
      </c>
      <c r="V684" s="139">
        <v>8</v>
      </c>
      <c r="W684" s="138">
        <v>25</v>
      </c>
      <c r="Y684" s="136">
        <v>37</v>
      </c>
      <c r="Z684" s="139">
        <v>1</v>
      </c>
      <c r="AA684" s="138" t="s">
        <v>883</v>
      </c>
      <c r="AC684" s="136">
        <v>37.479999999999997</v>
      </c>
      <c r="AD684" s="139">
        <v>11</v>
      </c>
      <c r="AE684" s="138">
        <v>63</v>
      </c>
      <c r="AG684" s="136">
        <v>37.51</v>
      </c>
      <c r="AH684" s="137">
        <v>3</v>
      </c>
      <c r="AI684" s="138">
        <v>1</v>
      </c>
      <c r="AK684" s="136">
        <v>37.380000000000003</v>
      </c>
      <c r="AL684" s="139">
        <v>11</v>
      </c>
      <c r="AM684" s="138">
        <v>63</v>
      </c>
      <c r="AO684" s="136">
        <v>59.34</v>
      </c>
      <c r="AP684" s="139">
        <v>15</v>
      </c>
      <c r="AQ684" s="138">
        <v>95</v>
      </c>
      <c r="AS684" s="136">
        <v>37.28</v>
      </c>
      <c r="AT684" s="139">
        <v>2</v>
      </c>
      <c r="AU684" s="138" t="s">
        <v>883</v>
      </c>
      <c r="AW684" s="136">
        <v>59.46</v>
      </c>
      <c r="AX684" s="139">
        <v>15</v>
      </c>
      <c r="AY684" s="138">
        <v>95</v>
      </c>
      <c r="BA684" s="136">
        <v>38</v>
      </c>
      <c r="BB684" s="139">
        <v>1</v>
      </c>
      <c r="BC684" s="138" t="s">
        <v>883</v>
      </c>
    </row>
    <row r="685" spans="5:55" x14ac:dyDescent="0.3">
      <c r="E685" s="152">
        <v>37.619999999999997</v>
      </c>
      <c r="F685" s="153">
        <v>18</v>
      </c>
      <c r="G685" s="155" t="s">
        <v>874</v>
      </c>
      <c r="M685" s="136">
        <v>37.340000000000003</v>
      </c>
      <c r="N685" s="139">
        <v>3</v>
      </c>
      <c r="O685" s="138">
        <v>1</v>
      </c>
      <c r="U685" s="136">
        <v>37.479999999999997</v>
      </c>
      <c r="V685" s="139">
        <v>9</v>
      </c>
      <c r="W685" s="138">
        <v>37</v>
      </c>
      <c r="Y685" s="136">
        <v>37.26</v>
      </c>
      <c r="Z685" s="139">
        <v>2</v>
      </c>
      <c r="AA685" s="138" t="s">
        <v>883</v>
      </c>
      <c r="AC685" s="136">
        <v>37.5</v>
      </c>
      <c r="AD685" s="139">
        <v>12</v>
      </c>
      <c r="AE685" s="138">
        <v>75</v>
      </c>
      <c r="AG685" s="136">
        <v>37.57</v>
      </c>
      <c r="AH685" s="137">
        <v>4</v>
      </c>
      <c r="AI685" s="138">
        <v>2</v>
      </c>
      <c r="AK685" s="136">
        <v>37.39</v>
      </c>
      <c r="AL685" s="139">
        <v>12</v>
      </c>
      <c r="AM685" s="138">
        <v>75</v>
      </c>
      <c r="AO685" s="136">
        <v>59.35</v>
      </c>
      <c r="AP685" s="139">
        <v>16</v>
      </c>
      <c r="AQ685" s="138">
        <v>98</v>
      </c>
      <c r="AS685" s="136">
        <v>37.31</v>
      </c>
      <c r="AT685" s="139">
        <v>3</v>
      </c>
      <c r="AU685" s="138">
        <v>1</v>
      </c>
      <c r="AW685" s="136">
        <v>59.48</v>
      </c>
      <c r="AX685" s="139">
        <v>16</v>
      </c>
      <c r="AY685" s="138">
        <v>98</v>
      </c>
      <c r="BA685" s="136">
        <v>38.130000000000003</v>
      </c>
      <c r="BB685" s="139">
        <v>2</v>
      </c>
      <c r="BC685" s="138" t="s">
        <v>883</v>
      </c>
    </row>
    <row r="686" spans="5:55" x14ac:dyDescent="0.3">
      <c r="E686" s="152">
        <v>37.65</v>
      </c>
      <c r="F686" s="153">
        <v>19</v>
      </c>
      <c r="G686" s="155" t="s">
        <v>874</v>
      </c>
      <c r="M686" s="136">
        <v>37.369999999999997</v>
      </c>
      <c r="N686" s="139">
        <v>4</v>
      </c>
      <c r="O686" s="138">
        <v>2</v>
      </c>
      <c r="U686" s="136">
        <v>37.51</v>
      </c>
      <c r="V686" s="139">
        <v>10</v>
      </c>
      <c r="W686" s="138">
        <v>50</v>
      </c>
      <c r="Y686" s="136">
        <v>37.29</v>
      </c>
      <c r="Z686" s="139">
        <v>3</v>
      </c>
      <c r="AA686" s="138">
        <v>1</v>
      </c>
      <c r="AC686" s="136">
        <v>37.53</v>
      </c>
      <c r="AD686" s="139">
        <v>13</v>
      </c>
      <c r="AE686" s="138">
        <v>85</v>
      </c>
      <c r="AG686" s="136">
        <v>37.590000000000003</v>
      </c>
      <c r="AH686" s="137">
        <v>5</v>
      </c>
      <c r="AI686" s="138">
        <v>5</v>
      </c>
      <c r="AK686" s="136">
        <v>37.4</v>
      </c>
      <c r="AL686" s="139">
        <v>13</v>
      </c>
      <c r="AM686" s="138">
        <v>85</v>
      </c>
      <c r="AO686" s="136">
        <v>59.37</v>
      </c>
      <c r="AP686" s="139">
        <v>17</v>
      </c>
      <c r="AQ686" s="138">
        <v>99</v>
      </c>
      <c r="AS686" s="136">
        <v>37.340000000000003</v>
      </c>
      <c r="AT686" s="139">
        <v>4</v>
      </c>
      <c r="AU686" s="138">
        <v>2</v>
      </c>
      <c r="AW686" s="136">
        <v>59.51</v>
      </c>
      <c r="AX686" s="139">
        <v>17</v>
      </c>
      <c r="AY686" s="138">
        <v>99</v>
      </c>
      <c r="BA686" s="136">
        <v>38.17</v>
      </c>
      <c r="BB686" s="139">
        <v>3</v>
      </c>
      <c r="BC686" s="138">
        <v>1</v>
      </c>
    </row>
    <row r="687" spans="5:55" x14ac:dyDescent="0.3">
      <c r="E687" s="152">
        <v>38</v>
      </c>
      <c r="F687" s="153">
        <v>1</v>
      </c>
      <c r="G687" s="155" t="s">
        <v>862</v>
      </c>
      <c r="M687" s="136">
        <v>37.39</v>
      </c>
      <c r="N687" s="139">
        <v>5</v>
      </c>
      <c r="O687" s="138">
        <v>5</v>
      </c>
      <c r="U687" s="136">
        <v>37.53</v>
      </c>
      <c r="V687" s="139">
        <v>11</v>
      </c>
      <c r="W687" s="138">
        <v>63</v>
      </c>
      <c r="Y687" s="136">
        <v>37.299999999999997</v>
      </c>
      <c r="Z687" s="139">
        <v>4</v>
      </c>
      <c r="AA687" s="138">
        <v>2</v>
      </c>
      <c r="AC687" s="136">
        <v>37.549999999999997</v>
      </c>
      <c r="AD687" s="139">
        <v>14</v>
      </c>
      <c r="AE687" s="138">
        <v>91</v>
      </c>
      <c r="AG687" s="136">
        <v>37.61</v>
      </c>
      <c r="AH687" s="137">
        <v>6</v>
      </c>
      <c r="AI687" s="138">
        <v>9</v>
      </c>
      <c r="AK687" s="136">
        <v>37.409999999999997</v>
      </c>
      <c r="AL687" s="139">
        <v>14</v>
      </c>
      <c r="AM687" s="138">
        <v>91</v>
      </c>
      <c r="AO687" s="136">
        <v>59.38</v>
      </c>
      <c r="AP687" s="139">
        <v>18</v>
      </c>
      <c r="AQ687" s="138" t="s">
        <v>884</v>
      </c>
      <c r="AS687" s="136">
        <v>37.36</v>
      </c>
      <c r="AT687" s="139">
        <v>5</v>
      </c>
      <c r="AU687" s="138">
        <v>5</v>
      </c>
      <c r="AW687" s="136">
        <v>59.53</v>
      </c>
      <c r="AX687" s="139">
        <v>18</v>
      </c>
      <c r="AY687" s="138" t="s">
        <v>884</v>
      </c>
      <c r="BA687" s="136">
        <v>38.19</v>
      </c>
      <c r="BB687" s="139">
        <v>4</v>
      </c>
      <c r="BC687" s="138">
        <v>2</v>
      </c>
    </row>
    <row r="688" spans="5:55" x14ac:dyDescent="0.3">
      <c r="E688" s="152">
        <v>38.299999999999997</v>
      </c>
      <c r="F688" s="153">
        <v>2</v>
      </c>
      <c r="G688" s="155" t="s">
        <v>862</v>
      </c>
      <c r="M688" s="136">
        <v>37.409999999999997</v>
      </c>
      <c r="N688" s="139">
        <v>6</v>
      </c>
      <c r="O688" s="138">
        <v>9</v>
      </c>
      <c r="U688" s="136">
        <v>37.56</v>
      </c>
      <c r="V688" s="139">
        <v>12</v>
      </c>
      <c r="W688" s="138">
        <v>75</v>
      </c>
      <c r="Y688" s="136">
        <v>37.32</v>
      </c>
      <c r="Z688" s="139">
        <v>5</v>
      </c>
      <c r="AA688" s="138">
        <v>5</v>
      </c>
      <c r="AC688" s="136">
        <v>37.57</v>
      </c>
      <c r="AD688" s="139">
        <v>15</v>
      </c>
      <c r="AE688" s="138">
        <v>95</v>
      </c>
      <c r="AG688" s="136">
        <v>37.630000000000003</v>
      </c>
      <c r="AH688" s="137">
        <v>7</v>
      </c>
      <c r="AI688" s="138">
        <v>16</v>
      </c>
      <c r="AK688" s="136">
        <v>37.42</v>
      </c>
      <c r="AL688" s="139">
        <v>15</v>
      </c>
      <c r="AM688" s="138">
        <v>95</v>
      </c>
      <c r="AO688" s="136">
        <v>59.41</v>
      </c>
      <c r="AP688" s="139">
        <v>19</v>
      </c>
      <c r="AQ688" s="138" t="s">
        <v>884</v>
      </c>
      <c r="AS688" s="136">
        <v>37.369999999999997</v>
      </c>
      <c r="AT688" s="139">
        <v>6</v>
      </c>
      <c r="AU688" s="138">
        <v>9</v>
      </c>
      <c r="AW688" s="136">
        <v>59.55</v>
      </c>
      <c r="AX688" s="139">
        <v>19</v>
      </c>
      <c r="AY688" s="138" t="s">
        <v>884</v>
      </c>
      <c r="BA688" s="136">
        <v>38.200000000000003</v>
      </c>
      <c r="BB688" s="139">
        <v>5</v>
      </c>
      <c r="BC688" s="138">
        <v>5</v>
      </c>
    </row>
    <row r="689" spans="5:55" x14ac:dyDescent="0.3">
      <c r="E689" s="152">
        <v>38.32</v>
      </c>
      <c r="F689" s="153">
        <v>3</v>
      </c>
      <c r="G689" s="155" t="s">
        <v>876</v>
      </c>
      <c r="M689" s="136">
        <v>37.44</v>
      </c>
      <c r="N689" s="139">
        <v>7</v>
      </c>
      <c r="O689" s="138">
        <v>16</v>
      </c>
      <c r="U689" s="136">
        <v>37.58</v>
      </c>
      <c r="V689" s="139">
        <v>13</v>
      </c>
      <c r="W689" s="138">
        <v>85</v>
      </c>
      <c r="Y689" s="136">
        <v>37.33</v>
      </c>
      <c r="Z689" s="139">
        <v>6</v>
      </c>
      <c r="AA689" s="138">
        <v>9</v>
      </c>
      <c r="AC689" s="136">
        <v>37.590000000000003</v>
      </c>
      <c r="AD689" s="139">
        <v>16</v>
      </c>
      <c r="AE689" s="138">
        <v>98</v>
      </c>
      <c r="AG689" s="136">
        <v>37.65</v>
      </c>
      <c r="AH689" s="137">
        <v>8</v>
      </c>
      <c r="AI689" s="138">
        <v>25</v>
      </c>
      <c r="AK689" s="136">
        <v>37.43</v>
      </c>
      <c r="AL689" s="139">
        <v>16</v>
      </c>
      <c r="AM689" s="138">
        <v>98</v>
      </c>
      <c r="AS689" s="136">
        <v>37.380000000000003</v>
      </c>
      <c r="AT689" s="139">
        <v>7</v>
      </c>
      <c r="AU689" s="138">
        <v>16</v>
      </c>
      <c r="BA689" s="136">
        <v>38.21</v>
      </c>
      <c r="BB689" s="139">
        <v>6</v>
      </c>
      <c r="BC689" s="138">
        <v>9</v>
      </c>
    </row>
    <row r="690" spans="5:55" x14ac:dyDescent="0.3">
      <c r="E690" s="152">
        <v>38.369999999999997</v>
      </c>
      <c r="F690" s="153">
        <v>4</v>
      </c>
      <c r="G690" s="155" t="s">
        <v>863</v>
      </c>
      <c r="M690" s="136">
        <v>37.46</v>
      </c>
      <c r="N690" s="139">
        <v>8</v>
      </c>
      <c r="O690" s="138">
        <v>25</v>
      </c>
      <c r="U690" s="136">
        <v>37.6</v>
      </c>
      <c r="V690" s="139">
        <v>14</v>
      </c>
      <c r="W690" s="138">
        <v>91</v>
      </c>
      <c r="Y690" s="136">
        <v>37.340000000000003</v>
      </c>
      <c r="Z690" s="139">
        <v>7</v>
      </c>
      <c r="AA690" s="138">
        <v>16</v>
      </c>
      <c r="AC690" s="136">
        <v>37.619999999999997</v>
      </c>
      <c r="AD690" s="139">
        <v>17</v>
      </c>
      <c r="AE690" s="138">
        <v>99</v>
      </c>
      <c r="AG690" s="136">
        <v>37.67</v>
      </c>
      <c r="AH690" s="137">
        <v>9</v>
      </c>
      <c r="AI690" s="138">
        <v>37</v>
      </c>
      <c r="AK690" s="136">
        <v>37.46</v>
      </c>
      <c r="AL690" s="139">
        <v>17</v>
      </c>
      <c r="AM690" s="138">
        <v>99</v>
      </c>
      <c r="AS690" s="136">
        <v>37.4</v>
      </c>
      <c r="AT690" s="139">
        <v>8</v>
      </c>
      <c r="AU690" s="138">
        <v>25</v>
      </c>
      <c r="BA690" s="136">
        <v>38.229999999999997</v>
      </c>
      <c r="BB690" s="139">
        <v>7</v>
      </c>
      <c r="BC690" s="138">
        <v>16</v>
      </c>
    </row>
    <row r="691" spans="5:55" x14ac:dyDescent="0.3">
      <c r="E691" s="152">
        <v>38.4</v>
      </c>
      <c r="F691" s="153">
        <v>5</v>
      </c>
      <c r="G691" s="155" t="s">
        <v>877</v>
      </c>
      <c r="M691" s="136">
        <v>37.47</v>
      </c>
      <c r="N691" s="139">
        <v>9</v>
      </c>
      <c r="O691" s="138">
        <v>37</v>
      </c>
      <c r="U691" s="136">
        <v>37.630000000000003</v>
      </c>
      <c r="V691" s="139">
        <v>15</v>
      </c>
      <c r="W691" s="138">
        <v>95</v>
      </c>
      <c r="Y691" s="136">
        <v>37.36</v>
      </c>
      <c r="Z691" s="139">
        <v>8</v>
      </c>
      <c r="AA691" s="138">
        <v>25</v>
      </c>
      <c r="AC691" s="136">
        <v>37.64</v>
      </c>
      <c r="AD691" s="139">
        <v>18</v>
      </c>
      <c r="AE691" s="138" t="s">
        <v>884</v>
      </c>
      <c r="AG691" s="136">
        <v>37.69</v>
      </c>
      <c r="AH691" s="137">
        <v>10</v>
      </c>
      <c r="AI691" s="138">
        <v>50</v>
      </c>
      <c r="AK691" s="136">
        <v>37.479999999999997</v>
      </c>
      <c r="AL691" s="139">
        <v>18</v>
      </c>
      <c r="AM691" s="138" t="s">
        <v>884</v>
      </c>
      <c r="AS691" s="136">
        <v>37.409999999999997</v>
      </c>
      <c r="AT691" s="139">
        <v>9</v>
      </c>
      <c r="AU691" s="138">
        <v>37</v>
      </c>
      <c r="BA691" s="136">
        <v>38.24</v>
      </c>
      <c r="BB691" s="139">
        <v>8</v>
      </c>
      <c r="BC691" s="138">
        <v>25</v>
      </c>
    </row>
    <row r="692" spans="5:55" x14ac:dyDescent="0.3">
      <c r="E692" s="152">
        <v>38.42</v>
      </c>
      <c r="F692" s="153">
        <v>6</v>
      </c>
      <c r="G692" s="155" t="s">
        <v>864</v>
      </c>
      <c r="M692" s="136">
        <v>37.479999999999997</v>
      </c>
      <c r="N692" s="139">
        <v>10</v>
      </c>
      <c r="O692" s="138">
        <v>50</v>
      </c>
      <c r="U692" s="136">
        <v>37.65</v>
      </c>
      <c r="V692" s="139">
        <v>16</v>
      </c>
      <c r="W692" s="138">
        <v>98</v>
      </c>
      <c r="Y692" s="136">
        <v>37.369999999999997</v>
      </c>
      <c r="Z692" s="139">
        <v>9</v>
      </c>
      <c r="AA692" s="138">
        <v>37</v>
      </c>
      <c r="AC692" s="136">
        <v>37.68</v>
      </c>
      <c r="AD692" s="139">
        <v>19</v>
      </c>
      <c r="AE692" s="138" t="s">
        <v>884</v>
      </c>
      <c r="AG692" s="136">
        <v>37.71</v>
      </c>
      <c r="AH692" s="137">
        <v>11</v>
      </c>
      <c r="AI692" s="138">
        <v>63</v>
      </c>
      <c r="AK692" s="136">
        <v>37.49</v>
      </c>
      <c r="AL692" s="139">
        <v>19</v>
      </c>
      <c r="AM692" s="138" t="s">
        <v>884</v>
      </c>
      <c r="AS692" s="136">
        <v>37.43</v>
      </c>
      <c r="AT692" s="139">
        <v>10</v>
      </c>
      <c r="AU692" s="138">
        <v>50</v>
      </c>
      <c r="BA692" s="136">
        <v>38.26</v>
      </c>
      <c r="BB692" s="139">
        <v>9</v>
      </c>
      <c r="BC692" s="138">
        <v>37</v>
      </c>
    </row>
    <row r="693" spans="5:55" x14ac:dyDescent="0.3">
      <c r="E693" s="152">
        <v>38.44</v>
      </c>
      <c r="F693" s="153">
        <v>7</v>
      </c>
      <c r="G693" s="155" t="s">
        <v>878</v>
      </c>
      <c r="M693" s="136">
        <v>37.49</v>
      </c>
      <c r="N693" s="139">
        <v>11</v>
      </c>
      <c r="O693" s="138">
        <v>63</v>
      </c>
      <c r="U693" s="136">
        <v>37.68</v>
      </c>
      <c r="V693" s="139">
        <v>17</v>
      </c>
      <c r="W693" s="138">
        <v>99</v>
      </c>
      <c r="Y693" s="136">
        <v>37.380000000000003</v>
      </c>
      <c r="Z693" s="139">
        <v>10</v>
      </c>
      <c r="AA693" s="138">
        <v>50</v>
      </c>
      <c r="AC693" s="136">
        <v>38</v>
      </c>
      <c r="AD693" s="139">
        <v>1</v>
      </c>
      <c r="AE693" s="138" t="s">
        <v>883</v>
      </c>
      <c r="AG693" s="136">
        <v>37.72</v>
      </c>
      <c r="AH693" s="137">
        <v>12</v>
      </c>
      <c r="AI693" s="138">
        <v>75</v>
      </c>
      <c r="AK693" s="136">
        <v>38</v>
      </c>
      <c r="AL693" s="139">
        <v>1</v>
      </c>
      <c r="AM693" s="138" t="s">
        <v>883</v>
      </c>
      <c r="AS693" s="136">
        <v>37.44</v>
      </c>
      <c r="AT693" s="139">
        <v>11</v>
      </c>
      <c r="AU693" s="138">
        <v>63</v>
      </c>
      <c r="BA693" s="136">
        <v>38.270000000000003</v>
      </c>
      <c r="BB693" s="139">
        <v>10</v>
      </c>
      <c r="BC693" s="138">
        <v>50</v>
      </c>
    </row>
    <row r="694" spans="5:55" x14ac:dyDescent="0.3">
      <c r="E694" s="152">
        <v>38.46</v>
      </c>
      <c r="F694" s="153">
        <v>8</v>
      </c>
      <c r="G694" s="155" t="s">
        <v>865</v>
      </c>
      <c r="M694" s="136">
        <v>37.5</v>
      </c>
      <c r="N694" s="139">
        <v>12</v>
      </c>
      <c r="O694" s="138">
        <v>75</v>
      </c>
      <c r="U694" s="136">
        <v>37.700000000000003</v>
      </c>
      <c r="V694" s="139">
        <v>18</v>
      </c>
      <c r="W694" s="138" t="s">
        <v>884</v>
      </c>
      <c r="Y694" s="136">
        <v>37.4</v>
      </c>
      <c r="Z694" s="139">
        <v>11</v>
      </c>
      <c r="AA694" s="138">
        <v>63</v>
      </c>
      <c r="AC694" s="136">
        <v>38.26</v>
      </c>
      <c r="AD694" s="139">
        <v>2</v>
      </c>
      <c r="AE694" s="138" t="s">
        <v>883</v>
      </c>
      <c r="AG694" s="136">
        <v>37.729999999999997</v>
      </c>
      <c r="AH694" s="137">
        <v>13</v>
      </c>
      <c r="AI694" s="138">
        <v>85</v>
      </c>
      <c r="AK694" s="136">
        <v>38.25</v>
      </c>
      <c r="AL694" s="139">
        <v>2</v>
      </c>
      <c r="AM694" s="138" t="s">
        <v>883</v>
      </c>
      <c r="AS694" s="136">
        <v>37.450000000000003</v>
      </c>
      <c r="AT694" s="139">
        <v>12</v>
      </c>
      <c r="AU694" s="138">
        <v>75</v>
      </c>
      <c r="BA694" s="136">
        <v>38.29</v>
      </c>
      <c r="BB694" s="139">
        <v>11</v>
      </c>
      <c r="BC694" s="138">
        <v>63</v>
      </c>
    </row>
    <row r="695" spans="5:55" x14ac:dyDescent="0.3">
      <c r="E695" s="152">
        <v>38.479999999999997</v>
      </c>
      <c r="F695" s="153">
        <v>9</v>
      </c>
      <c r="G695" s="155" t="s">
        <v>879</v>
      </c>
      <c r="M695" s="136">
        <v>37.51</v>
      </c>
      <c r="N695" s="139">
        <v>13</v>
      </c>
      <c r="O695" s="138">
        <v>85</v>
      </c>
      <c r="U695" s="136">
        <v>37.729999999999997</v>
      </c>
      <c r="V695" s="139">
        <v>19</v>
      </c>
      <c r="W695" s="138" t="s">
        <v>884</v>
      </c>
      <c r="Y695" s="136">
        <v>37.409999999999997</v>
      </c>
      <c r="Z695" s="139">
        <v>12</v>
      </c>
      <c r="AA695" s="138">
        <v>75</v>
      </c>
      <c r="AC695" s="136">
        <v>38.299999999999997</v>
      </c>
      <c r="AD695" s="139">
        <v>3</v>
      </c>
      <c r="AE695" s="138">
        <v>1</v>
      </c>
      <c r="AG695" s="136">
        <v>37.75</v>
      </c>
      <c r="AH695" s="137">
        <v>14</v>
      </c>
      <c r="AI695" s="138">
        <v>91</v>
      </c>
      <c r="AK695" s="136">
        <v>38.26</v>
      </c>
      <c r="AL695" s="139">
        <v>3</v>
      </c>
      <c r="AM695" s="138">
        <v>1</v>
      </c>
      <c r="AS695" s="136">
        <v>37.46</v>
      </c>
      <c r="AT695" s="139">
        <v>13</v>
      </c>
      <c r="AU695" s="138">
        <v>85</v>
      </c>
      <c r="BA695" s="136">
        <v>38.31</v>
      </c>
      <c r="BB695" s="139">
        <v>12</v>
      </c>
      <c r="BC695" s="138">
        <v>75</v>
      </c>
    </row>
    <row r="696" spans="5:55" x14ac:dyDescent="0.3">
      <c r="E696" s="152">
        <v>38.5</v>
      </c>
      <c r="F696" s="153">
        <v>10</v>
      </c>
      <c r="G696" s="155" t="s">
        <v>866</v>
      </c>
      <c r="M696" s="136">
        <v>37.520000000000003</v>
      </c>
      <c r="N696" s="139">
        <v>14</v>
      </c>
      <c r="O696" s="138">
        <v>91</v>
      </c>
      <c r="U696" s="136">
        <v>38</v>
      </c>
      <c r="V696" s="139">
        <v>1</v>
      </c>
      <c r="W696" s="138" t="s">
        <v>883</v>
      </c>
      <c r="Y696" s="136">
        <v>37.42</v>
      </c>
      <c r="Z696" s="139">
        <v>13</v>
      </c>
      <c r="AA696" s="138">
        <v>85</v>
      </c>
      <c r="AC696" s="136">
        <v>38.32</v>
      </c>
      <c r="AD696" s="139">
        <v>4</v>
      </c>
      <c r="AE696" s="138">
        <v>2</v>
      </c>
      <c r="AG696" s="136">
        <v>37.76</v>
      </c>
      <c r="AH696" s="137">
        <v>15</v>
      </c>
      <c r="AI696" s="138">
        <v>95</v>
      </c>
      <c r="AK696" s="136">
        <v>38.29</v>
      </c>
      <c r="AL696" s="139">
        <v>4</v>
      </c>
      <c r="AM696" s="138">
        <v>2</v>
      </c>
      <c r="AS696" s="136">
        <v>37.47</v>
      </c>
      <c r="AT696" s="139">
        <v>14</v>
      </c>
      <c r="AU696" s="138">
        <v>91</v>
      </c>
      <c r="BA696" s="136">
        <v>38.32</v>
      </c>
      <c r="BB696" s="139">
        <v>13</v>
      </c>
      <c r="BC696" s="138">
        <v>85</v>
      </c>
    </row>
    <row r="697" spans="5:55" x14ac:dyDescent="0.3">
      <c r="E697" s="152">
        <v>38.520000000000003</v>
      </c>
      <c r="F697" s="153">
        <v>11</v>
      </c>
      <c r="G697" s="155" t="s">
        <v>867</v>
      </c>
      <c r="M697" s="136">
        <v>37.54</v>
      </c>
      <c r="N697" s="139">
        <v>15</v>
      </c>
      <c r="O697" s="138">
        <v>95</v>
      </c>
      <c r="U697" s="136">
        <v>38.229999999999997</v>
      </c>
      <c r="V697" s="139">
        <v>2</v>
      </c>
      <c r="W697" s="138" t="s">
        <v>883</v>
      </c>
      <c r="Y697" s="136">
        <v>37.44</v>
      </c>
      <c r="Z697" s="139">
        <v>14</v>
      </c>
      <c r="AA697" s="138">
        <v>91</v>
      </c>
      <c r="AC697" s="136">
        <v>38.35</v>
      </c>
      <c r="AD697" s="139">
        <v>5</v>
      </c>
      <c r="AE697" s="138">
        <v>5</v>
      </c>
      <c r="AG697" s="136">
        <v>37.78</v>
      </c>
      <c r="AH697" s="137">
        <v>16</v>
      </c>
      <c r="AI697" s="138">
        <v>98</v>
      </c>
      <c r="AK697" s="136">
        <v>38.299999999999997</v>
      </c>
      <c r="AL697" s="139">
        <v>5</v>
      </c>
      <c r="AM697" s="138">
        <v>5</v>
      </c>
      <c r="AS697" s="136">
        <v>37.49</v>
      </c>
      <c r="AT697" s="139">
        <v>15</v>
      </c>
      <c r="AU697" s="138">
        <v>95</v>
      </c>
      <c r="BA697" s="136">
        <v>38.340000000000003</v>
      </c>
      <c r="BB697" s="139">
        <v>14</v>
      </c>
      <c r="BC697" s="138">
        <v>91</v>
      </c>
    </row>
    <row r="698" spans="5:55" x14ac:dyDescent="0.3">
      <c r="E698" s="152">
        <v>38.54</v>
      </c>
      <c r="F698" s="153">
        <v>12</v>
      </c>
      <c r="G698" s="155" t="s">
        <v>868</v>
      </c>
      <c r="M698" s="136">
        <v>37.549999999999997</v>
      </c>
      <c r="N698" s="139">
        <v>16</v>
      </c>
      <c r="O698" s="138">
        <v>98</v>
      </c>
      <c r="U698" s="136">
        <v>38.26</v>
      </c>
      <c r="V698" s="139">
        <v>3</v>
      </c>
      <c r="W698" s="138">
        <v>1</v>
      </c>
      <c r="Y698" s="136">
        <v>37.450000000000003</v>
      </c>
      <c r="Z698" s="139">
        <v>15</v>
      </c>
      <c r="AA698" s="138">
        <v>96</v>
      </c>
      <c r="AC698" s="136">
        <v>38.369999999999997</v>
      </c>
      <c r="AD698" s="139">
        <v>6</v>
      </c>
      <c r="AE698" s="138">
        <v>9</v>
      </c>
      <c r="AG698" s="136">
        <v>37.79</v>
      </c>
      <c r="AH698" s="137">
        <v>17</v>
      </c>
      <c r="AI698" s="138">
        <v>99</v>
      </c>
      <c r="AK698" s="136">
        <v>38.31</v>
      </c>
      <c r="AL698" s="139">
        <v>6</v>
      </c>
      <c r="AM698" s="138">
        <v>9</v>
      </c>
      <c r="AS698" s="136">
        <v>37.5</v>
      </c>
      <c r="AT698" s="139">
        <v>16</v>
      </c>
      <c r="AU698" s="138">
        <v>98</v>
      </c>
      <c r="BA698" s="136">
        <v>38.36</v>
      </c>
      <c r="BB698" s="139">
        <v>15</v>
      </c>
      <c r="BC698" s="138">
        <v>95</v>
      </c>
    </row>
    <row r="699" spans="5:55" x14ac:dyDescent="0.3">
      <c r="E699" s="152">
        <v>38.549999999999997</v>
      </c>
      <c r="F699" s="153">
        <v>13</v>
      </c>
      <c r="G699" s="155" t="s">
        <v>869</v>
      </c>
      <c r="M699" s="136">
        <v>37.56</v>
      </c>
      <c r="N699" s="139">
        <v>17</v>
      </c>
      <c r="O699" s="138">
        <v>99</v>
      </c>
      <c r="U699" s="136">
        <v>38.33</v>
      </c>
      <c r="V699" s="139">
        <v>4</v>
      </c>
      <c r="W699" s="138">
        <v>2</v>
      </c>
      <c r="Y699" s="136">
        <v>37.47</v>
      </c>
      <c r="Z699" s="139">
        <v>16</v>
      </c>
      <c r="AA699" s="138">
        <v>98</v>
      </c>
      <c r="AC699" s="136">
        <v>38.39</v>
      </c>
      <c r="AD699" s="139">
        <v>7</v>
      </c>
      <c r="AE699" s="138">
        <v>16</v>
      </c>
      <c r="AG699" s="136">
        <v>37.81</v>
      </c>
      <c r="AH699" s="137">
        <v>18</v>
      </c>
      <c r="AI699" s="138" t="s">
        <v>884</v>
      </c>
      <c r="AK699" s="136">
        <v>38.33</v>
      </c>
      <c r="AL699" s="139">
        <v>7</v>
      </c>
      <c r="AM699" s="138">
        <v>16</v>
      </c>
      <c r="AS699" s="136">
        <v>37.51</v>
      </c>
      <c r="AT699" s="139">
        <v>17</v>
      </c>
      <c r="AU699" s="138">
        <v>99</v>
      </c>
      <c r="BA699" s="136">
        <v>38.369999999999997</v>
      </c>
      <c r="BB699" s="139">
        <v>16</v>
      </c>
      <c r="BC699" s="138">
        <v>98</v>
      </c>
    </row>
    <row r="700" spans="5:55" x14ac:dyDescent="0.3">
      <c r="E700" s="152">
        <v>38.57</v>
      </c>
      <c r="F700" s="153">
        <v>14</v>
      </c>
      <c r="G700" s="155" t="s">
        <v>870</v>
      </c>
      <c r="M700" s="136">
        <v>37.57</v>
      </c>
      <c r="N700" s="139">
        <v>18</v>
      </c>
      <c r="O700" s="138" t="s">
        <v>884</v>
      </c>
      <c r="U700" s="136">
        <v>38.369999999999997</v>
      </c>
      <c r="V700" s="139">
        <v>5</v>
      </c>
      <c r="W700" s="138">
        <v>5</v>
      </c>
      <c r="Y700" s="136">
        <v>37.5</v>
      </c>
      <c r="Z700" s="139">
        <v>17</v>
      </c>
      <c r="AA700" s="138">
        <v>99</v>
      </c>
      <c r="AC700" s="136">
        <v>38.409999999999997</v>
      </c>
      <c r="AD700" s="139">
        <v>8</v>
      </c>
      <c r="AE700" s="138">
        <v>25</v>
      </c>
      <c r="AG700" s="136">
        <v>37.83</v>
      </c>
      <c r="AH700" s="137">
        <v>19</v>
      </c>
      <c r="AI700" s="138" t="s">
        <v>884</v>
      </c>
      <c r="AK700" s="136">
        <v>38.340000000000003</v>
      </c>
      <c r="AL700" s="139">
        <v>8</v>
      </c>
      <c r="AM700" s="138">
        <v>25</v>
      </c>
      <c r="AS700" s="136">
        <v>37.53</v>
      </c>
      <c r="AT700" s="139">
        <v>18</v>
      </c>
      <c r="AU700" s="138" t="s">
        <v>884</v>
      </c>
      <c r="BA700" s="136">
        <v>38.409999999999997</v>
      </c>
      <c r="BB700" s="139">
        <v>17</v>
      </c>
      <c r="BC700" s="138">
        <v>99</v>
      </c>
    </row>
    <row r="701" spans="5:55" x14ac:dyDescent="0.3">
      <c r="E701" s="152">
        <v>38.58</v>
      </c>
      <c r="F701" s="153">
        <v>15</v>
      </c>
      <c r="G701" s="155" t="s">
        <v>871</v>
      </c>
      <c r="M701" s="136">
        <v>37.58</v>
      </c>
      <c r="N701" s="139">
        <v>19</v>
      </c>
      <c r="O701" s="138" t="s">
        <v>884</v>
      </c>
      <c r="U701" s="136">
        <v>38.4</v>
      </c>
      <c r="V701" s="139">
        <v>6</v>
      </c>
      <c r="W701" s="138">
        <v>9</v>
      </c>
      <c r="Y701" s="136">
        <v>37.51</v>
      </c>
      <c r="Z701" s="139">
        <v>18</v>
      </c>
      <c r="AA701" s="138" t="s">
        <v>874</v>
      </c>
      <c r="AC701" s="136">
        <v>38.44</v>
      </c>
      <c r="AD701" s="139">
        <v>9</v>
      </c>
      <c r="AE701" s="138">
        <v>37</v>
      </c>
      <c r="AG701" s="136">
        <v>38</v>
      </c>
      <c r="AH701" s="137">
        <v>1</v>
      </c>
      <c r="AI701" s="138" t="s">
        <v>883</v>
      </c>
      <c r="AK701" s="136">
        <v>38.35</v>
      </c>
      <c r="AL701" s="139">
        <v>9</v>
      </c>
      <c r="AM701" s="138">
        <v>37</v>
      </c>
      <c r="AS701" s="136">
        <v>37.549999999999997</v>
      </c>
      <c r="AT701" s="139">
        <v>19</v>
      </c>
      <c r="AU701" s="138" t="s">
        <v>884</v>
      </c>
      <c r="BA701" s="136">
        <v>38.43</v>
      </c>
      <c r="BB701" s="139">
        <v>18</v>
      </c>
      <c r="BC701" s="138" t="s">
        <v>884</v>
      </c>
    </row>
    <row r="702" spans="5:55" x14ac:dyDescent="0.3">
      <c r="E702" s="152">
        <v>38.6</v>
      </c>
      <c r="F702" s="153">
        <v>16</v>
      </c>
      <c r="G702" s="155" t="s">
        <v>872</v>
      </c>
      <c r="M702" s="136">
        <v>38</v>
      </c>
      <c r="N702" s="139">
        <v>1</v>
      </c>
      <c r="O702" s="138" t="s">
        <v>883</v>
      </c>
      <c r="U702" s="136">
        <v>38.43</v>
      </c>
      <c r="V702" s="139">
        <v>7</v>
      </c>
      <c r="W702" s="138">
        <v>16</v>
      </c>
      <c r="Y702" s="136">
        <v>37.54</v>
      </c>
      <c r="Z702" s="139">
        <v>19</v>
      </c>
      <c r="AA702" s="138" t="s">
        <v>874</v>
      </c>
      <c r="AC702" s="136">
        <v>38.46</v>
      </c>
      <c r="AD702" s="139">
        <v>10</v>
      </c>
      <c r="AE702" s="138">
        <v>50</v>
      </c>
      <c r="AG702" s="136">
        <v>38.49</v>
      </c>
      <c r="AH702" s="137">
        <v>2</v>
      </c>
      <c r="AI702" s="138" t="s">
        <v>883</v>
      </c>
      <c r="AK702" s="136">
        <v>38.36</v>
      </c>
      <c r="AL702" s="139">
        <v>10</v>
      </c>
      <c r="AM702" s="138">
        <v>50</v>
      </c>
      <c r="AS702" s="136">
        <v>38</v>
      </c>
      <c r="AT702" s="139">
        <v>1</v>
      </c>
      <c r="AU702" s="138" t="s">
        <v>883</v>
      </c>
      <c r="BA702" s="136">
        <v>38.46</v>
      </c>
      <c r="BB702" s="139">
        <v>19</v>
      </c>
      <c r="BC702" s="138" t="s">
        <v>884</v>
      </c>
    </row>
    <row r="703" spans="5:55" x14ac:dyDescent="0.3">
      <c r="E703" s="152">
        <v>38.61</v>
      </c>
      <c r="F703" s="153">
        <v>17</v>
      </c>
      <c r="G703" s="155" t="s">
        <v>873</v>
      </c>
      <c r="M703" s="136">
        <v>38.270000000000003</v>
      </c>
      <c r="N703" s="139">
        <v>2</v>
      </c>
      <c r="O703" s="138" t="s">
        <v>883</v>
      </c>
      <c r="U703" s="136">
        <v>38.46</v>
      </c>
      <c r="V703" s="139">
        <v>8</v>
      </c>
      <c r="W703" s="138">
        <v>25</v>
      </c>
      <c r="Y703" s="136">
        <v>38</v>
      </c>
      <c r="Z703" s="139">
        <v>1</v>
      </c>
      <c r="AA703" s="138" t="s">
        <v>883</v>
      </c>
      <c r="AC703" s="136">
        <v>38.479999999999997</v>
      </c>
      <c r="AD703" s="139">
        <v>11</v>
      </c>
      <c r="AE703" s="138">
        <v>63</v>
      </c>
      <c r="AG703" s="136">
        <v>38.51</v>
      </c>
      <c r="AH703" s="137">
        <v>3</v>
      </c>
      <c r="AI703" s="138">
        <v>1</v>
      </c>
      <c r="AK703" s="136">
        <v>38.380000000000003</v>
      </c>
      <c r="AL703" s="139">
        <v>11</v>
      </c>
      <c r="AM703" s="138">
        <v>63</v>
      </c>
      <c r="AS703" s="136">
        <v>38.28</v>
      </c>
      <c r="AT703" s="139">
        <v>2</v>
      </c>
      <c r="AU703" s="138" t="s">
        <v>883</v>
      </c>
      <c r="BA703" s="136">
        <v>39</v>
      </c>
      <c r="BB703" s="139">
        <v>1</v>
      </c>
      <c r="BC703" s="138" t="s">
        <v>883</v>
      </c>
    </row>
    <row r="704" spans="5:55" x14ac:dyDescent="0.3">
      <c r="E704" s="152">
        <v>38.619999999999997</v>
      </c>
      <c r="F704" s="153">
        <v>18</v>
      </c>
      <c r="G704" s="155" t="s">
        <v>874</v>
      </c>
      <c r="M704" s="136">
        <v>38.340000000000003</v>
      </c>
      <c r="N704" s="139">
        <v>3</v>
      </c>
      <c r="O704" s="138">
        <v>1</v>
      </c>
      <c r="U704" s="136">
        <v>38.479999999999997</v>
      </c>
      <c r="V704" s="139">
        <v>9</v>
      </c>
      <c r="W704" s="138">
        <v>37</v>
      </c>
      <c r="Y704" s="136">
        <v>38.26</v>
      </c>
      <c r="Z704" s="139">
        <v>2</v>
      </c>
      <c r="AA704" s="138" t="s">
        <v>883</v>
      </c>
      <c r="AC704" s="136">
        <v>38.5</v>
      </c>
      <c r="AD704" s="139">
        <v>12</v>
      </c>
      <c r="AE704" s="138">
        <v>75</v>
      </c>
      <c r="AG704" s="136">
        <v>38.57</v>
      </c>
      <c r="AH704" s="137">
        <v>4</v>
      </c>
      <c r="AI704" s="138">
        <v>2</v>
      </c>
      <c r="AK704" s="136">
        <v>38.39</v>
      </c>
      <c r="AL704" s="139">
        <v>12</v>
      </c>
      <c r="AM704" s="138">
        <v>75</v>
      </c>
      <c r="AS704" s="136">
        <v>38.31</v>
      </c>
      <c r="AT704" s="139">
        <v>3</v>
      </c>
      <c r="AU704" s="138">
        <v>1</v>
      </c>
      <c r="BA704" s="136">
        <v>39.159999999999997</v>
      </c>
      <c r="BB704" s="139">
        <v>2</v>
      </c>
      <c r="BC704" s="138" t="s">
        <v>883</v>
      </c>
    </row>
    <row r="705" spans="5:55" x14ac:dyDescent="0.3">
      <c r="E705" s="152">
        <v>38.65</v>
      </c>
      <c r="F705" s="153">
        <v>19</v>
      </c>
      <c r="G705" s="155" t="s">
        <v>874</v>
      </c>
      <c r="M705" s="136">
        <v>38.369999999999997</v>
      </c>
      <c r="N705" s="139">
        <v>4</v>
      </c>
      <c r="O705" s="138">
        <v>2</v>
      </c>
      <c r="U705" s="136">
        <v>38.51</v>
      </c>
      <c r="V705" s="139">
        <v>10</v>
      </c>
      <c r="W705" s="138">
        <v>50</v>
      </c>
      <c r="Y705" s="136">
        <v>38.29</v>
      </c>
      <c r="Z705" s="139">
        <v>3</v>
      </c>
      <c r="AA705" s="138">
        <v>1</v>
      </c>
      <c r="AC705" s="136">
        <v>38.53</v>
      </c>
      <c r="AD705" s="139">
        <v>13</v>
      </c>
      <c r="AE705" s="138">
        <v>85</v>
      </c>
      <c r="AG705" s="136">
        <v>38.590000000000003</v>
      </c>
      <c r="AH705" s="137">
        <v>5</v>
      </c>
      <c r="AI705" s="138">
        <v>5</v>
      </c>
      <c r="AK705" s="136">
        <v>38.4</v>
      </c>
      <c r="AL705" s="139">
        <v>13</v>
      </c>
      <c r="AM705" s="138">
        <v>85</v>
      </c>
      <c r="AS705" s="136">
        <v>38.340000000000003</v>
      </c>
      <c r="AT705" s="139">
        <v>4</v>
      </c>
      <c r="AU705" s="138">
        <v>2</v>
      </c>
      <c r="BA705" s="136">
        <v>39.19</v>
      </c>
      <c r="BB705" s="139">
        <v>3</v>
      </c>
      <c r="BC705" s="138">
        <v>1</v>
      </c>
    </row>
    <row r="706" spans="5:55" x14ac:dyDescent="0.3">
      <c r="E706" s="152">
        <v>39</v>
      </c>
      <c r="F706" s="153">
        <v>1</v>
      </c>
      <c r="G706" s="155" t="s">
        <v>862</v>
      </c>
      <c r="M706" s="136">
        <v>38.39</v>
      </c>
      <c r="N706" s="139">
        <v>5</v>
      </c>
      <c r="O706" s="138">
        <v>5</v>
      </c>
      <c r="U706" s="136">
        <v>38.53</v>
      </c>
      <c r="V706" s="139">
        <v>11</v>
      </c>
      <c r="W706" s="138">
        <v>63</v>
      </c>
      <c r="Y706" s="136">
        <v>38.299999999999997</v>
      </c>
      <c r="Z706" s="139">
        <v>4</v>
      </c>
      <c r="AA706" s="138">
        <v>2</v>
      </c>
      <c r="AC706" s="136">
        <v>38.549999999999997</v>
      </c>
      <c r="AD706" s="139">
        <v>14</v>
      </c>
      <c r="AE706" s="138">
        <v>91</v>
      </c>
      <c r="AG706" s="136">
        <v>38.61</v>
      </c>
      <c r="AH706" s="137">
        <v>6</v>
      </c>
      <c r="AI706" s="138">
        <v>9</v>
      </c>
      <c r="AK706" s="136">
        <v>38.409999999999997</v>
      </c>
      <c r="AL706" s="139">
        <v>14</v>
      </c>
      <c r="AM706" s="138">
        <v>91</v>
      </c>
      <c r="AS706" s="136">
        <v>38.36</v>
      </c>
      <c r="AT706" s="139">
        <v>5</v>
      </c>
      <c r="AU706" s="138">
        <v>5</v>
      </c>
      <c r="BA706" s="136">
        <v>39.200000000000003</v>
      </c>
      <c r="BB706" s="139">
        <v>4</v>
      </c>
      <c r="BC706" s="138">
        <v>2</v>
      </c>
    </row>
    <row r="707" spans="5:55" x14ac:dyDescent="0.3">
      <c r="E707" s="152">
        <v>39.32</v>
      </c>
      <c r="F707" s="153">
        <v>2</v>
      </c>
      <c r="G707" s="155" t="s">
        <v>862</v>
      </c>
      <c r="M707" s="136">
        <v>38.409999999999997</v>
      </c>
      <c r="N707" s="139">
        <v>6</v>
      </c>
      <c r="O707" s="138">
        <v>9</v>
      </c>
      <c r="U707" s="136">
        <v>38.56</v>
      </c>
      <c r="V707" s="139">
        <v>12</v>
      </c>
      <c r="W707" s="138">
        <v>75</v>
      </c>
      <c r="Y707" s="136">
        <v>38.32</v>
      </c>
      <c r="Z707" s="139">
        <v>5</v>
      </c>
      <c r="AA707" s="138">
        <v>5</v>
      </c>
      <c r="AC707" s="136">
        <v>38.57</v>
      </c>
      <c r="AD707" s="139">
        <v>15</v>
      </c>
      <c r="AE707" s="138">
        <v>95</v>
      </c>
      <c r="AG707" s="136">
        <v>38.630000000000003</v>
      </c>
      <c r="AH707" s="137">
        <v>7</v>
      </c>
      <c r="AI707" s="138">
        <v>16</v>
      </c>
      <c r="AK707" s="136">
        <v>38.42</v>
      </c>
      <c r="AL707" s="139">
        <v>15</v>
      </c>
      <c r="AM707" s="138">
        <v>95</v>
      </c>
      <c r="AS707" s="136">
        <v>38.369999999999997</v>
      </c>
      <c r="AT707" s="139">
        <v>6</v>
      </c>
      <c r="AU707" s="138">
        <v>9</v>
      </c>
      <c r="BA707" s="136">
        <v>39.22</v>
      </c>
      <c r="BB707" s="139">
        <v>5</v>
      </c>
      <c r="BC707" s="138">
        <v>5</v>
      </c>
    </row>
    <row r="708" spans="5:55" x14ac:dyDescent="0.3">
      <c r="E708" s="152">
        <v>39.369999999999997</v>
      </c>
      <c r="F708" s="153">
        <v>3</v>
      </c>
      <c r="G708" s="155" t="s">
        <v>876</v>
      </c>
      <c r="M708" s="136">
        <v>38.44</v>
      </c>
      <c r="N708" s="139">
        <v>7</v>
      </c>
      <c r="O708" s="138">
        <v>16</v>
      </c>
      <c r="U708" s="136">
        <v>38.58</v>
      </c>
      <c r="V708" s="139">
        <v>13</v>
      </c>
      <c r="W708" s="138">
        <v>85</v>
      </c>
      <c r="Y708" s="136">
        <v>38.33</v>
      </c>
      <c r="Z708" s="139">
        <v>6</v>
      </c>
      <c r="AA708" s="138">
        <v>9</v>
      </c>
      <c r="AC708" s="136">
        <v>38.590000000000003</v>
      </c>
      <c r="AD708" s="139">
        <v>16</v>
      </c>
      <c r="AE708" s="138">
        <v>98</v>
      </c>
      <c r="AG708" s="136">
        <v>38.65</v>
      </c>
      <c r="AH708" s="137">
        <v>8</v>
      </c>
      <c r="AI708" s="138">
        <v>25</v>
      </c>
      <c r="AK708" s="136">
        <v>38.43</v>
      </c>
      <c r="AL708" s="139">
        <v>16</v>
      </c>
      <c r="AM708" s="138">
        <v>98</v>
      </c>
      <c r="AS708" s="136">
        <v>38.380000000000003</v>
      </c>
      <c r="AT708" s="139">
        <v>7</v>
      </c>
      <c r="AU708" s="138">
        <v>16</v>
      </c>
      <c r="BA708" s="136">
        <v>39.24</v>
      </c>
      <c r="BB708" s="139">
        <v>6</v>
      </c>
      <c r="BC708" s="138">
        <v>9</v>
      </c>
    </row>
    <row r="709" spans="5:55" x14ac:dyDescent="0.3">
      <c r="E709" s="152">
        <v>39.409999999999997</v>
      </c>
      <c r="F709" s="153">
        <v>4</v>
      </c>
      <c r="G709" s="155" t="s">
        <v>863</v>
      </c>
      <c r="M709" s="136">
        <v>38.46</v>
      </c>
      <c r="N709" s="139">
        <v>8</v>
      </c>
      <c r="O709" s="138">
        <v>25</v>
      </c>
      <c r="U709" s="136">
        <v>38.6</v>
      </c>
      <c r="V709" s="139">
        <v>14</v>
      </c>
      <c r="W709" s="138">
        <v>91</v>
      </c>
      <c r="Y709" s="136">
        <v>38.340000000000003</v>
      </c>
      <c r="Z709" s="139">
        <v>7</v>
      </c>
      <c r="AA709" s="138">
        <v>16</v>
      </c>
      <c r="AC709" s="136">
        <v>38.619999999999997</v>
      </c>
      <c r="AD709" s="139">
        <v>17</v>
      </c>
      <c r="AE709" s="138">
        <v>99</v>
      </c>
      <c r="AG709" s="136">
        <v>38.67</v>
      </c>
      <c r="AH709" s="137">
        <v>9</v>
      </c>
      <c r="AI709" s="138">
        <v>37</v>
      </c>
      <c r="AK709" s="136">
        <v>38.46</v>
      </c>
      <c r="AL709" s="139">
        <v>17</v>
      </c>
      <c r="AM709" s="138">
        <v>99</v>
      </c>
      <c r="AS709" s="136">
        <v>38.4</v>
      </c>
      <c r="AT709" s="139">
        <v>8</v>
      </c>
      <c r="AU709" s="138">
        <v>25</v>
      </c>
      <c r="BA709" s="136">
        <v>39.26</v>
      </c>
      <c r="BB709" s="139">
        <v>7</v>
      </c>
      <c r="BC709" s="138">
        <v>16</v>
      </c>
    </row>
    <row r="710" spans="5:55" x14ac:dyDescent="0.3">
      <c r="E710" s="152">
        <v>39.43</v>
      </c>
      <c r="F710" s="153">
        <v>5</v>
      </c>
      <c r="G710" s="155" t="s">
        <v>877</v>
      </c>
      <c r="M710" s="136">
        <v>38.47</v>
      </c>
      <c r="N710" s="139">
        <v>9</v>
      </c>
      <c r="O710" s="138">
        <v>37</v>
      </c>
      <c r="U710" s="136">
        <v>38.630000000000003</v>
      </c>
      <c r="V710" s="139">
        <v>15</v>
      </c>
      <c r="W710" s="138">
        <v>95</v>
      </c>
      <c r="Y710" s="136">
        <v>38.36</v>
      </c>
      <c r="Z710" s="139">
        <v>8</v>
      </c>
      <c r="AA710" s="138">
        <v>25</v>
      </c>
      <c r="AC710" s="136">
        <v>38.64</v>
      </c>
      <c r="AD710" s="139">
        <v>18</v>
      </c>
      <c r="AE710" s="138" t="s">
        <v>884</v>
      </c>
      <c r="AG710" s="136">
        <v>38.69</v>
      </c>
      <c r="AH710" s="137">
        <v>10</v>
      </c>
      <c r="AI710" s="138">
        <v>50</v>
      </c>
      <c r="AK710" s="136">
        <v>38.479999999999997</v>
      </c>
      <c r="AL710" s="139">
        <v>18</v>
      </c>
      <c r="AM710" s="138" t="s">
        <v>884</v>
      </c>
      <c r="AS710" s="136">
        <v>38.409999999999997</v>
      </c>
      <c r="AT710" s="139">
        <v>9</v>
      </c>
      <c r="AU710" s="138">
        <v>37</v>
      </c>
      <c r="BA710" s="136">
        <v>39.270000000000003</v>
      </c>
      <c r="BB710" s="139">
        <v>8</v>
      </c>
      <c r="BC710" s="138">
        <v>25</v>
      </c>
    </row>
    <row r="711" spans="5:55" x14ac:dyDescent="0.3">
      <c r="E711" s="152">
        <v>39.450000000000003</v>
      </c>
      <c r="F711" s="153">
        <v>6</v>
      </c>
      <c r="G711" s="155" t="s">
        <v>864</v>
      </c>
      <c r="M711" s="136">
        <v>38.479999999999997</v>
      </c>
      <c r="N711" s="139">
        <v>10</v>
      </c>
      <c r="O711" s="138">
        <v>50</v>
      </c>
      <c r="U711" s="136">
        <v>38.65</v>
      </c>
      <c r="V711" s="139">
        <v>16</v>
      </c>
      <c r="W711" s="138">
        <v>98</v>
      </c>
      <c r="Y711" s="136">
        <v>38.369999999999997</v>
      </c>
      <c r="Z711" s="139">
        <v>9</v>
      </c>
      <c r="AA711" s="138">
        <v>37</v>
      </c>
      <c r="AC711" s="136">
        <v>38.68</v>
      </c>
      <c r="AD711" s="139">
        <v>19</v>
      </c>
      <c r="AE711" s="138" t="s">
        <v>884</v>
      </c>
      <c r="AG711" s="136">
        <v>38.700000000000003</v>
      </c>
      <c r="AH711" s="137">
        <v>11</v>
      </c>
      <c r="AI711" s="138">
        <v>63</v>
      </c>
      <c r="AK711" s="136">
        <v>38.49</v>
      </c>
      <c r="AL711" s="139">
        <v>19</v>
      </c>
      <c r="AM711" s="138" t="s">
        <v>884</v>
      </c>
      <c r="AS711" s="136">
        <v>38.43</v>
      </c>
      <c r="AT711" s="139">
        <v>10</v>
      </c>
      <c r="AU711" s="138">
        <v>50</v>
      </c>
      <c r="BA711" s="136">
        <v>39.29</v>
      </c>
      <c r="BB711" s="139">
        <v>9</v>
      </c>
      <c r="BC711" s="138">
        <v>37</v>
      </c>
    </row>
    <row r="712" spans="5:55" x14ac:dyDescent="0.3">
      <c r="E712" s="152">
        <v>39.47</v>
      </c>
      <c r="F712" s="153">
        <v>7</v>
      </c>
      <c r="G712" s="155" t="s">
        <v>878</v>
      </c>
      <c r="M712" s="136">
        <v>38.49</v>
      </c>
      <c r="N712" s="139">
        <v>11</v>
      </c>
      <c r="O712" s="138">
        <v>63</v>
      </c>
      <c r="U712" s="136">
        <v>38.68</v>
      </c>
      <c r="V712" s="139">
        <v>17</v>
      </c>
      <c r="W712" s="138">
        <v>99</v>
      </c>
      <c r="Y712" s="136">
        <v>38.380000000000003</v>
      </c>
      <c r="Z712" s="139">
        <v>10</v>
      </c>
      <c r="AA712" s="138">
        <v>50</v>
      </c>
      <c r="AC712" s="136">
        <v>39</v>
      </c>
      <c r="AD712" s="139">
        <v>1</v>
      </c>
      <c r="AE712" s="138" t="s">
        <v>883</v>
      </c>
      <c r="AG712" s="136">
        <v>38.72</v>
      </c>
      <c r="AH712" s="137">
        <v>12</v>
      </c>
      <c r="AI712" s="138">
        <v>75</v>
      </c>
      <c r="AK712" s="136">
        <v>39</v>
      </c>
      <c r="AL712" s="139">
        <v>1</v>
      </c>
      <c r="AM712" s="138" t="s">
        <v>883</v>
      </c>
      <c r="AS712" s="136">
        <v>38.44</v>
      </c>
      <c r="AT712" s="139">
        <v>11</v>
      </c>
      <c r="AU712" s="138">
        <v>63</v>
      </c>
      <c r="BA712" s="136">
        <v>39.31</v>
      </c>
      <c r="BB712" s="139">
        <v>10</v>
      </c>
      <c r="BC712" s="138">
        <v>50</v>
      </c>
    </row>
    <row r="713" spans="5:55" x14ac:dyDescent="0.3">
      <c r="E713" s="152">
        <v>39.49</v>
      </c>
      <c r="F713" s="153">
        <v>8</v>
      </c>
      <c r="G713" s="155" t="s">
        <v>865</v>
      </c>
      <c r="M713" s="136">
        <v>38.5</v>
      </c>
      <c r="N713" s="139">
        <v>12</v>
      </c>
      <c r="O713" s="138">
        <v>75</v>
      </c>
      <c r="U713" s="136">
        <v>38.700000000000003</v>
      </c>
      <c r="V713" s="139">
        <v>18</v>
      </c>
      <c r="W713" s="138" t="s">
        <v>884</v>
      </c>
      <c r="Y713" s="136">
        <v>38.4</v>
      </c>
      <c r="Z713" s="139">
        <v>11</v>
      </c>
      <c r="AA713" s="138">
        <v>63</v>
      </c>
      <c r="AC713" s="136">
        <v>39.299999999999997</v>
      </c>
      <c r="AD713" s="139">
        <v>2</v>
      </c>
      <c r="AE713" s="138" t="s">
        <v>883</v>
      </c>
      <c r="AG713" s="136">
        <v>38.729999999999997</v>
      </c>
      <c r="AH713" s="137">
        <v>13</v>
      </c>
      <c r="AI713" s="138">
        <v>85</v>
      </c>
      <c r="AK713" s="136">
        <v>39.26</v>
      </c>
      <c r="AL713" s="139">
        <v>2</v>
      </c>
      <c r="AM713" s="138" t="s">
        <v>883</v>
      </c>
      <c r="AS713" s="136">
        <v>38.450000000000003</v>
      </c>
      <c r="AT713" s="139">
        <v>12</v>
      </c>
      <c r="AU713" s="138">
        <v>75</v>
      </c>
      <c r="BA713" s="136">
        <v>39.32</v>
      </c>
      <c r="BB713" s="139">
        <v>11</v>
      </c>
      <c r="BC713" s="138">
        <v>63</v>
      </c>
    </row>
    <row r="714" spans="5:55" x14ac:dyDescent="0.3">
      <c r="E714" s="152">
        <v>39.51</v>
      </c>
      <c r="F714" s="153">
        <v>9</v>
      </c>
      <c r="G714" s="155" t="s">
        <v>879</v>
      </c>
      <c r="M714" s="136">
        <v>38.51</v>
      </c>
      <c r="N714" s="139">
        <v>13</v>
      </c>
      <c r="O714" s="138">
        <v>85</v>
      </c>
      <c r="U714" s="136">
        <v>38.729999999999997</v>
      </c>
      <c r="V714" s="139">
        <v>19</v>
      </c>
      <c r="W714" s="138" t="s">
        <v>884</v>
      </c>
      <c r="Y714" s="136">
        <v>38.409999999999997</v>
      </c>
      <c r="Z714" s="139">
        <v>12</v>
      </c>
      <c r="AA714" s="138">
        <v>75</v>
      </c>
      <c r="AC714" s="136">
        <v>39.32</v>
      </c>
      <c r="AD714" s="139">
        <v>3</v>
      </c>
      <c r="AE714" s="138">
        <v>1</v>
      </c>
      <c r="AG714" s="136">
        <v>38.75</v>
      </c>
      <c r="AH714" s="137">
        <v>14</v>
      </c>
      <c r="AI714" s="138">
        <v>91</v>
      </c>
      <c r="AK714" s="136">
        <v>39.29</v>
      </c>
      <c r="AL714" s="139">
        <v>3</v>
      </c>
      <c r="AM714" s="138">
        <v>1</v>
      </c>
      <c r="AS714" s="136">
        <v>38.46</v>
      </c>
      <c r="AT714" s="139">
        <v>13</v>
      </c>
      <c r="AU714" s="138">
        <v>85</v>
      </c>
      <c r="BA714" s="136">
        <v>39.340000000000003</v>
      </c>
      <c r="BB714" s="139">
        <v>12</v>
      </c>
      <c r="BC714" s="138">
        <v>75</v>
      </c>
    </row>
    <row r="715" spans="5:55" x14ac:dyDescent="0.3">
      <c r="E715" s="152">
        <v>39.53</v>
      </c>
      <c r="F715" s="153">
        <v>10</v>
      </c>
      <c r="G715" s="155" t="s">
        <v>866</v>
      </c>
      <c r="M715" s="136">
        <v>38.520000000000003</v>
      </c>
      <c r="N715" s="139">
        <v>14</v>
      </c>
      <c r="O715" s="138">
        <v>91</v>
      </c>
      <c r="U715" s="136">
        <v>39</v>
      </c>
      <c r="V715" s="139">
        <v>1</v>
      </c>
      <c r="W715" s="138" t="s">
        <v>883</v>
      </c>
      <c r="Y715" s="136">
        <v>38.42</v>
      </c>
      <c r="Z715" s="139">
        <v>13</v>
      </c>
      <c r="AA715" s="138">
        <v>85</v>
      </c>
      <c r="AC715" s="136">
        <v>39.35</v>
      </c>
      <c r="AD715" s="139">
        <v>4</v>
      </c>
      <c r="AE715" s="138">
        <v>2</v>
      </c>
      <c r="AG715" s="136">
        <v>38.76</v>
      </c>
      <c r="AH715" s="137">
        <v>15</v>
      </c>
      <c r="AI715" s="138">
        <v>95</v>
      </c>
      <c r="AK715" s="136">
        <v>39.299999999999997</v>
      </c>
      <c r="AL715" s="139">
        <v>4</v>
      </c>
      <c r="AM715" s="138">
        <v>2</v>
      </c>
      <c r="AS715" s="136">
        <v>38.47</v>
      </c>
      <c r="AT715" s="139">
        <v>14</v>
      </c>
      <c r="AU715" s="138">
        <v>91</v>
      </c>
      <c r="BA715" s="136">
        <v>39.36</v>
      </c>
      <c r="BB715" s="139">
        <v>13</v>
      </c>
      <c r="BC715" s="138">
        <v>85</v>
      </c>
    </row>
    <row r="716" spans="5:55" x14ac:dyDescent="0.3">
      <c r="E716" s="152">
        <v>39.54</v>
      </c>
      <c r="F716" s="153">
        <v>11</v>
      </c>
      <c r="G716" s="155" t="s">
        <v>867</v>
      </c>
      <c r="M716" s="136">
        <v>38.54</v>
      </c>
      <c r="N716" s="139">
        <v>15</v>
      </c>
      <c r="O716" s="138">
        <v>95</v>
      </c>
      <c r="U716" s="136">
        <v>39.25</v>
      </c>
      <c r="V716" s="139">
        <v>2</v>
      </c>
      <c r="W716" s="138" t="s">
        <v>883</v>
      </c>
      <c r="Y716" s="136">
        <v>38.44</v>
      </c>
      <c r="Z716" s="139">
        <v>14</v>
      </c>
      <c r="AA716" s="138">
        <v>91</v>
      </c>
      <c r="AC716" s="136">
        <v>39.369999999999997</v>
      </c>
      <c r="AD716" s="139">
        <v>5</v>
      </c>
      <c r="AE716" s="138">
        <v>5</v>
      </c>
      <c r="AG716" s="136">
        <v>38.78</v>
      </c>
      <c r="AH716" s="137">
        <v>16</v>
      </c>
      <c r="AI716" s="138">
        <v>98</v>
      </c>
      <c r="AK716" s="136">
        <v>39.31</v>
      </c>
      <c r="AL716" s="139">
        <v>5</v>
      </c>
      <c r="AM716" s="138">
        <v>5</v>
      </c>
      <c r="AS716" s="136">
        <v>38.49</v>
      </c>
      <c r="AT716" s="139">
        <v>15</v>
      </c>
      <c r="AU716" s="138">
        <v>95</v>
      </c>
      <c r="BA716" s="136">
        <v>39.380000000000003</v>
      </c>
      <c r="BB716" s="139">
        <v>14</v>
      </c>
      <c r="BC716" s="138">
        <v>91</v>
      </c>
    </row>
    <row r="717" spans="5:55" x14ac:dyDescent="0.3">
      <c r="E717" s="152">
        <v>39.56</v>
      </c>
      <c r="F717" s="153">
        <v>12</v>
      </c>
      <c r="G717" s="155" t="s">
        <v>868</v>
      </c>
      <c r="M717" s="136">
        <v>38.549999999999997</v>
      </c>
      <c r="N717" s="139">
        <v>16</v>
      </c>
      <c r="O717" s="138">
        <v>98</v>
      </c>
      <c r="U717" s="136">
        <v>39.33</v>
      </c>
      <c r="V717" s="139">
        <v>3</v>
      </c>
      <c r="W717" s="138">
        <v>1</v>
      </c>
      <c r="Y717" s="136">
        <v>38.450000000000003</v>
      </c>
      <c r="Z717" s="139">
        <v>15</v>
      </c>
      <c r="AA717" s="138">
        <v>95</v>
      </c>
      <c r="AC717" s="136">
        <v>39.39</v>
      </c>
      <c r="AD717" s="139">
        <v>6</v>
      </c>
      <c r="AE717" s="138">
        <v>9</v>
      </c>
      <c r="AG717" s="136">
        <v>38.79</v>
      </c>
      <c r="AH717" s="137">
        <v>17</v>
      </c>
      <c r="AI717" s="138">
        <v>99</v>
      </c>
      <c r="AK717" s="136">
        <v>39.33</v>
      </c>
      <c r="AL717" s="139">
        <v>6</v>
      </c>
      <c r="AM717" s="138">
        <v>9</v>
      </c>
      <c r="AS717" s="136">
        <v>38.5</v>
      </c>
      <c r="AT717" s="139">
        <v>16</v>
      </c>
      <c r="AU717" s="138">
        <v>98</v>
      </c>
      <c r="BA717" s="136">
        <v>39.4</v>
      </c>
      <c r="BB717" s="139">
        <v>15</v>
      </c>
      <c r="BC717" s="138">
        <v>95</v>
      </c>
    </row>
    <row r="718" spans="5:55" x14ac:dyDescent="0.3">
      <c r="E718" s="152">
        <v>39.58</v>
      </c>
      <c r="F718" s="153">
        <v>13</v>
      </c>
      <c r="G718" s="155" t="s">
        <v>869</v>
      </c>
      <c r="M718" s="136">
        <v>38.56</v>
      </c>
      <c r="N718" s="139">
        <v>17</v>
      </c>
      <c r="O718" s="138">
        <v>99</v>
      </c>
      <c r="U718" s="136">
        <v>39.369999999999997</v>
      </c>
      <c r="V718" s="139">
        <v>4</v>
      </c>
      <c r="W718" s="138">
        <v>2</v>
      </c>
      <c r="Y718" s="136">
        <v>38.47</v>
      </c>
      <c r="Z718" s="139">
        <v>16</v>
      </c>
      <c r="AA718" s="138">
        <v>98</v>
      </c>
      <c r="AC718" s="136">
        <v>39.409999999999997</v>
      </c>
      <c r="AD718" s="139">
        <v>7</v>
      </c>
      <c r="AE718" s="138">
        <v>16</v>
      </c>
      <c r="AG718" s="136">
        <v>38.81</v>
      </c>
      <c r="AH718" s="137">
        <v>18</v>
      </c>
      <c r="AI718" s="138" t="s">
        <v>884</v>
      </c>
      <c r="AK718" s="136">
        <v>39.340000000000003</v>
      </c>
      <c r="AL718" s="139">
        <v>7</v>
      </c>
      <c r="AM718" s="138">
        <v>16</v>
      </c>
      <c r="AS718" s="136">
        <v>38.51</v>
      </c>
      <c r="AT718" s="139">
        <v>17</v>
      </c>
      <c r="AU718" s="138">
        <v>99</v>
      </c>
      <c r="BA718" s="136">
        <v>39.43</v>
      </c>
      <c r="BB718" s="139">
        <v>16</v>
      </c>
      <c r="BC718" s="138">
        <v>98</v>
      </c>
    </row>
    <row r="719" spans="5:55" x14ac:dyDescent="0.3">
      <c r="E719" s="152">
        <v>39.590000000000003</v>
      </c>
      <c r="F719" s="153">
        <v>14</v>
      </c>
      <c r="G719" s="155" t="s">
        <v>870</v>
      </c>
      <c r="M719" s="136">
        <v>38.57</v>
      </c>
      <c r="N719" s="139">
        <v>18</v>
      </c>
      <c r="O719" s="138" t="s">
        <v>884</v>
      </c>
      <c r="U719" s="136">
        <v>39.4</v>
      </c>
      <c r="V719" s="139">
        <v>5</v>
      </c>
      <c r="W719" s="138">
        <v>5</v>
      </c>
      <c r="Y719" s="136">
        <v>38.5</v>
      </c>
      <c r="Z719" s="139">
        <v>17</v>
      </c>
      <c r="AA719" s="138">
        <v>99</v>
      </c>
      <c r="AC719" s="136">
        <v>39.44</v>
      </c>
      <c r="AD719" s="139">
        <v>8</v>
      </c>
      <c r="AE719" s="138">
        <v>25</v>
      </c>
      <c r="AG719" s="136">
        <v>38.83</v>
      </c>
      <c r="AH719" s="137">
        <v>19</v>
      </c>
      <c r="AI719" s="138" t="s">
        <v>884</v>
      </c>
      <c r="AK719" s="136">
        <v>39.35</v>
      </c>
      <c r="AL719" s="139">
        <v>8</v>
      </c>
      <c r="AM719" s="138">
        <v>25</v>
      </c>
      <c r="AS719" s="136">
        <v>38.53</v>
      </c>
      <c r="AT719" s="139">
        <v>18</v>
      </c>
      <c r="AU719" s="138" t="s">
        <v>884</v>
      </c>
      <c r="BA719" s="136">
        <v>39.44</v>
      </c>
      <c r="BB719" s="139">
        <v>17</v>
      </c>
      <c r="BC719" s="138">
        <v>99</v>
      </c>
    </row>
    <row r="720" spans="5:55" x14ac:dyDescent="0.3">
      <c r="E720" s="152">
        <v>39.6</v>
      </c>
      <c r="F720" s="153">
        <v>15</v>
      </c>
      <c r="G720" s="155" t="s">
        <v>871</v>
      </c>
      <c r="M720" s="136">
        <v>38.58</v>
      </c>
      <c r="N720" s="139">
        <v>19</v>
      </c>
      <c r="O720" s="138" t="s">
        <v>884</v>
      </c>
      <c r="U720" s="136">
        <v>39.43</v>
      </c>
      <c r="V720" s="139">
        <v>6</v>
      </c>
      <c r="W720" s="138">
        <v>9</v>
      </c>
      <c r="Y720" s="136">
        <v>38.51</v>
      </c>
      <c r="Z720" s="139">
        <v>18</v>
      </c>
      <c r="AA720" s="138" t="s">
        <v>884</v>
      </c>
      <c r="AC720" s="136">
        <v>39.46</v>
      </c>
      <c r="AD720" s="139">
        <v>9</v>
      </c>
      <c r="AE720" s="138">
        <v>37</v>
      </c>
      <c r="AG720" s="136">
        <v>39</v>
      </c>
      <c r="AH720" s="137">
        <v>1</v>
      </c>
      <c r="AI720" s="138" t="s">
        <v>883</v>
      </c>
      <c r="AK720" s="136">
        <v>39.36</v>
      </c>
      <c r="AL720" s="139">
        <v>9</v>
      </c>
      <c r="AM720" s="138">
        <v>37</v>
      </c>
      <c r="AS720" s="136">
        <v>38.549999999999997</v>
      </c>
      <c r="AT720" s="139">
        <v>19</v>
      </c>
      <c r="AU720" s="138" t="s">
        <v>884</v>
      </c>
      <c r="BA720" s="136">
        <v>39.46</v>
      </c>
      <c r="BB720" s="139">
        <v>18</v>
      </c>
      <c r="BC720" s="138" t="s">
        <v>884</v>
      </c>
    </row>
    <row r="721" spans="5:55" x14ac:dyDescent="0.3">
      <c r="E721" s="152">
        <v>39.61</v>
      </c>
      <c r="F721" s="153">
        <v>16</v>
      </c>
      <c r="G721" s="155" t="s">
        <v>872</v>
      </c>
      <c r="M721" s="136">
        <v>39</v>
      </c>
      <c r="N721" s="139">
        <v>1</v>
      </c>
      <c r="O721" s="138" t="s">
        <v>883</v>
      </c>
      <c r="U721" s="136">
        <v>39.46</v>
      </c>
      <c r="V721" s="139">
        <v>7</v>
      </c>
      <c r="W721" s="138">
        <v>16</v>
      </c>
      <c r="Y721" s="136">
        <v>38.54</v>
      </c>
      <c r="Z721" s="139">
        <v>19</v>
      </c>
      <c r="AA721" s="138" t="s">
        <v>884</v>
      </c>
      <c r="AC721" s="136">
        <v>39.479999999999997</v>
      </c>
      <c r="AD721" s="139">
        <v>10</v>
      </c>
      <c r="AE721" s="138">
        <v>50</v>
      </c>
      <c r="AG721" s="136">
        <v>39.51</v>
      </c>
      <c r="AH721" s="137">
        <v>2</v>
      </c>
      <c r="AI721" s="138" t="s">
        <v>883</v>
      </c>
      <c r="AK721" s="136">
        <v>39.380000000000003</v>
      </c>
      <c r="AL721" s="139">
        <v>10</v>
      </c>
      <c r="AM721" s="138">
        <v>50</v>
      </c>
      <c r="AS721" s="136">
        <v>39</v>
      </c>
      <c r="AT721" s="139">
        <v>1</v>
      </c>
      <c r="AU721" s="138" t="s">
        <v>883</v>
      </c>
      <c r="BA721" s="136">
        <v>39.49</v>
      </c>
      <c r="BB721" s="139">
        <v>19</v>
      </c>
      <c r="BC721" s="138" t="s">
        <v>884</v>
      </c>
    </row>
    <row r="722" spans="5:55" x14ac:dyDescent="0.3">
      <c r="E722" s="152">
        <v>39.619999999999997</v>
      </c>
      <c r="F722" s="153">
        <v>17</v>
      </c>
      <c r="G722" s="155" t="s">
        <v>873</v>
      </c>
      <c r="M722" s="136">
        <v>39.28</v>
      </c>
      <c r="N722" s="139">
        <v>2</v>
      </c>
      <c r="O722" s="138" t="s">
        <v>883</v>
      </c>
      <c r="U722" s="136">
        <v>39.479999999999997</v>
      </c>
      <c r="V722" s="139">
        <v>8</v>
      </c>
      <c r="W722" s="138">
        <v>25</v>
      </c>
      <c r="Y722" s="136">
        <v>39</v>
      </c>
      <c r="Z722" s="139">
        <v>1</v>
      </c>
      <c r="AA722" s="138" t="s">
        <v>883</v>
      </c>
      <c r="AC722" s="136">
        <v>39.5</v>
      </c>
      <c r="AD722" s="139">
        <v>11</v>
      </c>
      <c r="AE722" s="138">
        <v>63</v>
      </c>
      <c r="AG722" s="136">
        <v>39.57</v>
      </c>
      <c r="AH722" s="137">
        <v>3</v>
      </c>
      <c r="AI722" s="138">
        <v>1</v>
      </c>
      <c r="AK722" s="136">
        <v>39.39</v>
      </c>
      <c r="AL722" s="139">
        <v>11</v>
      </c>
      <c r="AM722" s="138">
        <v>63</v>
      </c>
      <c r="AS722" s="136">
        <v>39.31</v>
      </c>
      <c r="AT722" s="139">
        <v>2</v>
      </c>
      <c r="AU722" s="138" t="s">
        <v>883</v>
      </c>
      <c r="BA722" s="136">
        <v>40</v>
      </c>
      <c r="BB722" s="139">
        <v>1</v>
      </c>
      <c r="BC722" s="138" t="s">
        <v>883</v>
      </c>
    </row>
    <row r="723" spans="5:55" x14ac:dyDescent="0.3">
      <c r="E723" s="152">
        <v>39.64</v>
      </c>
      <c r="F723" s="153">
        <v>18</v>
      </c>
      <c r="G723" s="155" t="s">
        <v>874</v>
      </c>
      <c r="M723" s="136">
        <v>39.340000000000003</v>
      </c>
      <c r="N723" s="139">
        <v>3</v>
      </c>
      <c r="O723" s="138">
        <v>1</v>
      </c>
      <c r="U723" s="136">
        <v>39.51</v>
      </c>
      <c r="V723" s="139">
        <v>9</v>
      </c>
      <c r="W723" s="138">
        <v>37</v>
      </c>
      <c r="Y723" s="136">
        <v>39.29</v>
      </c>
      <c r="Z723" s="139">
        <v>2</v>
      </c>
      <c r="AA723" s="138" t="s">
        <v>883</v>
      </c>
      <c r="AC723" s="136">
        <v>39.53</v>
      </c>
      <c r="AD723" s="139">
        <v>12</v>
      </c>
      <c r="AE723" s="138">
        <v>75</v>
      </c>
      <c r="AG723" s="136">
        <v>39.6</v>
      </c>
      <c r="AH723" s="137">
        <v>4</v>
      </c>
      <c r="AI723" s="138">
        <v>2</v>
      </c>
      <c r="AK723" s="136">
        <v>39.409999999999997</v>
      </c>
      <c r="AL723" s="139">
        <v>12</v>
      </c>
      <c r="AM723" s="138">
        <v>75</v>
      </c>
      <c r="AS723" s="136">
        <v>39.36</v>
      </c>
      <c r="AT723" s="139">
        <v>3</v>
      </c>
      <c r="AU723" s="138">
        <v>1</v>
      </c>
      <c r="BA723" s="136">
        <v>40.159999999999997</v>
      </c>
      <c r="BB723" s="139">
        <v>2</v>
      </c>
      <c r="BC723" s="138" t="s">
        <v>883</v>
      </c>
    </row>
    <row r="724" spans="5:55" x14ac:dyDescent="0.3">
      <c r="E724" s="152">
        <v>39.659999999999997</v>
      </c>
      <c r="F724" s="153">
        <v>19</v>
      </c>
      <c r="G724" s="155" t="s">
        <v>874</v>
      </c>
      <c r="M724" s="136">
        <v>39.369999999999997</v>
      </c>
      <c r="N724" s="139">
        <v>4</v>
      </c>
      <c r="O724" s="138">
        <v>2</v>
      </c>
      <c r="U724" s="136">
        <v>39.53</v>
      </c>
      <c r="V724" s="139">
        <v>10</v>
      </c>
      <c r="W724" s="138">
        <v>50</v>
      </c>
      <c r="Y724" s="136">
        <v>39.32</v>
      </c>
      <c r="Z724" s="139">
        <v>3</v>
      </c>
      <c r="AA724" s="138">
        <v>1</v>
      </c>
      <c r="AC724" s="136">
        <v>39.549999999999997</v>
      </c>
      <c r="AD724" s="139">
        <v>13</v>
      </c>
      <c r="AE724" s="138">
        <v>85</v>
      </c>
      <c r="AG724" s="136">
        <v>39.619999999999997</v>
      </c>
      <c r="AH724" s="137">
        <v>5</v>
      </c>
      <c r="AI724" s="138">
        <v>5</v>
      </c>
      <c r="AK724" s="136">
        <v>39.42</v>
      </c>
      <c r="AL724" s="139">
        <v>13</v>
      </c>
      <c r="AM724" s="138">
        <v>85</v>
      </c>
      <c r="AS724" s="136">
        <v>39.369999999999997</v>
      </c>
      <c r="AT724" s="139">
        <v>4</v>
      </c>
      <c r="AU724" s="138">
        <v>2</v>
      </c>
      <c r="BA724" s="136">
        <v>40.19</v>
      </c>
      <c r="BB724" s="139">
        <v>3</v>
      </c>
      <c r="BC724" s="138">
        <v>1</v>
      </c>
    </row>
    <row r="725" spans="5:55" x14ac:dyDescent="0.3">
      <c r="E725" s="152">
        <v>40</v>
      </c>
      <c r="F725" s="153">
        <v>1</v>
      </c>
      <c r="G725" s="155" t="s">
        <v>862</v>
      </c>
      <c r="M725" s="136">
        <v>39.4</v>
      </c>
      <c r="N725" s="139">
        <v>5</v>
      </c>
      <c r="O725" s="138">
        <v>5</v>
      </c>
      <c r="U725" s="136">
        <v>39.56</v>
      </c>
      <c r="V725" s="139">
        <v>11</v>
      </c>
      <c r="W725" s="138">
        <v>63</v>
      </c>
      <c r="Y725" s="136">
        <v>39.33</v>
      </c>
      <c r="Z725" s="139">
        <v>4</v>
      </c>
      <c r="AA725" s="138">
        <v>2</v>
      </c>
      <c r="AC725" s="136">
        <v>39.57</v>
      </c>
      <c r="AD725" s="139">
        <v>14</v>
      </c>
      <c r="AE725" s="138">
        <v>91</v>
      </c>
      <c r="AG725" s="136">
        <v>39.64</v>
      </c>
      <c r="AH725" s="137">
        <v>6</v>
      </c>
      <c r="AI725" s="138">
        <v>9</v>
      </c>
      <c r="AK725" s="136">
        <v>39.43</v>
      </c>
      <c r="AL725" s="139">
        <v>14</v>
      </c>
      <c r="AM725" s="138">
        <v>91</v>
      </c>
      <c r="AS725" s="136">
        <v>39.380000000000003</v>
      </c>
      <c r="AT725" s="139">
        <v>5</v>
      </c>
      <c r="AU725" s="138">
        <v>5</v>
      </c>
      <c r="BA725" s="136">
        <v>40.200000000000003</v>
      </c>
      <c r="BB725" s="139">
        <v>4</v>
      </c>
      <c r="BC725" s="138">
        <v>2</v>
      </c>
    </row>
    <row r="726" spans="5:55" x14ac:dyDescent="0.3">
      <c r="E726" s="152">
        <v>40.32</v>
      </c>
      <c r="F726" s="153">
        <v>2</v>
      </c>
      <c r="G726" s="155" t="s">
        <v>862</v>
      </c>
      <c r="M726" s="136">
        <v>39.42</v>
      </c>
      <c r="N726" s="139">
        <v>6</v>
      </c>
      <c r="O726" s="138">
        <v>9</v>
      </c>
      <c r="U726" s="136">
        <v>39.58</v>
      </c>
      <c r="V726" s="139">
        <v>12</v>
      </c>
      <c r="W726" s="138">
        <v>75</v>
      </c>
      <c r="Y726" s="136">
        <v>39.340000000000003</v>
      </c>
      <c r="Z726" s="139">
        <v>5</v>
      </c>
      <c r="AA726" s="138">
        <v>5</v>
      </c>
      <c r="AC726" s="136">
        <v>39.590000000000003</v>
      </c>
      <c r="AD726" s="139">
        <v>15</v>
      </c>
      <c r="AE726" s="138">
        <v>95</v>
      </c>
      <c r="AG726" s="136">
        <v>39.659999999999997</v>
      </c>
      <c r="AH726" s="137">
        <v>7</v>
      </c>
      <c r="AI726" s="138">
        <v>16</v>
      </c>
      <c r="AK726" s="136">
        <v>39.44</v>
      </c>
      <c r="AL726" s="139">
        <v>15</v>
      </c>
      <c r="AM726" s="138">
        <v>95</v>
      </c>
      <c r="AS726" s="136">
        <v>39.39</v>
      </c>
      <c r="AT726" s="139">
        <v>6</v>
      </c>
      <c r="AU726" s="138">
        <v>9</v>
      </c>
      <c r="BA726" s="136">
        <v>40.22</v>
      </c>
      <c r="BB726" s="139">
        <v>5</v>
      </c>
      <c r="BC726" s="138">
        <v>5</v>
      </c>
    </row>
    <row r="727" spans="5:55" x14ac:dyDescent="0.3">
      <c r="E727" s="152">
        <v>40.369999999999997</v>
      </c>
      <c r="F727" s="153">
        <v>3</v>
      </c>
      <c r="G727" s="155" t="s">
        <v>876</v>
      </c>
      <c r="M727" s="136">
        <v>39.44</v>
      </c>
      <c r="N727" s="139">
        <v>7</v>
      </c>
      <c r="O727" s="138">
        <v>16</v>
      </c>
      <c r="U727" s="136">
        <v>39.6</v>
      </c>
      <c r="V727" s="139">
        <v>13</v>
      </c>
      <c r="W727" s="138">
        <v>85</v>
      </c>
      <c r="Y727" s="136">
        <v>39.36</v>
      </c>
      <c r="Z727" s="139">
        <v>6</v>
      </c>
      <c r="AA727" s="138">
        <v>9</v>
      </c>
      <c r="AC727" s="136">
        <v>39.619999999999997</v>
      </c>
      <c r="AD727" s="139">
        <v>16</v>
      </c>
      <c r="AE727" s="138">
        <v>98</v>
      </c>
      <c r="AG727" s="136">
        <v>39.67</v>
      </c>
      <c r="AH727" s="137">
        <v>8</v>
      </c>
      <c r="AI727" s="138">
        <v>25</v>
      </c>
      <c r="AK727" s="136">
        <v>39.46</v>
      </c>
      <c r="AL727" s="139">
        <v>16</v>
      </c>
      <c r="AM727" s="138">
        <v>98</v>
      </c>
      <c r="AS727" s="136">
        <v>39.409999999999997</v>
      </c>
      <c r="AT727" s="139">
        <v>7</v>
      </c>
      <c r="AU727" s="138">
        <v>16</v>
      </c>
      <c r="BA727" s="136">
        <v>40.24</v>
      </c>
      <c r="BB727" s="139">
        <v>6</v>
      </c>
      <c r="BC727" s="138">
        <v>9</v>
      </c>
    </row>
    <row r="728" spans="5:55" x14ac:dyDescent="0.3">
      <c r="E728" s="152">
        <v>40.409999999999997</v>
      </c>
      <c r="F728" s="153">
        <v>4</v>
      </c>
      <c r="G728" s="155" t="s">
        <v>863</v>
      </c>
      <c r="M728" s="136">
        <v>39.46</v>
      </c>
      <c r="N728" s="139">
        <v>8</v>
      </c>
      <c r="O728" s="138">
        <v>25</v>
      </c>
      <c r="U728" s="136">
        <v>39.630000000000003</v>
      </c>
      <c r="V728" s="139">
        <v>14</v>
      </c>
      <c r="W728" s="138">
        <v>91</v>
      </c>
      <c r="Y728" s="136">
        <v>39.369999999999997</v>
      </c>
      <c r="Z728" s="139">
        <v>7</v>
      </c>
      <c r="AA728" s="138">
        <v>16</v>
      </c>
      <c r="AC728" s="136">
        <v>39.64</v>
      </c>
      <c r="AD728" s="139">
        <v>17</v>
      </c>
      <c r="AE728" s="138">
        <v>99</v>
      </c>
      <c r="AG728" s="136">
        <v>39.69</v>
      </c>
      <c r="AH728" s="137">
        <v>9</v>
      </c>
      <c r="AI728" s="138">
        <v>37</v>
      </c>
      <c r="AK728" s="136">
        <v>39.479999999999997</v>
      </c>
      <c r="AL728" s="139">
        <v>17</v>
      </c>
      <c r="AM728" s="138">
        <v>99</v>
      </c>
      <c r="AS728" s="136">
        <v>39.42</v>
      </c>
      <c r="AT728" s="139">
        <v>8</v>
      </c>
      <c r="AU728" s="138">
        <v>25</v>
      </c>
      <c r="BA728" s="136">
        <v>40.26</v>
      </c>
      <c r="BB728" s="139">
        <v>7</v>
      </c>
      <c r="BC728" s="138">
        <v>16</v>
      </c>
    </row>
    <row r="729" spans="5:55" x14ac:dyDescent="0.3">
      <c r="E729" s="152">
        <v>40.43</v>
      </c>
      <c r="F729" s="153">
        <v>5</v>
      </c>
      <c r="G729" s="155" t="s">
        <v>877</v>
      </c>
      <c r="M729" s="136">
        <v>39.479999999999997</v>
      </c>
      <c r="N729" s="139">
        <v>9</v>
      </c>
      <c r="O729" s="138">
        <v>37</v>
      </c>
      <c r="U729" s="136">
        <v>39.65</v>
      </c>
      <c r="V729" s="139">
        <v>15</v>
      </c>
      <c r="W729" s="138">
        <v>95</v>
      </c>
      <c r="Y729" s="136">
        <v>39.380000000000003</v>
      </c>
      <c r="Z729" s="139">
        <v>8</v>
      </c>
      <c r="AA729" s="138">
        <v>25</v>
      </c>
      <c r="AC729" s="136">
        <v>39.659999999999997</v>
      </c>
      <c r="AD729" s="139">
        <v>18</v>
      </c>
      <c r="AE729" s="138" t="s">
        <v>884</v>
      </c>
      <c r="AG729" s="136">
        <v>39.700000000000003</v>
      </c>
      <c r="AH729" s="137">
        <v>10</v>
      </c>
      <c r="AI729" s="138">
        <v>50</v>
      </c>
      <c r="AK729" s="136">
        <v>39.49</v>
      </c>
      <c r="AL729" s="139">
        <v>18</v>
      </c>
      <c r="AM729" s="138" t="s">
        <v>884</v>
      </c>
      <c r="AS729" s="136">
        <v>39.43</v>
      </c>
      <c r="AT729" s="139">
        <v>9</v>
      </c>
      <c r="AU729" s="138">
        <v>37</v>
      </c>
      <c r="BA729" s="136">
        <v>40.270000000000003</v>
      </c>
      <c r="BB729" s="139">
        <v>8</v>
      </c>
      <c r="BC729" s="138">
        <v>25</v>
      </c>
    </row>
    <row r="730" spans="5:55" x14ac:dyDescent="0.3">
      <c r="E730" s="152">
        <v>40.450000000000003</v>
      </c>
      <c r="F730" s="153">
        <v>6</v>
      </c>
      <c r="G730" s="155" t="s">
        <v>864</v>
      </c>
      <c r="M730" s="136">
        <v>39.49</v>
      </c>
      <c r="N730" s="139">
        <v>10</v>
      </c>
      <c r="O730" s="138">
        <v>50</v>
      </c>
      <c r="U730" s="136">
        <v>39.68</v>
      </c>
      <c r="V730" s="139">
        <v>16</v>
      </c>
      <c r="W730" s="138">
        <v>98</v>
      </c>
      <c r="Y730" s="136">
        <v>39.4</v>
      </c>
      <c r="Z730" s="139">
        <v>9</v>
      </c>
      <c r="AA730" s="138">
        <v>37</v>
      </c>
      <c r="AC730" s="136">
        <v>39.71</v>
      </c>
      <c r="AD730" s="139">
        <v>19</v>
      </c>
      <c r="AE730" s="138" t="s">
        <v>884</v>
      </c>
      <c r="AG730" s="136">
        <v>39.72</v>
      </c>
      <c r="AH730" s="137">
        <v>11</v>
      </c>
      <c r="AI730" s="138">
        <v>63</v>
      </c>
      <c r="AK730" s="136">
        <v>39.5</v>
      </c>
      <c r="AL730" s="139">
        <v>19</v>
      </c>
      <c r="AM730" s="138" t="s">
        <v>884</v>
      </c>
      <c r="AS730" s="136">
        <v>39.44</v>
      </c>
      <c r="AT730" s="139">
        <v>10</v>
      </c>
      <c r="AU730" s="138">
        <v>50</v>
      </c>
      <c r="BA730" s="136">
        <v>40.29</v>
      </c>
      <c r="BB730" s="139">
        <v>9</v>
      </c>
      <c r="BC730" s="138">
        <v>37</v>
      </c>
    </row>
    <row r="731" spans="5:55" x14ac:dyDescent="0.3">
      <c r="E731" s="152">
        <v>40.47</v>
      </c>
      <c r="F731" s="153">
        <v>7</v>
      </c>
      <c r="G731" s="155" t="s">
        <v>878</v>
      </c>
      <c r="M731" s="136">
        <v>39.5</v>
      </c>
      <c r="N731" s="139">
        <v>11</v>
      </c>
      <c r="O731" s="138">
        <v>63</v>
      </c>
      <c r="U731" s="136">
        <v>39.700000000000003</v>
      </c>
      <c r="V731" s="139">
        <v>17</v>
      </c>
      <c r="W731" s="138">
        <v>99</v>
      </c>
      <c r="Y731" s="136">
        <v>39.409999999999997</v>
      </c>
      <c r="Z731" s="139">
        <v>10</v>
      </c>
      <c r="AA731" s="138">
        <v>50</v>
      </c>
      <c r="AC731" s="136">
        <v>40</v>
      </c>
      <c r="AD731" s="139">
        <v>1</v>
      </c>
      <c r="AE731" s="138" t="s">
        <v>883</v>
      </c>
      <c r="AG731" s="136">
        <v>39.729999999999997</v>
      </c>
      <c r="AH731" s="137">
        <v>12</v>
      </c>
      <c r="AI731" s="138">
        <v>75</v>
      </c>
      <c r="AK731" s="136">
        <v>40</v>
      </c>
      <c r="AL731" s="139">
        <v>1</v>
      </c>
      <c r="AM731" s="138" t="s">
        <v>883</v>
      </c>
      <c r="AS731" s="136">
        <v>39.450000000000003</v>
      </c>
      <c r="AT731" s="139">
        <v>11</v>
      </c>
      <c r="AU731" s="138">
        <v>63</v>
      </c>
      <c r="BA731" s="136">
        <v>40.31</v>
      </c>
      <c r="BB731" s="139">
        <v>10</v>
      </c>
      <c r="BC731" s="138">
        <v>50</v>
      </c>
    </row>
    <row r="732" spans="5:55" x14ac:dyDescent="0.3">
      <c r="E732" s="152">
        <v>40.49</v>
      </c>
      <c r="F732" s="153">
        <v>8</v>
      </c>
      <c r="G732" s="155" t="s">
        <v>865</v>
      </c>
      <c r="M732" s="136">
        <v>39.51</v>
      </c>
      <c r="N732" s="139">
        <v>12</v>
      </c>
      <c r="O732" s="138">
        <v>75</v>
      </c>
      <c r="U732" s="136">
        <v>39.72</v>
      </c>
      <c r="V732" s="139">
        <v>18</v>
      </c>
      <c r="W732" s="138" t="s">
        <v>884</v>
      </c>
      <c r="Y732" s="136">
        <v>39.42</v>
      </c>
      <c r="Z732" s="139">
        <v>11</v>
      </c>
      <c r="AA732" s="138">
        <v>63</v>
      </c>
      <c r="AC732" s="136">
        <v>40.299999999999997</v>
      </c>
      <c r="AD732" s="139">
        <v>2</v>
      </c>
      <c r="AE732" s="138" t="s">
        <v>883</v>
      </c>
      <c r="AG732" s="136">
        <v>39.75</v>
      </c>
      <c r="AH732" s="137">
        <v>13</v>
      </c>
      <c r="AI732" s="138">
        <v>85</v>
      </c>
      <c r="AK732" s="136">
        <v>40.26</v>
      </c>
      <c r="AL732" s="139">
        <v>2</v>
      </c>
      <c r="AM732" s="138" t="s">
        <v>883</v>
      </c>
      <c r="AS732" s="136">
        <v>39.46</v>
      </c>
      <c r="AT732" s="139">
        <v>12</v>
      </c>
      <c r="AU732" s="138">
        <v>75</v>
      </c>
      <c r="BA732" s="136">
        <v>40.32</v>
      </c>
      <c r="BB732" s="139">
        <v>11</v>
      </c>
      <c r="BC732" s="138">
        <v>63</v>
      </c>
    </row>
    <row r="733" spans="5:55" x14ac:dyDescent="0.3">
      <c r="E733" s="152">
        <v>40.51</v>
      </c>
      <c r="F733" s="153">
        <v>9</v>
      </c>
      <c r="G733" s="155" t="s">
        <v>879</v>
      </c>
      <c r="M733" s="136">
        <v>39.520000000000003</v>
      </c>
      <c r="N733" s="139">
        <v>13</v>
      </c>
      <c r="O733" s="138">
        <v>85</v>
      </c>
      <c r="U733" s="136">
        <v>39.75</v>
      </c>
      <c r="V733" s="139">
        <v>19</v>
      </c>
      <c r="W733" s="138" t="s">
        <v>884</v>
      </c>
      <c r="Y733" s="136">
        <v>39.44</v>
      </c>
      <c r="Z733" s="139">
        <v>12</v>
      </c>
      <c r="AA733" s="138">
        <v>75</v>
      </c>
      <c r="AC733" s="136">
        <v>40.32</v>
      </c>
      <c r="AD733" s="139">
        <v>3</v>
      </c>
      <c r="AE733" s="138">
        <v>1</v>
      </c>
      <c r="AG733" s="136">
        <v>39.76</v>
      </c>
      <c r="AH733" s="137">
        <v>14</v>
      </c>
      <c r="AI733" s="138">
        <v>91</v>
      </c>
      <c r="AK733" s="136">
        <v>40.29</v>
      </c>
      <c r="AL733" s="139">
        <v>3</v>
      </c>
      <c r="AM733" s="138">
        <v>1</v>
      </c>
      <c r="AS733" s="136">
        <v>39.47</v>
      </c>
      <c r="AT733" s="139">
        <v>13</v>
      </c>
      <c r="AU733" s="138">
        <v>85</v>
      </c>
      <c r="BA733" s="136">
        <v>40.340000000000003</v>
      </c>
      <c r="BB733" s="139">
        <v>12</v>
      </c>
      <c r="BC733" s="138">
        <v>75</v>
      </c>
    </row>
    <row r="734" spans="5:55" x14ac:dyDescent="0.3">
      <c r="E734" s="152">
        <v>40.53</v>
      </c>
      <c r="F734" s="153">
        <v>10</v>
      </c>
      <c r="G734" s="155" t="s">
        <v>866</v>
      </c>
      <c r="M734" s="136">
        <v>39.53</v>
      </c>
      <c r="N734" s="139">
        <v>14</v>
      </c>
      <c r="O734" s="138">
        <v>91</v>
      </c>
      <c r="U734" s="136">
        <v>40</v>
      </c>
      <c r="V734" s="139">
        <v>1</v>
      </c>
      <c r="W734" s="138" t="s">
        <v>883</v>
      </c>
      <c r="Y734" s="136">
        <v>39.46</v>
      </c>
      <c r="Z734" s="139">
        <v>13</v>
      </c>
      <c r="AA734" s="138">
        <v>85</v>
      </c>
      <c r="AC734" s="136">
        <v>40.35</v>
      </c>
      <c r="AD734" s="139">
        <v>4</v>
      </c>
      <c r="AE734" s="138">
        <v>2</v>
      </c>
      <c r="AG734" s="136">
        <v>39.78</v>
      </c>
      <c r="AH734" s="137">
        <v>15</v>
      </c>
      <c r="AI734" s="138">
        <v>95</v>
      </c>
      <c r="AK734" s="136">
        <v>40.299999999999997</v>
      </c>
      <c r="AL734" s="139">
        <v>4</v>
      </c>
      <c r="AM734" s="138">
        <v>2</v>
      </c>
      <c r="AS734" s="136">
        <v>39.49</v>
      </c>
      <c r="AT734" s="139">
        <v>14</v>
      </c>
      <c r="AU734" s="138">
        <v>91</v>
      </c>
      <c r="BA734" s="136">
        <v>40.36</v>
      </c>
      <c r="BB734" s="139">
        <v>13</v>
      </c>
      <c r="BC734" s="138">
        <v>85</v>
      </c>
    </row>
    <row r="735" spans="5:55" x14ac:dyDescent="0.3">
      <c r="E735" s="152">
        <v>40.54</v>
      </c>
      <c r="F735" s="153">
        <v>11</v>
      </c>
      <c r="G735" s="155" t="s">
        <v>867</v>
      </c>
      <c r="M735" s="136">
        <v>39.54</v>
      </c>
      <c r="N735" s="139">
        <v>15</v>
      </c>
      <c r="O735" s="138">
        <v>95</v>
      </c>
      <c r="U735" s="136">
        <v>40.25</v>
      </c>
      <c r="V735" s="139">
        <v>2</v>
      </c>
      <c r="W735" s="138" t="s">
        <v>883</v>
      </c>
      <c r="Y735" s="136">
        <v>39.47</v>
      </c>
      <c r="Z735" s="139">
        <v>14</v>
      </c>
      <c r="AA735" s="138">
        <v>91</v>
      </c>
      <c r="AC735" s="136">
        <v>40.369999999999997</v>
      </c>
      <c r="AD735" s="139">
        <v>5</v>
      </c>
      <c r="AE735" s="138">
        <v>5</v>
      </c>
      <c r="AG735" s="136">
        <v>39.79</v>
      </c>
      <c r="AH735" s="137">
        <v>16</v>
      </c>
      <c r="AI735" s="138">
        <v>98</v>
      </c>
      <c r="AK735" s="136">
        <v>40.31</v>
      </c>
      <c r="AL735" s="139">
        <v>5</v>
      </c>
      <c r="AM735" s="138">
        <v>5</v>
      </c>
      <c r="AS735" s="136">
        <v>39.5</v>
      </c>
      <c r="AT735" s="139">
        <v>15</v>
      </c>
      <c r="AU735" s="138">
        <v>95</v>
      </c>
      <c r="BA735" s="136">
        <v>40.380000000000003</v>
      </c>
      <c r="BB735" s="139">
        <v>14</v>
      </c>
      <c r="BC735" s="138">
        <v>91</v>
      </c>
    </row>
    <row r="736" spans="5:55" x14ac:dyDescent="0.3">
      <c r="E736" s="152">
        <v>40.56</v>
      </c>
      <c r="F736" s="153">
        <v>12</v>
      </c>
      <c r="G736" s="155" t="s">
        <v>868</v>
      </c>
      <c r="M736" s="136">
        <v>39.549999999999997</v>
      </c>
      <c r="N736" s="139">
        <v>16</v>
      </c>
      <c r="O736" s="138">
        <v>98</v>
      </c>
      <c r="U736" s="136">
        <v>40.33</v>
      </c>
      <c r="V736" s="139">
        <v>3</v>
      </c>
      <c r="W736" s="138">
        <v>1</v>
      </c>
      <c r="Y736" s="136">
        <v>39.49</v>
      </c>
      <c r="Z736" s="139">
        <v>15</v>
      </c>
      <c r="AA736" s="138">
        <v>95</v>
      </c>
      <c r="AC736" s="136">
        <v>40.39</v>
      </c>
      <c r="AD736" s="139">
        <v>6</v>
      </c>
      <c r="AE736" s="138">
        <v>9</v>
      </c>
      <c r="AG736" s="136">
        <v>39.81</v>
      </c>
      <c r="AH736" s="137">
        <v>17</v>
      </c>
      <c r="AI736" s="138">
        <v>99</v>
      </c>
      <c r="AK736" s="136">
        <v>40.33</v>
      </c>
      <c r="AL736" s="139">
        <v>6</v>
      </c>
      <c r="AM736" s="138">
        <v>9</v>
      </c>
      <c r="AS736" s="136">
        <v>39.51</v>
      </c>
      <c r="AT736" s="139">
        <v>16</v>
      </c>
      <c r="AU736" s="138">
        <v>98</v>
      </c>
      <c r="BA736" s="136">
        <v>40.4</v>
      </c>
      <c r="BB736" s="139">
        <v>15</v>
      </c>
      <c r="BC736" s="138">
        <v>95</v>
      </c>
    </row>
    <row r="737" spans="5:55" x14ac:dyDescent="0.3">
      <c r="E737" s="152">
        <v>40.58</v>
      </c>
      <c r="F737" s="153">
        <v>13</v>
      </c>
      <c r="G737" s="155" t="s">
        <v>869</v>
      </c>
      <c r="M737" s="136">
        <v>39.56</v>
      </c>
      <c r="N737" s="139">
        <v>17</v>
      </c>
      <c r="O737" s="138">
        <v>99</v>
      </c>
      <c r="U737" s="136">
        <v>40.369999999999997</v>
      </c>
      <c r="V737" s="139">
        <v>4</v>
      </c>
      <c r="W737" s="138">
        <v>2</v>
      </c>
      <c r="Y737" s="136">
        <v>39.51</v>
      </c>
      <c r="Z737" s="139">
        <v>16</v>
      </c>
      <c r="AA737" s="138">
        <v>98</v>
      </c>
      <c r="AC737" s="136">
        <v>40.409999999999997</v>
      </c>
      <c r="AD737" s="139">
        <v>7</v>
      </c>
      <c r="AE737" s="138">
        <v>16</v>
      </c>
      <c r="AG737" s="136">
        <v>39.82</v>
      </c>
      <c r="AH737" s="137">
        <v>18</v>
      </c>
      <c r="AI737" s="138" t="s">
        <v>884</v>
      </c>
      <c r="AK737" s="136">
        <v>40.340000000000003</v>
      </c>
      <c r="AL737" s="139">
        <v>7</v>
      </c>
      <c r="AM737" s="138">
        <v>16</v>
      </c>
      <c r="AS737" s="136">
        <v>39.520000000000003</v>
      </c>
      <c r="AT737" s="139">
        <v>17</v>
      </c>
      <c r="AU737" s="138">
        <v>99</v>
      </c>
      <c r="BA737" s="136">
        <v>40.43</v>
      </c>
      <c r="BB737" s="139">
        <v>16</v>
      </c>
      <c r="BC737" s="138">
        <v>98</v>
      </c>
    </row>
    <row r="738" spans="5:55" x14ac:dyDescent="0.3">
      <c r="E738" s="152">
        <v>40.590000000000003</v>
      </c>
      <c r="F738" s="153">
        <v>14</v>
      </c>
      <c r="G738" s="155" t="s">
        <v>870</v>
      </c>
      <c r="M738" s="136">
        <v>39.57</v>
      </c>
      <c r="N738" s="139">
        <v>18</v>
      </c>
      <c r="O738" s="138" t="s">
        <v>884</v>
      </c>
      <c r="U738" s="136">
        <v>40.4</v>
      </c>
      <c r="V738" s="139">
        <v>5</v>
      </c>
      <c r="W738" s="138">
        <v>5</v>
      </c>
      <c r="Y738" s="136">
        <v>39.520000000000003</v>
      </c>
      <c r="Z738" s="139">
        <v>17</v>
      </c>
      <c r="AA738" s="138">
        <v>99</v>
      </c>
      <c r="AC738" s="136">
        <v>40.44</v>
      </c>
      <c r="AD738" s="139">
        <v>8</v>
      </c>
      <c r="AE738" s="138">
        <v>25</v>
      </c>
      <c r="AG738" s="136">
        <v>39.840000000000003</v>
      </c>
      <c r="AH738" s="137">
        <v>19</v>
      </c>
      <c r="AI738" s="138" t="s">
        <v>884</v>
      </c>
      <c r="AK738" s="136">
        <v>40.35</v>
      </c>
      <c r="AL738" s="139">
        <v>8</v>
      </c>
      <c r="AM738" s="138">
        <v>25</v>
      </c>
      <c r="AS738" s="136">
        <v>39.53</v>
      </c>
      <c r="AT738" s="139">
        <v>18</v>
      </c>
      <c r="AU738" s="138" t="s">
        <v>884</v>
      </c>
      <c r="BA738" s="136">
        <v>40.44</v>
      </c>
      <c r="BB738" s="139">
        <v>17</v>
      </c>
      <c r="BC738" s="138">
        <v>99</v>
      </c>
    </row>
    <row r="739" spans="5:55" x14ac:dyDescent="0.3">
      <c r="E739" s="152">
        <v>40.6</v>
      </c>
      <c r="F739" s="153">
        <v>15</v>
      </c>
      <c r="G739" s="155" t="s">
        <v>871</v>
      </c>
      <c r="M739" s="136">
        <v>39.590000000000003</v>
      </c>
      <c r="N739" s="139">
        <v>19</v>
      </c>
      <c r="O739" s="138" t="s">
        <v>884</v>
      </c>
      <c r="U739" s="136">
        <v>40.43</v>
      </c>
      <c r="V739" s="139">
        <v>6</v>
      </c>
      <c r="W739" s="138">
        <v>9</v>
      </c>
      <c r="Y739" s="136">
        <v>39.54</v>
      </c>
      <c r="Z739" s="139">
        <v>18</v>
      </c>
      <c r="AA739" s="138" t="s">
        <v>884</v>
      </c>
      <c r="AC739" s="136">
        <v>40.46</v>
      </c>
      <c r="AD739" s="139">
        <v>9</v>
      </c>
      <c r="AE739" s="138">
        <v>37</v>
      </c>
      <c r="AG739" s="136">
        <v>40</v>
      </c>
      <c r="AH739" s="137">
        <v>1</v>
      </c>
      <c r="AI739" s="138" t="s">
        <v>883</v>
      </c>
      <c r="AK739" s="136">
        <v>40.36</v>
      </c>
      <c r="AL739" s="139">
        <v>9</v>
      </c>
      <c r="AM739" s="138">
        <v>37</v>
      </c>
      <c r="AS739" s="136">
        <v>39.549999999999997</v>
      </c>
      <c r="AT739" s="139">
        <v>19</v>
      </c>
      <c r="AU739" s="138" t="s">
        <v>884</v>
      </c>
      <c r="BA739" s="136">
        <v>40.46</v>
      </c>
      <c r="BB739" s="139">
        <v>18</v>
      </c>
      <c r="BC739" s="138" t="s">
        <v>884</v>
      </c>
    </row>
    <row r="740" spans="5:55" x14ac:dyDescent="0.3">
      <c r="E740" s="152">
        <v>40.61</v>
      </c>
      <c r="F740" s="153">
        <v>16</v>
      </c>
      <c r="G740" s="155" t="s">
        <v>872</v>
      </c>
      <c r="M740" s="136">
        <v>40</v>
      </c>
      <c r="N740" s="139">
        <v>1</v>
      </c>
      <c r="O740" s="138" t="s">
        <v>883</v>
      </c>
      <c r="U740" s="136">
        <v>40.46</v>
      </c>
      <c r="V740" s="139">
        <v>7</v>
      </c>
      <c r="W740" s="138">
        <v>16</v>
      </c>
      <c r="Y740" s="136">
        <v>39.56</v>
      </c>
      <c r="Z740" s="139">
        <v>19</v>
      </c>
      <c r="AA740" s="138" t="s">
        <v>884</v>
      </c>
      <c r="AC740" s="136">
        <v>40.479999999999997</v>
      </c>
      <c r="AD740" s="139">
        <v>10</v>
      </c>
      <c r="AE740" s="138">
        <v>50</v>
      </c>
      <c r="AG740" s="136">
        <v>40.51</v>
      </c>
      <c r="AH740" s="137">
        <v>2</v>
      </c>
      <c r="AI740" s="138" t="s">
        <v>883</v>
      </c>
      <c r="AK740" s="136">
        <v>40.380000000000003</v>
      </c>
      <c r="AL740" s="139">
        <v>10</v>
      </c>
      <c r="AM740" s="138">
        <v>50</v>
      </c>
      <c r="AS740" s="136">
        <v>40</v>
      </c>
      <c r="AT740" s="139">
        <v>1</v>
      </c>
      <c r="AU740" s="138" t="s">
        <v>883</v>
      </c>
      <c r="BA740" s="136">
        <v>40.49</v>
      </c>
      <c r="BB740" s="139">
        <v>19</v>
      </c>
      <c r="BC740" s="138" t="s">
        <v>884</v>
      </c>
    </row>
    <row r="741" spans="5:55" x14ac:dyDescent="0.3">
      <c r="E741" s="152">
        <v>40.619999999999997</v>
      </c>
      <c r="F741" s="153">
        <v>17</v>
      </c>
      <c r="G741" s="155" t="s">
        <v>873</v>
      </c>
      <c r="M741" s="136">
        <v>40.28</v>
      </c>
      <c r="N741" s="139">
        <v>2</v>
      </c>
      <c r="O741" s="138" t="s">
        <v>883</v>
      </c>
      <c r="U741" s="136">
        <v>40.479999999999997</v>
      </c>
      <c r="V741" s="139">
        <v>8</v>
      </c>
      <c r="W741" s="138">
        <v>25</v>
      </c>
      <c r="Y741" s="136">
        <v>40</v>
      </c>
      <c r="Z741" s="139">
        <v>1</v>
      </c>
      <c r="AA741" s="138" t="s">
        <v>883</v>
      </c>
      <c r="AC741" s="136">
        <v>40.5</v>
      </c>
      <c r="AD741" s="139">
        <v>11</v>
      </c>
      <c r="AE741" s="138">
        <v>63</v>
      </c>
      <c r="AG741" s="136">
        <v>40.57</v>
      </c>
      <c r="AH741" s="137">
        <v>3</v>
      </c>
      <c r="AI741" s="138">
        <v>1</v>
      </c>
      <c r="AK741" s="136">
        <v>40.39</v>
      </c>
      <c r="AL741" s="139">
        <v>11</v>
      </c>
      <c r="AM741" s="138">
        <v>63</v>
      </c>
      <c r="AS741" s="136">
        <v>40.31</v>
      </c>
      <c r="AT741" s="139">
        <v>2</v>
      </c>
      <c r="AU741" s="138" t="s">
        <v>883</v>
      </c>
      <c r="BA741" s="136">
        <v>41</v>
      </c>
      <c r="BB741" s="139">
        <v>1</v>
      </c>
      <c r="BC741" s="138" t="s">
        <v>883</v>
      </c>
    </row>
    <row r="742" spans="5:55" x14ac:dyDescent="0.3">
      <c r="E742" s="152">
        <v>40.64</v>
      </c>
      <c r="F742" s="153">
        <v>18</v>
      </c>
      <c r="G742" s="155" t="s">
        <v>874</v>
      </c>
      <c r="M742" s="136">
        <v>40.340000000000003</v>
      </c>
      <c r="N742" s="139">
        <v>3</v>
      </c>
      <c r="O742" s="138">
        <v>1</v>
      </c>
      <c r="U742" s="136">
        <v>40.51</v>
      </c>
      <c r="V742" s="139">
        <v>9</v>
      </c>
      <c r="W742" s="138">
        <v>37</v>
      </c>
      <c r="Y742" s="136">
        <v>40.29</v>
      </c>
      <c r="Z742" s="139">
        <v>2</v>
      </c>
      <c r="AA742" s="138" t="s">
        <v>883</v>
      </c>
      <c r="AC742" s="136">
        <v>40.53</v>
      </c>
      <c r="AD742" s="139">
        <v>12</v>
      </c>
      <c r="AE742" s="138">
        <v>75</v>
      </c>
      <c r="AG742" s="136">
        <v>40.6</v>
      </c>
      <c r="AH742" s="137">
        <v>4</v>
      </c>
      <c r="AI742" s="138">
        <v>2</v>
      </c>
      <c r="AK742" s="136">
        <v>40.409999999999997</v>
      </c>
      <c r="AL742" s="139">
        <v>12</v>
      </c>
      <c r="AM742" s="138">
        <v>75</v>
      </c>
      <c r="AS742" s="136">
        <v>40.36</v>
      </c>
      <c r="AT742" s="139">
        <v>3</v>
      </c>
      <c r="AU742" s="138">
        <v>1</v>
      </c>
      <c r="BA742" s="136">
        <v>41.16</v>
      </c>
      <c r="BB742" s="139">
        <v>2</v>
      </c>
      <c r="BC742" s="138" t="s">
        <v>883</v>
      </c>
    </row>
    <row r="743" spans="5:55" x14ac:dyDescent="0.3">
      <c r="E743" s="152">
        <v>40.659999999999997</v>
      </c>
      <c r="F743" s="153">
        <v>19</v>
      </c>
      <c r="G743" s="155" t="s">
        <v>874</v>
      </c>
      <c r="M743" s="136">
        <v>40.369999999999997</v>
      </c>
      <c r="N743" s="139">
        <v>4</v>
      </c>
      <c r="O743" s="138">
        <v>2</v>
      </c>
      <c r="U743" s="136">
        <v>40.53</v>
      </c>
      <c r="V743" s="139">
        <v>10</v>
      </c>
      <c r="W743" s="138">
        <v>50</v>
      </c>
      <c r="Y743" s="136">
        <v>40.32</v>
      </c>
      <c r="Z743" s="139">
        <v>3</v>
      </c>
      <c r="AA743" s="138">
        <v>1</v>
      </c>
      <c r="AC743" s="136">
        <v>40.549999999999997</v>
      </c>
      <c r="AD743" s="139">
        <v>13</v>
      </c>
      <c r="AE743" s="138">
        <v>85</v>
      </c>
      <c r="AG743" s="136">
        <v>40.619999999999997</v>
      </c>
      <c r="AH743" s="137">
        <v>5</v>
      </c>
      <c r="AI743" s="138">
        <v>5</v>
      </c>
      <c r="AK743" s="136">
        <v>40.42</v>
      </c>
      <c r="AL743" s="139">
        <v>13</v>
      </c>
      <c r="AM743" s="138">
        <v>85</v>
      </c>
      <c r="AS743" s="136">
        <v>40.369999999999997</v>
      </c>
      <c r="AT743" s="139">
        <v>4</v>
      </c>
      <c r="AU743" s="138">
        <v>2</v>
      </c>
      <c r="BA743" s="136">
        <v>41.19</v>
      </c>
      <c r="BB743" s="139">
        <v>3</v>
      </c>
      <c r="BC743" s="138">
        <v>1</v>
      </c>
    </row>
    <row r="744" spans="5:55" x14ac:dyDescent="0.3">
      <c r="E744" s="152">
        <v>41</v>
      </c>
      <c r="F744" s="153">
        <v>1</v>
      </c>
      <c r="G744" s="155" t="s">
        <v>862</v>
      </c>
      <c r="M744" s="136">
        <v>40.4</v>
      </c>
      <c r="N744" s="139">
        <v>5</v>
      </c>
      <c r="O744" s="138">
        <v>5</v>
      </c>
      <c r="U744" s="136">
        <v>40.56</v>
      </c>
      <c r="V744" s="139">
        <v>11</v>
      </c>
      <c r="W744" s="138">
        <v>63</v>
      </c>
      <c r="Y744" s="136">
        <v>40.33</v>
      </c>
      <c r="Z744" s="139">
        <v>4</v>
      </c>
      <c r="AA744" s="138">
        <v>2</v>
      </c>
      <c r="AC744" s="136">
        <v>40.57</v>
      </c>
      <c r="AD744" s="139">
        <v>14</v>
      </c>
      <c r="AE744" s="138">
        <v>91</v>
      </c>
      <c r="AG744" s="136">
        <v>40.64</v>
      </c>
      <c r="AH744" s="137">
        <v>6</v>
      </c>
      <c r="AI744" s="138">
        <v>9</v>
      </c>
      <c r="AK744" s="136">
        <v>40.43</v>
      </c>
      <c r="AL744" s="139">
        <v>14</v>
      </c>
      <c r="AM744" s="138">
        <v>91</v>
      </c>
      <c r="AS744" s="136">
        <v>40.380000000000003</v>
      </c>
      <c r="AT744" s="139">
        <v>5</v>
      </c>
      <c r="AU744" s="138">
        <v>5</v>
      </c>
      <c r="BA744" s="136">
        <v>41.2</v>
      </c>
      <c r="BB744" s="139">
        <v>4</v>
      </c>
      <c r="BC744" s="138">
        <v>2</v>
      </c>
    </row>
    <row r="745" spans="5:55" x14ac:dyDescent="0.3">
      <c r="E745" s="152">
        <v>41.32</v>
      </c>
      <c r="F745" s="153">
        <v>2</v>
      </c>
      <c r="G745" s="155" t="s">
        <v>862</v>
      </c>
      <c r="M745" s="136">
        <v>40.42</v>
      </c>
      <c r="N745" s="139">
        <v>6</v>
      </c>
      <c r="O745" s="138">
        <v>9</v>
      </c>
      <c r="U745" s="136">
        <v>40.58</v>
      </c>
      <c r="V745" s="139">
        <v>12</v>
      </c>
      <c r="W745" s="138">
        <v>75</v>
      </c>
      <c r="Y745" s="136">
        <v>40.340000000000003</v>
      </c>
      <c r="Z745" s="139">
        <v>5</v>
      </c>
      <c r="AA745" s="138">
        <v>5</v>
      </c>
      <c r="AC745" s="136">
        <v>40.590000000000003</v>
      </c>
      <c r="AD745" s="139">
        <v>15</v>
      </c>
      <c r="AE745" s="138">
        <v>95</v>
      </c>
      <c r="AG745" s="136">
        <v>40.659999999999997</v>
      </c>
      <c r="AH745" s="137">
        <v>7</v>
      </c>
      <c r="AI745" s="138">
        <v>16</v>
      </c>
      <c r="AK745" s="136">
        <v>40.44</v>
      </c>
      <c r="AL745" s="139">
        <v>15</v>
      </c>
      <c r="AM745" s="138">
        <v>95</v>
      </c>
      <c r="AS745" s="136">
        <v>40.39</v>
      </c>
      <c r="AT745" s="139">
        <v>6</v>
      </c>
      <c r="AU745" s="138">
        <v>9</v>
      </c>
      <c r="BA745" s="136">
        <v>41.22</v>
      </c>
      <c r="BB745" s="139">
        <v>5</v>
      </c>
      <c r="BC745" s="138">
        <v>5</v>
      </c>
    </row>
    <row r="746" spans="5:55" x14ac:dyDescent="0.3">
      <c r="E746" s="152">
        <v>41.37</v>
      </c>
      <c r="F746" s="153">
        <v>3</v>
      </c>
      <c r="G746" s="155" t="s">
        <v>876</v>
      </c>
      <c r="M746" s="136">
        <v>40.44</v>
      </c>
      <c r="N746" s="139">
        <v>7</v>
      </c>
      <c r="O746" s="138">
        <v>16</v>
      </c>
      <c r="U746" s="136">
        <v>40.6</v>
      </c>
      <c r="V746" s="139">
        <v>13</v>
      </c>
      <c r="W746" s="138">
        <v>85</v>
      </c>
      <c r="Y746" s="136">
        <v>40.36</v>
      </c>
      <c r="Z746" s="139">
        <v>6</v>
      </c>
      <c r="AA746" s="138">
        <v>9</v>
      </c>
      <c r="AC746" s="136">
        <v>40.619999999999997</v>
      </c>
      <c r="AD746" s="139">
        <v>16</v>
      </c>
      <c r="AE746" s="138">
        <v>98</v>
      </c>
      <c r="AG746" s="136">
        <v>40.67</v>
      </c>
      <c r="AH746" s="137">
        <v>8</v>
      </c>
      <c r="AI746" s="138">
        <v>25</v>
      </c>
      <c r="AK746" s="136">
        <v>40.46</v>
      </c>
      <c r="AL746" s="139">
        <v>16</v>
      </c>
      <c r="AM746" s="138">
        <v>98</v>
      </c>
      <c r="AS746" s="136">
        <v>40.409999999999997</v>
      </c>
      <c r="AT746" s="139">
        <v>7</v>
      </c>
      <c r="AU746" s="138">
        <v>16</v>
      </c>
      <c r="BA746" s="136">
        <v>41.24</v>
      </c>
      <c r="BB746" s="139">
        <v>6</v>
      </c>
      <c r="BC746" s="138">
        <v>9</v>
      </c>
    </row>
    <row r="747" spans="5:55" x14ac:dyDescent="0.3">
      <c r="E747" s="152">
        <v>41.41</v>
      </c>
      <c r="F747" s="153">
        <v>4</v>
      </c>
      <c r="G747" s="155" t="s">
        <v>863</v>
      </c>
      <c r="M747" s="136">
        <v>40.46</v>
      </c>
      <c r="N747" s="139">
        <v>8</v>
      </c>
      <c r="O747" s="138">
        <v>25</v>
      </c>
      <c r="U747" s="136">
        <v>40.630000000000003</v>
      </c>
      <c r="V747" s="139">
        <v>14</v>
      </c>
      <c r="W747" s="138">
        <v>91</v>
      </c>
      <c r="Y747" s="136">
        <v>40.369999999999997</v>
      </c>
      <c r="Z747" s="139">
        <v>7</v>
      </c>
      <c r="AA747" s="138">
        <v>16</v>
      </c>
      <c r="AC747" s="136">
        <v>40.64</v>
      </c>
      <c r="AD747" s="139">
        <v>17</v>
      </c>
      <c r="AE747" s="138">
        <v>99</v>
      </c>
      <c r="AG747" s="136">
        <v>40.69</v>
      </c>
      <c r="AH747" s="137">
        <v>9</v>
      </c>
      <c r="AI747" s="138">
        <v>37</v>
      </c>
      <c r="AK747" s="136">
        <v>40.479999999999997</v>
      </c>
      <c r="AL747" s="139">
        <v>17</v>
      </c>
      <c r="AM747" s="138">
        <v>99</v>
      </c>
      <c r="AS747" s="136">
        <v>40.42</v>
      </c>
      <c r="AT747" s="139">
        <v>8</v>
      </c>
      <c r="AU747" s="138">
        <v>25</v>
      </c>
      <c r="BA747" s="136">
        <v>41.26</v>
      </c>
      <c r="BB747" s="139">
        <v>7</v>
      </c>
      <c r="BC747" s="138">
        <v>16</v>
      </c>
    </row>
    <row r="748" spans="5:55" x14ac:dyDescent="0.3">
      <c r="E748" s="152">
        <v>41.43</v>
      </c>
      <c r="F748" s="153">
        <v>5</v>
      </c>
      <c r="G748" s="155" t="s">
        <v>877</v>
      </c>
      <c r="M748" s="136">
        <v>40.479999999999997</v>
      </c>
      <c r="N748" s="139">
        <v>9</v>
      </c>
      <c r="O748" s="138">
        <v>37</v>
      </c>
      <c r="U748" s="136">
        <v>40.65</v>
      </c>
      <c r="V748" s="139">
        <v>15</v>
      </c>
      <c r="W748" s="138">
        <v>95</v>
      </c>
      <c r="Y748" s="136">
        <v>40.380000000000003</v>
      </c>
      <c r="Z748" s="139">
        <v>8</v>
      </c>
      <c r="AA748" s="138">
        <v>25</v>
      </c>
      <c r="AC748" s="136">
        <v>40.659999999999997</v>
      </c>
      <c r="AD748" s="139">
        <v>18</v>
      </c>
      <c r="AE748" s="138" t="s">
        <v>884</v>
      </c>
      <c r="AG748" s="136">
        <v>40.700000000000003</v>
      </c>
      <c r="AH748" s="137">
        <v>10</v>
      </c>
      <c r="AI748" s="138">
        <v>50</v>
      </c>
      <c r="AK748" s="136">
        <v>40.49</v>
      </c>
      <c r="AL748" s="139">
        <v>18</v>
      </c>
      <c r="AM748" s="138" t="s">
        <v>884</v>
      </c>
      <c r="AS748" s="136">
        <v>40.43</v>
      </c>
      <c r="AT748" s="139">
        <v>9</v>
      </c>
      <c r="AU748" s="138">
        <v>37</v>
      </c>
      <c r="BA748" s="136">
        <v>41.27</v>
      </c>
      <c r="BB748" s="139">
        <v>8</v>
      </c>
      <c r="BC748" s="138">
        <v>25</v>
      </c>
    </row>
    <row r="749" spans="5:55" x14ac:dyDescent="0.3">
      <c r="E749" s="152">
        <v>41.45</v>
      </c>
      <c r="F749" s="153">
        <v>6</v>
      </c>
      <c r="G749" s="155" t="s">
        <v>864</v>
      </c>
      <c r="M749" s="136">
        <v>40.49</v>
      </c>
      <c r="N749" s="139">
        <v>10</v>
      </c>
      <c r="O749" s="138">
        <v>50</v>
      </c>
      <c r="U749" s="136">
        <v>40.68</v>
      </c>
      <c r="V749" s="139">
        <v>16</v>
      </c>
      <c r="W749" s="138">
        <v>98</v>
      </c>
      <c r="Y749" s="136">
        <v>40.4</v>
      </c>
      <c r="Z749" s="139">
        <v>9</v>
      </c>
      <c r="AA749" s="138">
        <v>37</v>
      </c>
      <c r="AC749" s="136">
        <v>40.71</v>
      </c>
      <c r="AD749" s="139">
        <v>19</v>
      </c>
      <c r="AE749" s="138" t="s">
        <v>884</v>
      </c>
      <c r="AG749" s="136">
        <v>40.72</v>
      </c>
      <c r="AH749" s="137">
        <v>11</v>
      </c>
      <c r="AI749" s="138">
        <v>63</v>
      </c>
      <c r="AK749" s="136">
        <v>40.5</v>
      </c>
      <c r="AL749" s="139">
        <v>19</v>
      </c>
      <c r="AM749" s="138" t="s">
        <v>884</v>
      </c>
      <c r="AS749" s="136">
        <v>40.44</v>
      </c>
      <c r="AT749" s="139">
        <v>10</v>
      </c>
      <c r="AU749" s="138">
        <v>50</v>
      </c>
      <c r="BA749" s="136">
        <v>41.29</v>
      </c>
      <c r="BB749" s="139">
        <v>9</v>
      </c>
      <c r="BC749" s="138">
        <v>37</v>
      </c>
    </row>
    <row r="750" spans="5:55" x14ac:dyDescent="0.3">
      <c r="E750" s="152">
        <v>41.47</v>
      </c>
      <c r="F750" s="153">
        <v>7</v>
      </c>
      <c r="G750" s="155" t="s">
        <v>878</v>
      </c>
      <c r="M750" s="136">
        <v>40.5</v>
      </c>
      <c r="N750" s="139">
        <v>11</v>
      </c>
      <c r="O750" s="138">
        <v>63</v>
      </c>
      <c r="U750" s="136">
        <v>40.700000000000003</v>
      </c>
      <c r="V750" s="139">
        <v>17</v>
      </c>
      <c r="W750" s="138">
        <v>99</v>
      </c>
      <c r="Y750" s="136">
        <v>40.409999999999997</v>
      </c>
      <c r="Z750" s="139">
        <v>10</v>
      </c>
      <c r="AA750" s="138">
        <v>50</v>
      </c>
      <c r="AC750" s="136">
        <v>41</v>
      </c>
      <c r="AD750" s="139">
        <v>1</v>
      </c>
      <c r="AE750" s="138" t="s">
        <v>883</v>
      </c>
      <c r="AG750" s="136">
        <v>40.729999999999997</v>
      </c>
      <c r="AH750" s="137">
        <v>12</v>
      </c>
      <c r="AI750" s="138">
        <v>75</v>
      </c>
      <c r="AK750" s="136">
        <v>41</v>
      </c>
      <c r="AL750" s="139">
        <v>1</v>
      </c>
      <c r="AM750" s="138" t="s">
        <v>883</v>
      </c>
      <c r="AS750" s="136">
        <v>40.450000000000003</v>
      </c>
      <c r="AT750" s="139">
        <v>11</v>
      </c>
      <c r="AU750" s="138">
        <v>63</v>
      </c>
      <c r="BA750" s="136">
        <v>41.31</v>
      </c>
      <c r="BB750" s="139">
        <v>10</v>
      </c>
      <c r="BC750" s="138">
        <v>50</v>
      </c>
    </row>
    <row r="751" spans="5:55" x14ac:dyDescent="0.3">
      <c r="E751" s="152">
        <v>41.49</v>
      </c>
      <c r="F751" s="153">
        <v>8</v>
      </c>
      <c r="G751" s="155" t="s">
        <v>865</v>
      </c>
      <c r="M751" s="136">
        <v>40.51</v>
      </c>
      <c r="N751" s="139">
        <v>12</v>
      </c>
      <c r="O751" s="138">
        <v>75</v>
      </c>
      <c r="U751" s="136">
        <v>40.72</v>
      </c>
      <c r="V751" s="139">
        <v>18</v>
      </c>
      <c r="W751" s="138" t="s">
        <v>884</v>
      </c>
      <c r="Y751" s="136">
        <v>40.42</v>
      </c>
      <c r="Z751" s="139">
        <v>11</v>
      </c>
      <c r="AA751" s="138">
        <v>63</v>
      </c>
      <c r="AC751" s="136">
        <v>41.3</v>
      </c>
      <c r="AD751" s="139">
        <v>2</v>
      </c>
      <c r="AE751" s="138" t="s">
        <v>883</v>
      </c>
      <c r="AG751" s="136">
        <v>40.75</v>
      </c>
      <c r="AH751" s="137">
        <v>13</v>
      </c>
      <c r="AI751" s="138">
        <v>85</v>
      </c>
      <c r="AK751" s="136">
        <v>41.26</v>
      </c>
      <c r="AL751" s="139">
        <v>2</v>
      </c>
      <c r="AM751" s="138" t="s">
        <v>883</v>
      </c>
      <c r="AS751" s="136">
        <v>86.47</v>
      </c>
      <c r="AT751" s="139">
        <v>12</v>
      </c>
      <c r="AU751" s="138">
        <v>75</v>
      </c>
      <c r="BA751" s="136">
        <v>41.32</v>
      </c>
      <c r="BB751" s="139">
        <v>11</v>
      </c>
      <c r="BC751" s="138">
        <v>63</v>
      </c>
    </row>
    <row r="752" spans="5:55" x14ac:dyDescent="0.3">
      <c r="E752" s="152">
        <v>41.51</v>
      </c>
      <c r="F752" s="153">
        <v>9</v>
      </c>
      <c r="G752" s="155" t="s">
        <v>879</v>
      </c>
      <c r="M752" s="136">
        <v>40.520000000000003</v>
      </c>
      <c r="N752" s="139">
        <v>13</v>
      </c>
      <c r="O752" s="138">
        <v>85</v>
      </c>
      <c r="U752" s="136">
        <v>40.75</v>
      </c>
      <c r="V752" s="139">
        <v>19</v>
      </c>
      <c r="W752" s="138" t="s">
        <v>884</v>
      </c>
      <c r="Y752" s="136">
        <v>40.44</v>
      </c>
      <c r="Z752" s="139">
        <v>12</v>
      </c>
      <c r="AA752" s="138">
        <v>75</v>
      </c>
      <c r="AC752" s="136">
        <v>41.32</v>
      </c>
      <c r="AD752" s="139">
        <v>3</v>
      </c>
      <c r="AE752" s="138">
        <v>1</v>
      </c>
      <c r="AG752" s="136">
        <v>40.76</v>
      </c>
      <c r="AH752" s="137">
        <v>14</v>
      </c>
      <c r="AI752" s="138">
        <v>91</v>
      </c>
      <c r="AK752" s="136">
        <v>41.29</v>
      </c>
      <c r="AL752" s="139">
        <v>3</v>
      </c>
      <c r="AM752" s="138">
        <v>1</v>
      </c>
      <c r="AS752" s="136">
        <v>40.49</v>
      </c>
      <c r="AT752" s="139">
        <v>13</v>
      </c>
      <c r="AU752" s="138">
        <v>85</v>
      </c>
      <c r="BA752" s="136">
        <v>41.34</v>
      </c>
      <c r="BB752" s="139">
        <v>12</v>
      </c>
      <c r="BC752" s="138">
        <v>75</v>
      </c>
    </row>
    <row r="753" spans="5:55" x14ac:dyDescent="0.3">
      <c r="E753" s="152">
        <v>41.53</v>
      </c>
      <c r="F753" s="153">
        <v>10</v>
      </c>
      <c r="G753" s="155" t="s">
        <v>866</v>
      </c>
      <c r="M753" s="136">
        <v>40.53</v>
      </c>
      <c r="N753" s="139">
        <v>14</v>
      </c>
      <c r="O753" s="138">
        <v>91</v>
      </c>
      <c r="U753" s="136">
        <v>41</v>
      </c>
      <c r="V753" s="139">
        <v>1</v>
      </c>
      <c r="W753" s="138" t="s">
        <v>883</v>
      </c>
      <c r="Y753" s="136">
        <v>40.46</v>
      </c>
      <c r="Z753" s="139">
        <v>13</v>
      </c>
      <c r="AA753" s="138">
        <v>85</v>
      </c>
      <c r="AC753" s="136">
        <v>41.35</v>
      </c>
      <c r="AD753" s="139">
        <v>4</v>
      </c>
      <c r="AE753" s="138">
        <v>2</v>
      </c>
      <c r="AG753" s="136">
        <v>40.78</v>
      </c>
      <c r="AH753" s="137">
        <v>15</v>
      </c>
      <c r="AI753" s="138">
        <v>95</v>
      </c>
      <c r="AK753" s="136">
        <v>41.3</v>
      </c>
      <c r="AL753" s="139">
        <v>4</v>
      </c>
      <c r="AM753" s="138">
        <v>2</v>
      </c>
      <c r="AS753" s="136">
        <v>40.5</v>
      </c>
      <c r="AT753" s="139">
        <v>14</v>
      </c>
      <c r="AU753" s="138">
        <v>91</v>
      </c>
      <c r="BA753" s="136">
        <v>41.36</v>
      </c>
      <c r="BB753" s="139">
        <v>13</v>
      </c>
      <c r="BC753" s="138">
        <v>85</v>
      </c>
    </row>
    <row r="754" spans="5:55" x14ac:dyDescent="0.3">
      <c r="E754" s="152">
        <v>41.54</v>
      </c>
      <c r="F754" s="153">
        <v>11</v>
      </c>
      <c r="G754" s="155" t="s">
        <v>867</v>
      </c>
      <c r="M754" s="136">
        <v>40.54</v>
      </c>
      <c r="N754" s="139">
        <v>15</v>
      </c>
      <c r="O754" s="138">
        <v>95</v>
      </c>
      <c r="U754" s="136">
        <v>41.25</v>
      </c>
      <c r="V754" s="139">
        <v>2</v>
      </c>
      <c r="W754" s="138" t="s">
        <v>883</v>
      </c>
      <c r="Y754" s="136">
        <v>40.47</v>
      </c>
      <c r="Z754" s="139">
        <v>14</v>
      </c>
      <c r="AA754" s="138">
        <v>91</v>
      </c>
      <c r="AC754" s="136">
        <v>41.37</v>
      </c>
      <c r="AD754" s="139">
        <v>5</v>
      </c>
      <c r="AE754" s="138">
        <v>5</v>
      </c>
      <c r="AG754" s="136">
        <v>40.79</v>
      </c>
      <c r="AH754" s="137">
        <v>16</v>
      </c>
      <c r="AI754" s="138">
        <v>98</v>
      </c>
      <c r="AK754" s="136">
        <v>41.31</v>
      </c>
      <c r="AL754" s="139">
        <v>5</v>
      </c>
      <c r="AM754" s="138">
        <v>5</v>
      </c>
      <c r="AS754" s="136">
        <v>40.51</v>
      </c>
      <c r="AT754" s="139">
        <v>15</v>
      </c>
      <c r="AU754" s="138">
        <v>95</v>
      </c>
      <c r="BA754" s="136">
        <v>41.38</v>
      </c>
      <c r="BB754" s="139">
        <v>14</v>
      </c>
      <c r="BC754" s="138">
        <v>91</v>
      </c>
    </row>
    <row r="755" spans="5:55" x14ac:dyDescent="0.3">
      <c r="E755" s="152">
        <v>41.56</v>
      </c>
      <c r="F755" s="153">
        <v>12</v>
      </c>
      <c r="G755" s="155" t="s">
        <v>868</v>
      </c>
      <c r="M755" s="136">
        <v>40.549999999999997</v>
      </c>
      <c r="N755" s="139">
        <v>16</v>
      </c>
      <c r="O755" s="138">
        <v>98</v>
      </c>
      <c r="U755" s="136">
        <v>41.33</v>
      </c>
      <c r="V755" s="139">
        <v>3</v>
      </c>
      <c r="W755" s="138">
        <v>1</v>
      </c>
      <c r="Y755" s="136">
        <v>40.49</v>
      </c>
      <c r="Z755" s="139">
        <v>15</v>
      </c>
      <c r="AA755" s="138">
        <v>95</v>
      </c>
      <c r="AC755" s="136">
        <v>41.39</v>
      </c>
      <c r="AD755" s="139">
        <v>6</v>
      </c>
      <c r="AE755" s="138">
        <v>9</v>
      </c>
      <c r="AG755" s="136">
        <v>40.81</v>
      </c>
      <c r="AH755" s="137">
        <v>17</v>
      </c>
      <c r="AI755" s="138">
        <v>99</v>
      </c>
      <c r="AK755" s="136">
        <v>41.33</v>
      </c>
      <c r="AL755" s="139">
        <v>6</v>
      </c>
      <c r="AM755" s="138">
        <v>9</v>
      </c>
      <c r="AS755" s="136">
        <v>40.520000000000003</v>
      </c>
      <c r="AT755" s="139">
        <v>16</v>
      </c>
      <c r="AU755" s="138">
        <v>98</v>
      </c>
      <c r="BA755" s="136">
        <v>41.4</v>
      </c>
      <c r="BB755" s="139">
        <v>15</v>
      </c>
      <c r="BC755" s="138">
        <v>95</v>
      </c>
    </row>
    <row r="756" spans="5:55" x14ac:dyDescent="0.3">
      <c r="E756" s="152">
        <v>41.58</v>
      </c>
      <c r="F756" s="153">
        <v>13</v>
      </c>
      <c r="G756" s="155" t="s">
        <v>869</v>
      </c>
      <c r="M756" s="136">
        <v>40.56</v>
      </c>
      <c r="N756" s="139">
        <v>17</v>
      </c>
      <c r="O756" s="138">
        <v>99</v>
      </c>
      <c r="U756" s="136">
        <v>41.37</v>
      </c>
      <c r="V756" s="139">
        <v>4</v>
      </c>
      <c r="W756" s="138">
        <v>2</v>
      </c>
      <c r="Y756" s="136">
        <v>40.51</v>
      </c>
      <c r="Z756" s="139">
        <v>16</v>
      </c>
      <c r="AA756" s="138">
        <v>98</v>
      </c>
      <c r="AC756" s="136">
        <v>41.41</v>
      </c>
      <c r="AD756" s="139">
        <v>7</v>
      </c>
      <c r="AE756" s="138">
        <v>16</v>
      </c>
      <c r="AG756" s="136">
        <v>40.82</v>
      </c>
      <c r="AH756" s="137">
        <v>18</v>
      </c>
      <c r="AI756" s="138" t="s">
        <v>884</v>
      </c>
      <c r="AK756" s="136">
        <v>41.34</v>
      </c>
      <c r="AL756" s="139">
        <v>7</v>
      </c>
      <c r="AM756" s="138">
        <v>16</v>
      </c>
      <c r="AS756" s="156">
        <v>40.53</v>
      </c>
      <c r="AT756" s="139">
        <v>17</v>
      </c>
      <c r="AU756" s="138">
        <v>99</v>
      </c>
      <c r="BA756" s="136">
        <v>41.43</v>
      </c>
      <c r="BB756" s="139">
        <v>16</v>
      </c>
      <c r="BC756" s="138">
        <v>98</v>
      </c>
    </row>
    <row r="757" spans="5:55" x14ac:dyDescent="0.3">
      <c r="E757" s="152">
        <v>41.59</v>
      </c>
      <c r="F757" s="153">
        <v>14</v>
      </c>
      <c r="G757" s="155" t="s">
        <v>870</v>
      </c>
      <c r="M757" s="136">
        <v>40.57</v>
      </c>
      <c r="N757" s="139">
        <v>18</v>
      </c>
      <c r="O757" s="138" t="s">
        <v>884</v>
      </c>
      <c r="U757" s="136">
        <v>41.4</v>
      </c>
      <c r="V757" s="139">
        <v>5</v>
      </c>
      <c r="W757" s="138">
        <v>5</v>
      </c>
      <c r="Y757" s="136">
        <v>40.520000000000003</v>
      </c>
      <c r="Z757" s="139">
        <v>17</v>
      </c>
      <c r="AA757" s="138">
        <v>99</v>
      </c>
      <c r="AC757" s="136">
        <v>41.44</v>
      </c>
      <c r="AD757" s="139">
        <v>8</v>
      </c>
      <c r="AE757" s="138">
        <v>25</v>
      </c>
      <c r="AG757" s="136">
        <v>40.840000000000003</v>
      </c>
      <c r="AH757" s="137">
        <v>19</v>
      </c>
      <c r="AI757" s="138" t="s">
        <v>884</v>
      </c>
      <c r="AK757" s="136">
        <v>41.35</v>
      </c>
      <c r="AL757" s="139">
        <v>8</v>
      </c>
      <c r="AM757" s="138">
        <v>25</v>
      </c>
      <c r="AS757" s="136">
        <v>40.549999999999997</v>
      </c>
      <c r="AT757" s="139">
        <v>18</v>
      </c>
      <c r="AU757" s="138" t="s">
        <v>884</v>
      </c>
      <c r="BA757" s="136">
        <v>41.44</v>
      </c>
      <c r="BB757" s="139">
        <v>17</v>
      </c>
      <c r="BC757" s="138">
        <v>99</v>
      </c>
    </row>
    <row r="758" spans="5:55" x14ac:dyDescent="0.3">
      <c r="E758" s="152">
        <v>41.6</v>
      </c>
      <c r="F758" s="153">
        <v>15</v>
      </c>
      <c r="G758" s="155" t="s">
        <v>871</v>
      </c>
      <c r="M758" s="136">
        <v>40.590000000000003</v>
      </c>
      <c r="N758" s="139">
        <v>19</v>
      </c>
      <c r="O758" s="138" t="s">
        <v>884</v>
      </c>
      <c r="U758" s="136">
        <v>41.43</v>
      </c>
      <c r="V758" s="139">
        <v>6</v>
      </c>
      <c r="W758" s="138">
        <v>9</v>
      </c>
      <c r="Y758" s="136">
        <v>40.54</v>
      </c>
      <c r="Z758" s="139">
        <v>18</v>
      </c>
      <c r="AA758" s="138" t="s">
        <v>884</v>
      </c>
      <c r="AC758" s="136">
        <v>41.46</v>
      </c>
      <c r="AD758" s="139">
        <v>9</v>
      </c>
      <c r="AE758" s="138">
        <v>37</v>
      </c>
      <c r="AG758" s="136">
        <v>41</v>
      </c>
      <c r="AH758" s="137">
        <v>1</v>
      </c>
      <c r="AI758" s="138" t="s">
        <v>883</v>
      </c>
      <c r="AK758" s="136">
        <v>41.36</v>
      </c>
      <c r="AL758" s="139">
        <v>9</v>
      </c>
      <c r="AM758" s="138">
        <v>37</v>
      </c>
      <c r="AS758" s="136">
        <v>40.549999999999997</v>
      </c>
      <c r="AT758" s="139">
        <v>19</v>
      </c>
      <c r="AU758" s="138" t="s">
        <v>884</v>
      </c>
      <c r="BA758" s="136">
        <v>41.46</v>
      </c>
      <c r="BB758" s="139">
        <v>18</v>
      </c>
      <c r="BC758" s="138" t="s">
        <v>884</v>
      </c>
    </row>
    <row r="759" spans="5:55" x14ac:dyDescent="0.3">
      <c r="E759" s="152">
        <v>41.61</v>
      </c>
      <c r="F759" s="153">
        <v>16</v>
      </c>
      <c r="G759" s="155" t="s">
        <v>872</v>
      </c>
      <c r="M759" s="136">
        <v>41</v>
      </c>
      <c r="N759" s="139">
        <v>1</v>
      </c>
      <c r="O759" s="138" t="s">
        <v>883</v>
      </c>
      <c r="U759" s="136">
        <v>41.46</v>
      </c>
      <c r="V759" s="139">
        <v>7</v>
      </c>
      <c r="W759" s="138">
        <v>16</v>
      </c>
      <c r="Y759" s="136">
        <v>40.56</v>
      </c>
      <c r="Z759" s="139">
        <v>19</v>
      </c>
      <c r="AA759" s="138" t="s">
        <v>884</v>
      </c>
      <c r="AC759" s="136">
        <v>41.48</v>
      </c>
      <c r="AD759" s="139">
        <v>10</v>
      </c>
      <c r="AE759" s="138">
        <v>50</v>
      </c>
      <c r="AG759" s="136">
        <v>41.51</v>
      </c>
      <c r="AH759" s="137">
        <v>2</v>
      </c>
      <c r="AI759" s="138" t="s">
        <v>883</v>
      </c>
      <c r="AK759" s="136">
        <v>41.38</v>
      </c>
      <c r="AL759" s="139">
        <v>10</v>
      </c>
      <c r="AM759" s="138">
        <v>50</v>
      </c>
      <c r="AS759" s="136">
        <v>41</v>
      </c>
      <c r="AT759" s="139">
        <v>1</v>
      </c>
      <c r="AU759" s="138" t="s">
        <v>883</v>
      </c>
      <c r="BA759" s="136">
        <v>41.49</v>
      </c>
      <c r="BB759" s="139">
        <v>19</v>
      </c>
      <c r="BC759" s="138" t="s">
        <v>884</v>
      </c>
    </row>
    <row r="760" spans="5:55" x14ac:dyDescent="0.3">
      <c r="E760" s="152">
        <v>41.62</v>
      </c>
      <c r="F760" s="153">
        <v>17</v>
      </c>
      <c r="G760" s="155" t="s">
        <v>873</v>
      </c>
      <c r="M760" s="136">
        <v>41.28</v>
      </c>
      <c r="N760" s="139">
        <v>2</v>
      </c>
      <c r="O760" s="138" t="s">
        <v>883</v>
      </c>
      <c r="U760" s="136">
        <v>41.48</v>
      </c>
      <c r="V760" s="139">
        <v>8</v>
      </c>
      <c r="W760" s="138">
        <v>25</v>
      </c>
      <c r="Y760" s="136">
        <v>41</v>
      </c>
      <c r="Z760" s="139">
        <v>1</v>
      </c>
      <c r="AA760" s="138" t="s">
        <v>883</v>
      </c>
      <c r="AC760" s="136">
        <v>41.5</v>
      </c>
      <c r="AD760" s="139">
        <v>11</v>
      </c>
      <c r="AE760" s="138">
        <v>63</v>
      </c>
      <c r="AG760" s="136">
        <v>41.57</v>
      </c>
      <c r="AH760" s="137">
        <v>3</v>
      </c>
      <c r="AI760" s="138">
        <v>1</v>
      </c>
      <c r="AK760" s="136">
        <v>41.39</v>
      </c>
      <c r="AL760" s="139">
        <v>11</v>
      </c>
      <c r="AM760" s="138">
        <v>63</v>
      </c>
      <c r="AS760" s="136">
        <v>41.31</v>
      </c>
      <c r="AT760" s="139">
        <v>2</v>
      </c>
      <c r="AU760" s="138" t="s">
        <v>883</v>
      </c>
      <c r="BA760" s="136">
        <v>42</v>
      </c>
      <c r="BB760" s="139">
        <v>1</v>
      </c>
      <c r="BC760" s="138" t="s">
        <v>883</v>
      </c>
    </row>
    <row r="761" spans="5:55" x14ac:dyDescent="0.3">
      <c r="E761" s="152">
        <v>41.64</v>
      </c>
      <c r="F761" s="153">
        <v>18</v>
      </c>
      <c r="G761" s="155" t="s">
        <v>874</v>
      </c>
      <c r="M761" s="136">
        <v>41.34</v>
      </c>
      <c r="N761" s="139">
        <v>3</v>
      </c>
      <c r="O761" s="138">
        <v>1</v>
      </c>
      <c r="U761" s="136">
        <v>41.51</v>
      </c>
      <c r="V761" s="139">
        <v>9</v>
      </c>
      <c r="W761" s="138">
        <v>37</v>
      </c>
      <c r="Y761" s="136">
        <v>41.29</v>
      </c>
      <c r="Z761" s="139">
        <v>2</v>
      </c>
      <c r="AA761" s="138" t="s">
        <v>883</v>
      </c>
      <c r="AC761" s="136">
        <v>41.53</v>
      </c>
      <c r="AD761" s="139">
        <v>12</v>
      </c>
      <c r="AE761" s="138">
        <v>75</v>
      </c>
      <c r="AG761" s="136">
        <v>41.6</v>
      </c>
      <c r="AH761" s="137">
        <v>4</v>
      </c>
      <c r="AI761" s="138">
        <v>2</v>
      </c>
      <c r="AK761" s="136">
        <v>41.41</v>
      </c>
      <c r="AL761" s="139">
        <v>12</v>
      </c>
      <c r="AM761" s="138">
        <v>75</v>
      </c>
      <c r="AS761" s="136">
        <v>41.36</v>
      </c>
      <c r="AT761" s="139">
        <v>3</v>
      </c>
      <c r="AU761" s="138">
        <v>1</v>
      </c>
      <c r="BA761" s="136">
        <v>42.18</v>
      </c>
      <c r="BB761" s="139">
        <v>2</v>
      </c>
      <c r="BC761" s="138" t="s">
        <v>883</v>
      </c>
    </row>
    <row r="762" spans="5:55" x14ac:dyDescent="0.3">
      <c r="E762" s="152">
        <v>41.66</v>
      </c>
      <c r="F762" s="153">
        <v>19</v>
      </c>
      <c r="G762" s="155" t="s">
        <v>874</v>
      </c>
      <c r="M762" s="136">
        <v>41.37</v>
      </c>
      <c r="N762" s="139">
        <v>4</v>
      </c>
      <c r="O762" s="138">
        <v>2</v>
      </c>
      <c r="U762" s="136">
        <v>41.53</v>
      </c>
      <c r="V762" s="139">
        <v>10</v>
      </c>
      <c r="W762" s="138">
        <v>50</v>
      </c>
      <c r="Y762" s="136">
        <v>41.32</v>
      </c>
      <c r="Z762" s="139">
        <v>3</v>
      </c>
      <c r="AA762" s="138">
        <v>1</v>
      </c>
      <c r="AC762" s="136">
        <v>41.55</v>
      </c>
      <c r="AD762" s="139">
        <v>13</v>
      </c>
      <c r="AE762" s="138">
        <v>85</v>
      </c>
      <c r="AG762" s="136">
        <v>41.62</v>
      </c>
      <c r="AH762" s="137">
        <v>5</v>
      </c>
      <c r="AI762" s="138">
        <v>5</v>
      </c>
      <c r="AK762" s="136">
        <v>41.42</v>
      </c>
      <c r="AL762" s="139">
        <v>13</v>
      </c>
      <c r="AM762" s="138">
        <v>85</v>
      </c>
      <c r="AS762" s="136">
        <v>41.37</v>
      </c>
      <c r="AT762" s="139">
        <v>4</v>
      </c>
      <c r="AU762" s="138">
        <v>2</v>
      </c>
      <c r="BA762" s="136">
        <v>42.2</v>
      </c>
      <c r="BB762" s="139">
        <v>3</v>
      </c>
      <c r="BC762" s="138">
        <v>1</v>
      </c>
    </row>
    <row r="763" spans="5:55" x14ac:dyDescent="0.3">
      <c r="E763" s="152">
        <v>42</v>
      </c>
      <c r="F763" s="153">
        <v>1</v>
      </c>
      <c r="G763" s="155" t="s">
        <v>862</v>
      </c>
      <c r="M763" s="136">
        <v>41.4</v>
      </c>
      <c r="N763" s="139">
        <v>5</v>
      </c>
      <c r="O763" s="138">
        <v>5</v>
      </c>
      <c r="U763" s="136">
        <v>41.56</v>
      </c>
      <c r="V763" s="139">
        <v>11</v>
      </c>
      <c r="W763" s="138">
        <v>63</v>
      </c>
      <c r="Y763" s="136">
        <v>41.33</v>
      </c>
      <c r="Z763" s="139">
        <v>4</v>
      </c>
      <c r="AA763" s="138">
        <v>2</v>
      </c>
      <c r="AC763" s="136">
        <v>41.57</v>
      </c>
      <c r="AD763" s="139">
        <v>14</v>
      </c>
      <c r="AE763" s="138">
        <v>91</v>
      </c>
      <c r="AG763" s="136">
        <v>41.64</v>
      </c>
      <c r="AH763" s="137">
        <v>6</v>
      </c>
      <c r="AI763" s="138">
        <v>9</v>
      </c>
      <c r="AK763" s="136">
        <v>41.43</v>
      </c>
      <c r="AL763" s="139">
        <v>14</v>
      </c>
      <c r="AM763" s="138">
        <v>91</v>
      </c>
      <c r="AS763" s="136">
        <v>41.38</v>
      </c>
      <c r="AT763" s="139">
        <v>5</v>
      </c>
      <c r="AU763" s="138">
        <v>5</v>
      </c>
      <c r="BA763" s="136">
        <v>42.22</v>
      </c>
      <c r="BB763" s="139">
        <v>4</v>
      </c>
      <c r="BC763" s="138">
        <v>2</v>
      </c>
    </row>
    <row r="764" spans="5:55" x14ac:dyDescent="0.3">
      <c r="E764" s="152">
        <v>42.35</v>
      </c>
      <c r="F764" s="153">
        <v>2</v>
      </c>
      <c r="G764" s="155" t="s">
        <v>862</v>
      </c>
      <c r="M764" s="136">
        <v>41.42</v>
      </c>
      <c r="N764" s="139">
        <v>6</v>
      </c>
      <c r="O764" s="138">
        <v>9</v>
      </c>
      <c r="U764" s="136">
        <v>41.58</v>
      </c>
      <c r="V764" s="139">
        <v>12</v>
      </c>
      <c r="W764" s="138">
        <v>75</v>
      </c>
      <c r="Y764" s="136">
        <v>41.34</v>
      </c>
      <c r="Z764" s="139">
        <v>5</v>
      </c>
      <c r="AA764" s="138">
        <v>5</v>
      </c>
      <c r="AC764" s="136">
        <v>41.59</v>
      </c>
      <c r="AD764" s="139">
        <v>15</v>
      </c>
      <c r="AE764" s="138">
        <v>95</v>
      </c>
      <c r="AG764" s="136">
        <v>41.66</v>
      </c>
      <c r="AH764" s="137">
        <v>7</v>
      </c>
      <c r="AI764" s="138">
        <v>16</v>
      </c>
      <c r="AK764" s="136">
        <v>41.44</v>
      </c>
      <c r="AL764" s="139">
        <v>15</v>
      </c>
      <c r="AM764" s="138">
        <v>95</v>
      </c>
      <c r="AS764" s="136">
        <v>41.39</v>
      </c>
      <c r="AT764" s="139">
        <v>6</v>
      </c>
      <c r="AU764" s="138">
        <v>9</v>
      </c>
      <c r="BA764" s="136">
        <v>42.24</v>
      </c>
      <c r="BB764" s="139">
        <v>5</v>
      </c>
      <c r="BC764" s="138">
        <v>5</v>
      </c>
    </row>
    <row r="765" spans="5:55" x14ac:dyDescent="0.3">
      <c r="E765" s="152">
        <v>42.41</v>
      </c>
      <c r="F765" s="153">
        <v>3</v>
      </c>
      <c r="G765" s="155" t="s">
        <v>876</v>
      </c>
      <c r="M765" s="136">
        <v>41.44</v>
      </c>
      <c r="N765" s="139">
        <v>7</v>
      </c>
      <c r="O765" s="138">
        <v>16</v>
      </c>
      <c r="U765" s="136">
        <v>41.6</v>
      </c>
      <c r="V765" s="139">
        <v>13</v>
      </c>
      <c r="W765" s="138">
        <v>85</v>
      </c>
      <c r="Y765" s="136">
        <v>41.36</v>
      </c>
      <c r="Z765" s="139">
        <v>6</v>
      </c>
      <c r="AA765" s="138">
        <v>9</v>
      </c>
      <c r="AC765" s="136">
        <v>41.62</v>
      </c>
      <c r="AD765" s="139">
        <v>16</v>
      </c>
      <c r="AE765" s="138">
        <v>98</v>
      </c>
      <c r="AG765" s="136">
        <v>41.67</v>
      </c>
      <c r="AH765" s="137">
        <v>8</v>
      </c>
      <c r="AI765" s="138">
        <v>25</v>
      </c>
      <c r="AK765" s="136">
        <v>41.46</v>
      </c>
      <c r="AL765" s="139">
        <v>16</v>
      </c>
      <c r="AM765" s="138">
        <v>98</v>
      </c>
      <c r="AS765" s="136">
        <v>41.41</v>
      </c>
      <c r="AT765" s="139">
        <v>7</v>
      </c>
      <c r="AU765" s="138">
        <v>16</v>
      </c>
      <c r="BA765" s="136">
        <v>42.26</v>
      </c>
      <c r="BB765" s="139">
        <v>6</v>
      </c>
      <c r="BC765" s="138">
        <v>9</v>
      </c>
    </row>
    <row r="766" spans="5:55" x14ac:dyDescent="0.3">
      <c r="E766" s="152">
        <v>42.43</v>
      </c>
      <c r="F766" s="153">
        <v>4</v>
      </c>
      <c r="G766" s="155" t="s">
        <v>863</v>
      </c>
      <c r="M766" s="136">
        <v>41.46</v>
      </c>
      <c r="N766" s="139">
        <v>8</v>
      </c>
      <c r="O766" s="138">
        <v>25</v>
      </c>
      <c r="U766" s="136">
        <v>41.63</v>
      </c>
      <c r="V766" s="139">
        <v>14</v>
      </c>
      <c r="W766" s="138">
        <v>91</v>
      </c>
      <c r="Y766" s="136">
        <v>41.37</v>
      </c>
      <c r="Z766" s="139">
        <v>7</v>
      </c>
      <c r="AA766" s="138">
        <v>16</v>
      </c>
      <c r="AC766" s="136">
        <v>41.64</v>
      </c>
      <c r="AD766" s="139">
        <v>17</v>
      </c>
      <c r="AE766" s="138">
        <v>99</v>
      </c>
      <c r="AG766" s="136">
        <v>41.69</v>
      </c>
      <c r="AH766" s="137">
        <v>9</v>
      </c>
      <c r="AI766" s="138">
        <v>37</v>
      </c>
      <c r="AK766" s="136">
        <v>41.48</v>
      </c>
      <c r="AL766" s="139">
        <v>17</v>
      </c>
      <c r="AM766" s="138">
        <v>99</v>
      </c>
      <c r="AS766" s="136">
        <v>41.42</v>
      </c>
      <c r="AT766" s="139">
        <v>8</v>
      </c>
      <c r="AU766" s="138">
        <v>25</v>
      </c>
      <c r="BA766" s="136">
        <v>42.28</v>
      </c>
      <c r="BB766" s="139">
        <v>7</v>
      </c>
      <c r="BC766" s="138">
        <v>16</v>
      </c>
    </row>
    <row r="767" spans="5:55" x14ac:dyDescent="0.3">
      <c r="E767" s="152">
        <v>42.46</v>
      </c>
      <c r="F767" s="153">
        <v>5</v>
      </c>
      <c r="G767" s="155" t="s">
        <v>877</v>
      </c>
      <c r="M767" s="136">
        <v>41.48</v>
      </c>
      <c r="N767" s="139">
        <v>9</v>
      </c>
      <c r="O767" s="138">
        <v>37</v>
      </c>
      <c r="U767" s="136">
        <v>41.65</v>
      </c>
      <c r="V767" s="139">
        <v>15</v>
      </c>
      <c r="W767" s="138">
        <v>95</v>
      </c>
      <c r="Y767" s="136">
        <v>41.38</v>
      </c>
      <c r="Z767" s="139">
        <v>8</v>
      </c>
      <c r="AA767" s="138">
        <v>25</v>
      </c>
      <c r="AC767" s="136">
        <v>41.66</v>
      </c>
      <c r="AD767" s="139">
        <v>18</v>
      </c>
      <c r="AE767" s="138" t="s">
        <v>884</v>
      </c>
      <c r="AG767" s="136">
        <v>41.7</v>
      </c>
      <c r="AH767" s="137">
        <v>10</v>
      </c>
      <c r="AI767" s="138">
        <v>50</v>
      </c>
      <c r="AK767" s="136">
        <v>41.49</v>
      </c>
      <c r="AL767" s="139">
        <v>18</v>
      </c>
      <c r="AM767" s="138" t="s">
        <v>884</v>
      </c>
      <c r="AS767" s="136">
        <v>41.43</v>
      </c>
      <c r="AT767" s="139">
        <v>9</v>
      </c>
      <c r="AU767" s="138">
        <v>37</v>
      </c>
      <c r="BA767" s="136">
        <v>42.3</v>
      </c>
      <c r="BB767" s="139">
        <v>8</v>
      </c>
      <c r="BC767" s="138">
        <v>25</v>
      </c>
    </row>
    <row r="768" spans="5:55" x14ac:dyDescent="0.3">
      <c r="E768" s="152">
        <v>42.48</v>
      </c>
      <c r="F768" s="153">
        <v>6</v>
      </c>
      <c r="G768" s="155" t="s">
        <v>864</v>
      </c>
      <c r="M768" s="136">
        <v>41.49</v>
      </c>
      <c r="N768" s="139">
        <v>10</v>
      </c>
      <c r="O768" s="138">
        <v>50</v>
      </c>
      <c r="U768" s="136">
        <v>41.68</v>
      </c>
      <c r="V768" s="139">
        <v>16</v>
      </c>
      <c r="W768" s="138">
        <v>98</v>
      </c>
      <c r="Y768" s="136">
        <v>41.4</v>
      </c>
      <c r="Z768" s="139">
        <v>9</v>
      </c>
      <c r="AA768" s="138">
        <v>37</v>
      </c>
      <c r="AC768" s="136">
        <v>41.71</v>
      </c>
      <c r="AD768" s="139">
        <v>19</v>
      </c>
      <c r="AE768" s="138" t="s">
        <v>884</v>
      </c>
      <c r="AG768" s="136">
        <v>41.72</v>
      </c>
      <c r="AH768" s="137">
        <v>11</v>
      </c>
      <c r="AI768" s="138">
        <v>63</v>
      </c>
      <c r="AK768" s="136">
        <v>41.5</v>
      </c>
      <c r="AL768" s="139">
        <v>19</v>
      </c>
      <c r="AM768" s="138" t="s">
        <v>884</v>
      </c>
      <c r="AS768" s="136">
        <v>41.44</v>
      </c>
      <c r="AT768" s="139">
        <v>10</v>
      </c>
      <c r="AU768" s="138">
        <v>50</v>
      </c>
      <c r="BA768" s="136">
        <v>42.32</v>
      </c>
      <c r="BB768" s="139">
        <v>9</v>
      </c>
      <c r="BC768" s="138">
        <v>37</v>
      </c>
    </row>
    <row r="769" spans="5:55" x14ac:dyDescent="0.3">
      <c r="E769" s="152">
        <v>42.5</v>
      </c>
      <c r="F769" s="153">
        <v>7</v>
      </c>
      <c r="G769" s="155" t="s">
        <v>878</v>
      </c>
      <c r="M769" s="136">
        <v>41.5</v>
      </c>
      <c r="N769" s="139">
        <v>11</v>
      </c>
      <c r="O769" s="138">
        <v>63</v>
      </c>
      <c r="U769" s="136">
        <v>41.7</v>
      </c>
      <c r="V769" s="139">
        <v>17</v>
      </c>
      <c r="W769" s="138">
        <v>99</v>
      </c>
      <c r="Y769" s="136">
        <v>41.41</v>
      </c>
      <c r="Z769" s="139">
        <v>10</v>
      </c>
      <c r="AA769" s="138">
        <v>50</v>
      </c>
      <c r="AC769" s="136">
        <v>42</v>
      </c>
      <c r="AD769" s="139">
        <v>1</v>
      </c>
      <c r="AE769" s="138" t="s">
        <v>883</v>
      </c>
      <c r="AG769" s="136">
        <v>41.73</v>
      </c>
      <c r="AH769" s="137">
        <v>12</v>
      </c>
      <c r="AI769" s="138">
        <v>75</v>
      </c>
      <c r="AK769" s="136">
        <v>42</v>
      </c>
      <c r="AL769" s="139">
        <v>1</v>
      </c>
      <c r="AM769" s="138" t="s">
        <v>883</v>
      </c>
      <c r="AS769" s="136">
        <v>41.45</v>
      </c>
      <c r="AT769" s="139">
        <v>11</v>
      </c>
      <c r="AU769" s="138">
        <v>63</v>
      </c>
      <c r="BA769" s="136">
        <v>42.34</v>
      </c>
      <c r="BB769" s="139">
        <v>10</v>
      </c>
      <c r="BC769" s="138">
        <v>50</v>
      </c>
    </row>
    <row r="770" spans="5:55" x14ac:dyDescent="0.3">
      <c r="E770" s="152">
        <v>42.52</v>
      </c>
      <c r="F770" s="153">
        <v>8</v>
      </c>
      <c r="G770" s="155" t="s">
        <v>865</v>
      </c>
      <c r="M770" s="136">
        <v>41.51</v>
      </c>
      <c r="N770" s="139">
        <v>12</v>
      </c>
      <c r="O770" s="138">
        <v>75</v>
      </c>
      <c r="U770" s="136">
        <v>41.72</v>
      </c>
      <c r="V770" s="139">
        <v>18</v>
      </c>
      <c r="W770" s="138" t="s">
        <v>884</v>
      </c>
      <c r="Y770" s="136">
        <v>41.42</v>
      </c>
      <c r="Z770" s="139">
        <v>11</v>
      </c>
      <c r="AA770" s="138">
        <v>63</v>
      </c>
      <c r="AC770" s="136">
        <v>42.32</v>
      </c>
      <c r="AD770" s="139">
        <v>2</v>
      </c>
      <c r="AE770" s="138" t="s">
        <v>883</v>
      </c>
      <c r="AG770" s="136">
        <v>41.75</v>
      </c>
      <c r="AH770" s="137">
        <v>13</v>
      </c>
      <c r="AI770" s="138">
        <v>85</v>
      </c>
      <c r="AK770" s="136">
        <v>42.28</v>
      </c>
      <c r="AL770" s="139">
        <v>2</v>
      </c>
      <c r="AM770" s="138" t="s">
        <v>883</v>
      </c>
      <c r="AS770" s="136">
        <v>41.46</v>
      </c>
      <c r="AT770" s="139">
        <v>12</v>
      </c>
      <c r="AU770" s="138">
        <v>75</v>
      </c>
      <c r="BA770" s="136">
        <v>42.36</v>
      </c>
      <c r="BB770" s="139">
        <v>11</v>
      </c>
      <c r="BC770" s="138">
        <v>63</v>
      </c>
    </row>
    <row r="771" spans="5:55" x14ac:dyDescent="0.3">
      <c r="E771" s="152">
        <v>42.54</v>
      </c>
      <c r="F771" s="153">
        <v>9</v>
      </c>
      <c r="G771" s="155" t="s">
        <v>879</v>
      </c>
      <c r="M771" s="136">
        <v>41.52</v>
      </c>
      <c r="N771" s="139">
        <v>13</v>
      </c>
      <c r="O771" s="138">
        <v>85</v>
      </c>
      <c r="U771" s="136">
        <v>41.75</v>
      </c>
      <c r="V771" s="139">
        <v>19</v>
      </c>
      <c r="W771" s="138" t="s">
        <v>884</v>
      </c>
      <c r="Y771" s="136">
        <v>41.44</v>
      </c>
      <c r="Z771" s="139">
        <v>12</v>
      </c>
      <c r="AA771" s="138">
        <v>75</v>
      </c>
      <c r="AC771" s="136">
        <v>42.35</v>
      </c>
      <c r="AD771" s="139">
        <v>3</v>
      </c>
      <c r="AE771" s="138">
        <v>1</v>
      </c>
      <c r="AG771" s="136">
        <v>41.76</v>
      </c>
      <c r="AH771" s="137">
        <v>14</v>
      </c>
      <c r="AI771" s="138">
        <v>91</v>
      </c>
      <c r="AK771" s="136">
        <v>42.3</v>
      </c>
      <c r="AL771" s="139">
        <v>3</v>
      </c>
      <c r="AM771" s="138">
        <v>1</v>
      </c>
      <c r="AS771" s="136">
        <v>41.47</v>
      </c>
      <c r="AT771" s="139">
        <v>13</v>
      </c>
      <c r="AU771" s="138">
        <v>85</v>
      </c>
      <c r="BA771" s="136">
        <v>42.38</v>
      </c>
      <c r="BB771" s="139">
        <v>12</v>
      </c>
      <c r="BC771" s="138">
        <v>75</v>
      </c>
    </row>
    <row r="772" spans="5:55" x14ac:dyDescent="0.3">
      <c r="E772" s="152">
        <v>42.56</v>
      </c>
      <c r="F772" s="153">
        <v>10</v>
      </c>
      <c r="G772" s="155" t="s">
        <v>866</v>
      </c>
      <c r="M772" s="136">
        <v>41.53</v>
      </c>
      <c r="N772" s="139">
        <v>14</v>
      </c>
      <c r="O772" s="138">
        <v>91</v>
      </c>
      <c r="U772" s="136">
        <v>42</v>
      </c>
      <c r="V772" s="139">
        <v>1</v>
      </c>
      <c r="W772" s="138" t="s">
        <v>883</v>
      </c>
      <c r="Y772" s="136">
        <v>41.46</v>
      </c>
      <c r="Z772" s="139">
        <v>13</v>
      </c>
      <c r="AA772" s="138">
        <v>85</v>
      </c>
      <c r="AC772" s="136">
        <v>42.37</v>
      </c>
      <c r="AD772" s="139">
        <v>4</v>
      </c>
      <c r="AE772" s="138">
        <v>2</v>
      </c>
      <c r="AG772" s="136">
        <v>41.78</v>
      </c>
      <c r="AH772" s="137">
        <v>15</v>
      </c>
      <c r="AI772" s="138">
        <v>95</v>
      </c>
      <c r="AK772" s="136">
        <v>42.31</v>
      </c>
      <c r="AL772" s="139">
        <v>4</v>
      </c>
      <c r="AM772" s="138">
        <v>2</v>
      </c>
      <c r="AS772" s="136">
        <v>41.49</v>
      </c>
      <c r="AT772" s="139">
        <v>14</v>
      </c>
      <c r="AU772" s="138">
        <v>91</v>
      </c>
      <c r="BA772" s="136">
        <v>42.4</v>
      </c>
      <c r="BB772" s="139">
        <v>13</v>
      </c>
      <c r="BC772" s="138">
        <v>85</v>
      </c>
    </row>
    <row r="773" spans="5:55" x14ac:dyDescent="0.3">
      <c r="E773" s="152">
        <v>42.58</v>
      </c>
      <c r="F773" s="153">
        <v>11</v>
      </c>
      <c r="G773" s="155" t="s">
        <v>867</v>
      </c>
      <c r="M773" s="136">
        <v>41.54</v>
      </c>
      <c r="N773" s="139">
        <v>15</v>
      </c>
      <c r="O773" s="138">
        <v>95</v>
      </c>
      <c r="U773" s="136">
        <v>42.27</v>
      </c>
      <c r="V773" s="139">
        <v>2</v>
      </c>
      <c r="W773" s="138" t="s">
        <v>883</v>
      </c>
      <c r="Y773" s="136">
        <v>41.47</v>
      </c>
      <c r="Z773" s="139">
        <v>14</v>
      </c>
      <c r="AA773" s="138">
        <v>91</v>
      </c>
      <c r="AC773" s="136">
        <v>42.39</v>
      </c>
      <c r="AD773" s="139">
        <v>5</v>
      </c>
      <c r="AE773" s="138">
        <v>5</v>
      </c>
      <c r="AG773" s="136">
        <v>41.79</v>
      </c>
      <c r="AH773" s="137">
        <v>16</v>
      </c>
      <c r="AI773" s="138">
        <v>98</v>
      </c>
      <c r="AK773" s="136">
        <v>42.33</v>
      </c>
      <c r="AL773" s="139">
        <v>5</v>
      </c>
      <c r="AM773" s="138">
        <v>5</v>
      </c>
      <c r="AS773" s="136">
        <v>41.5</v>
      </c>
      <c r="AT773" s="139">
        <v>15</v>
      </c>
      <c r="AU773" s="138">
        <v>95</v>
      </c>
      <c r="BA773" s="136">
        <v>42.43</v>
      </c>
      <c r="BB773" s="139">
        <v>14</v>
      </c>
      <c r="BC773" s="138">
        <v>91</v>
      </c>
    </row>
    <row r="774" spans="5:55" x14ac:dyDescent="0.3">
      <c r="E774" s="152">
        <v>42.59</v>
      </c>
      <c r="F774" s="153">
        <v>12</v>
      </c>
      <c r="G774" s="155" t="s">
        <v>868</v>
      </c>
      <c r="M774" s="136">
        <v>41.55</v>
      </c>
      <c r="N774" s="139">
        <v>16</v>
      </c>
      <c r="O774" s="138">
        <v>98</v>
      </c>
      <c r="U774" s="136">
        <v>42.37</v>
      </c>
      <c r="V774" s="139">
        <v>3</v>
      </c>
      <c r="W774" s="138">
        <v>1</v>
      </c>
      <c r="Y774" s="136">
        <v>41.49</v>
      </c>
      <c r="Z774" s="139">
        <v>15</v>
      </c>
      <c r="AA774" s="138">
        <v>95</v>
      </c>
      <c r="AC774" s="136">
        <v>42.41</v>
      </c>
      <c r="AD774" s="139">
        <v>6</v>
      </c>
      <c r="AE774" s="138">
        <v>9</v>
      </c>
      <c r="AG774" s="136">
        <v>41.81</v>
      </c>
      <c r="AH774" s="137">
        <v>17</v>
      </c>
      <c r="AI774" s="138">
        <v>99</v>
      </c>
      <c r="AK774" s="136">
        <v>42.34</v>
      </c>
      <c r="AL774" s="139">
        <v>6</v>
      </c>
      <c r="AM774" s="138">
        <v>9</v>
      </c>
      <c r="AS774" s="136">
        <v>41.51</v>
      </c>
      <c r="AT774" s="139">
        <v>16</v>
      </c>
      <c r="AU774" s="138">
        <v>98</v>
      </c>
      <c r="BA774" s="136">
        <v>42.44</v>
      </c>
      <c r="BB774" s="139">
        <v>15</v>
      </c>
      <c r="BC774" s="138">
        <v>95</v>
      </c>
    </row>
    <row r="775" spans="5:55" x14ac:dyDescent="0.3">
      <c r="E775" s="152">
        <v>42.6</v>
      </c>
      <c r="F775" s="153">
        <v>13</v>
      </c>
      <c r="G775" s="155" t="s">
        <v>869</v>
      </c>
      <c r="M775" s="136">
        <v>41.56</v>
      </c>
      <c r="N775" s="139">
        <v>17</v>
      </c>
      <c r="O775" s="138">
        <v>99</v>
      </c>
      <c r="U775" s="136">
        <v>42.4</v>
      </c>
      <c r="V775" s="139">
        <v>4</v>
      </c>
      <c r="W775" s="138">
        <v>2</v>
      </c>
      <c r="Y775" s="136">
        <v>41.51</v>
      </c>
      <c r="Z775" s="139">
        <v>16</v>
      </c>
      <c r="AA775" s="138">
        <v>98</v>
      </c>
      <c r="AC775" s="136">
        <v>42.44</v>
      </c>
      <c r="AD775" s="139">
        <v>7</v>
      </c>
      <c r="AE775" s="138">
        <v>16</v>
      </c>
      <c r="AG775" s="136">
        <v>41.82</v>
      </c>
      <c r="AH775" s="137">
        <v>18</v>
      </c>
      <c r="AI775" s="138" t="s">
        <v>884</v>
      </c>
      <c r="AK775" s="136">
        <v>42.36</v>
      </c>
      <c r="AL775" s="139">
        <v>7</v>
      </c>
      <c r="AM775" s="138">
        <v>16</v>
      </c>
      <c r="AS775" s="136">
        <v>41.52</v>
      </c>
      <c r="AT775" s="139">
        <v>17</v>
      </c>
      <c r="AU775" s="138">
        <v>99</v>
      </c>
      <c r="BA775" s="136">
        <v>42.46</v>
      </c>
      <c r="BB775" s="139">
        <v>16</v>
      </c>
      <c r="BC775" s="138">
        <v>98</v>
      </c>
    </row>
    <row r="776" spans="5:55" x14ac:dyDescent="0.3">
      <c r="E776" s="152">
        <v>42.61</v>
      </c>
      <c r="F776" s="153">
        <v>14</v>
      </c>
      <c r="G776" s="155" t="s">
        <v>870</v>
      </c>
      <c r="M776" s="136">
        <v>41.57</v>
      </c>
      <c r="N776" s="139">
        <v>18</v>
      </c>
      <c r="O776" s="138" t="s">
        <v>884</v>
      </c>
      <c r="U776" s="136">
        <v>42.43</v>
      </c>
      <c r="V776" s="139">
        <v>5</v>
      </c>
      <c r="W776" s="138">
        <v>5</v>
      </c>
      <c r="Y776" s="136">
        <v>41.52</v>
      </c>
      <c r="Z776" s="139">
        <v>17</v>
      </c>
      <c r="AA776" s="138">
        <v>99</v>
      </c>
      <c r="AC776" s="136">
        <v>42.46</v>
      </c>
      <c r="AD776" s="139">
        <v>8</v>
      </c>
      <c r="AE776" s="138">
        <v>25</v>
      </c>
      <c r="AG776" s="136">
        <v>41.84</v>
      </c>
      <c r="AH776" s="137">
        <v>19</v>
      </c>
      <c r="AI776" s="138" t="s">
        <v>884</v>
      </c>
      <c r="AK776" s="136">
        <v>42.37</v>
      </c>
      <c r="AL776" s="139">
        <v>8</v>
      </c>
      <c r="AM776" s="138">
        <v>25</v>
      </c>
      <c r="AS776" s="136">
        <v>41.53</v>
      </c>
      <c r="AT776" s="139">
        <v>18</v>
      </c>
      <c r="AU776" s="138" t="s">
        <v>884</v>
      </c>
      <c r="BA776" s="136">
        <v>42.49</v>
      </c>
      <c r="BB776" s="139">
        <v>17</v>
      </c>
      <c r="BC776" s="138">
        <v>99</v>
      </c>
    </row>
    <row r="777" spans="5:55" x14ac:dyDescent="0.3">
      <c r="E777" s="152">
        <v>42.62</v>
      </c>
      <c r="F777" s="153">
        <v>15</v>
      </c>
      <c r="G777" s="155" t="s">
        <v>871</v>
      </c>
      <c r="M777" s="136">
        <v>41.59</v>
      </c>
      <c r="N777" s="139">
        <v>19</v>
      </c>
      <c r="O777" s="138" t="s">
        <v>884</v>
      </c>
      <c r="U777" s="136">
        <v>42.46</v>
      </c>
      <c r="V777" s="139">
        <v>6</v>
      </c>
      <c r="W777" s="138">
        <v>9</v>
      </c>
      <c r="Y777" s="136">
        <v>41.54</v>
      </c>
      <c r="Z777" s="139">
        <v>18</v>
      </c>
      <c r="AA777" s="138" t="s">
        <v>884</v>
      </c>
      <c r="AC777" s="136">
        <v>42.48</v>
      </c>
      <c r="AD777" s="139">
        <v>9</v>
      </c>
      <c r="AE777" s="138">
        <v>37</v>
      </c>
      <c r="AG777" s="136">
        <v>42</v>
      </c>
      <c r="AH777" s="137">
        <v>1</v>
      </c>
      <c r="AI777" s="138" t="s">
        <v>883</v>
      </c>
      <c r="AK777" s="136">
        <v>42.39</v>
      </c>
      <c r="AL777" s="139">
        <v>9</v>
      </c>
      <c r="AM777" s="138">
        <v>37</v>
      </c>
      <c r="AS777" s="136">
        <v>41.55</v>
      </c>
      <c r="AT777" s="139">
        <v>19</v>
      </c>
      <c r="AU777" s="138" t="s">
        <v>884</v>
      </c>
      <c r="BA777" s="136">
        <v>42.51</v>
      </c>
      <c r="BB777" s="139">
        <v>18</v>
      </c>
      <c r="BC777" s="138" t="s">
        <v>884</v>
      </c>
    </row>
    <row r="778" spans="5:55" x14ac:dyDescent="0.3">
      <c r="E778" s="152">
        <v>42.63</v>
      </c>
      <c r="F778" s="153">
        <v>16</v>
      </c>
      <c r="G778" s="155" t="s">
        <v>872</v>
      </c>
      <c r="M778" s="136">
        <v>42</v>
      </c>
      <c r="N778" s="139">
        <v>1</v>
      </c>
      <c r="O778" s="138" t="s">
        <v>883</v>
      </c>
      <c r="U778" s="136">
        <v>42.49</v>
      </c>
      <c r="V778" s="139">
        <v>7</v>
      </c>
      <c r="W778" s="138">
        <v>16</v>
      </c>
      <c r="Y778" s="136">
        <v>41.56</v>
      </c>
      <c r="Z778" s="139">
        <v>19</v>
      </c>
      <c r="AA778" s="138" t="s">
        <v>884</v>
      </c>
      <c r="AC778" s="136">
        <v>42.5</v>
      </c>
      <c r="AD778" s="139">
        <v>10</v>
      </c>
      <c r="AE778" s="138">
        <v>50</v>
      </c>
      <c r="AG778" s="136">
        <v>42.54</v>
      </c>
      <c r="AH778" s="137">
        <v>2</v>
      </c>
      <c r="AI778" s="138" t="s">
        <v>883</v>
      </c>
      <c r="AK778" s="136">
        <v>42.41</v>
      </c>
      <c r="AL778" s="139">
        <v>10</v>
      </c>
      <c r="AM778" s="138">
        <v>50</v>
      </c>
      <c r="AS778" s="136">
        <v>42</v>
      </c>
      <c r="AT778" s="139">
        <v>1</v>
      </c>
      <c r="AU778" s="138" t="s">
        <v>883</v>
      </c>
      <c r="BA778" s="136">
        <v>42.55</v>
      </c>
      <c r="BB778" s="139">
        <v>19</v>
      </c>
      <c r="BC778" s="138" t="s">
        <v>884</v>
      </c>
    </row>
    <row r="779" spans="5:55" x14ac:dyDescent="0.3">
      <c r="E779" s="152">
        <v>42.64</v>
      </c>
      <c r="F779" s="153">
        <v>17</v>
      </c>
      <c r="G779" s="155" t="s">
        <v>873</v>
      </c>
      <c r="M779" s="136">
        <v>42.3</v>
      </c>
      <c r="N779" s="139">
        <v>2</v>
      </c>
      <c r="O779" s="138" t="s">
        <v>883</v>
      </c>
      <c r="U779" s="136">
        <v>42.51</v>
      </c>
      <c r="V779" s="139">
        <v>8</v>
      </c>
      <c r="W779" s="138">
        <v>25</v>
      </c>
      <c r="Y779" s="136">
        <v>42</v>
      </c>
      <c r="Z779" s="139">
        <v>1</v>
      </c>
      <c r="AA779" s="138" t="s">
        <v>883</v>
      </c>
      <c r="AC779" s="136">
        <v>42.53</v>
      </c>
      <c r="AD779" s="139">
        <v>11</v>
      </c>
      <c r="AE779" s="138">
        <v>63</v>
      </c>
      <c r="AG779" s="136">
        <v>42.6</v>
      </c>
      <c r="AH779" s="137">
        <v>3</v>
      </c>
      <c r="AI779" s="138">
        <v>1</v>
      </c>
      <c r="AK779" s="136">
        <v>42.42</v>
      </c>
      <c r="AL779" s="139">
        <v>11</v>
      </c>
      <c r="AM779" s="138">
        <v>63</v>
      </c>
      <c r="AS779" s="136">
        <v>42.34</v>
      </c>
      <c r="AT779" s="139">
        <v>2</v>
      </c>
      <c r="AU779" s="138" t="s">
        <v>883</v>
      </c>
      <c r="BA779" s="136">
        <v>43</v>
      </c>
      <c r="BB779" s="139">
        <v>1</v>
      </c>
      <c r="BC779" s="138" t="s">
        <v>883</v>
      </c>
    </row>
    <row r="780" spans="5:55" x14ac:dyDescent="0.3">
      <c r="E780" s="152">
        <v>42.65</v>
      </c>
      <c r="F780" s="153">
        <v>18</v>
      </c>
      <c r="G780" s="155" t="s">
        <v>874</v>
      </c>
      <c r="M780" s="136">
        <v>42.36</v>
      </c>
      <c r="N780" s="139">
        <v>3</v>
      </c>
      <c r="O780" s="138">
        <v>1</v>
      </c>
      <c r="U780" s="136">
        <v>42.54</v>
      </c>
      <c r="V780" s="139">
        <v>9</v>
      </c>
      <c r="W780" s="138">
        <v>37</v>
      </c>
      <c r="Y780" s="136">
        <v>42.31</v>
      </c>
      <c r="Z780" s="139">
        <v>2</v>
      </c>
      <c r="AA780" s="138" t="s">
        <v>883</v>
      </c>
      <c r="AC780" s="136">
        <v>42.55</v>
      </c>
      <c r="AD780" s="139">
        <v>12</v>
      </c>
      <c r="AE780" s="138">
        <v>75</v>
      </c>
      <c r="AG780" s="136">
        <v>42.62</v>
      </c>
      <c r="AH780" s="137">
        <v>4</v>
      </c>
      <c r="AI780" s="138">
        <v>2</v>
      </c>
      <c r="AK780" s="136">
        <v>42.43</v>
      </c>
      <c r="AL780" s="139">
        <v>12</v>
      </c>
      <c r="AM780" s="138">
        <v>75</v>
      </c>
      <c r="AS780" s="136">
        <v>42.37</v>
      </c>
      <c r="AT780" s="139">
        <v>3</v>
      </c>
      <c r="AU780" s="138">
        <v>1</v>
      </c>
      <c r="BA780" s="136">
        <v>43.18</v>
      </c>
      <c r="BB780" s="139">
        <v>2</v>
      </c>
      <c r="BC780" s="138" t="s">
        <v>883</v>
      </c>
    </row>
    <row r="781" spans="5:55" x14ac:dyDescent="0.3">
      <c r="E781" s="152">
        <v>42.67</v>
      </c>
      <c r="F781" s="153">
        <v>19</v>
      </c>
      <c r="G781" s="155" t="s">
        <v>874</v>
      </c>
      <c r="M781" s="136">
        <v>42.39</v>
      </c>
      <c r="N781" s="139">
        <v>4</v>
      </c>
      <c r="O781" s="138">
        <v>2</v>
      </c>
      <c r="U781" s="136">
        <v>42.56</v>
      </c>
      <c r="V781" s="139">
        <v>10</v>
      </c>
      <c r="W781" s="138">
        <v>50</v>
      </c>
      <c r="Y781" s="136">
        <v>42.33</v>
      </c>
      <c r="Z781" s="139">
        <v>3</v>
      </c>
      <c r="AA781" s="138">
        <v>1</v>
      </c>
      <c r="AC781" s="136">
        <v>42.57</v>
      </c>
      <c r="AD781" s="139">
        <v>13</v>
      </c>
      <c r="AE781" s="138">
        <v>85</v>
      </c>
      <c r="AG781" s="136">
        <v>42.65</v>
      </c>
      <c r="AH781" s="137">
        <v>5</v>
      </c>
      <c r="AI781" s="138">
        <v>5</v>
      </c>
      <c r="AK781" s="136">
        <v>42.44</v>
      </c>
      <c r="AL781" s="139">
        <v>13</v>
      </c>
      <c r="AM781" s="138">
        <v>85</v>
      </c>
      <c r="AS781" s="136">
        <v>42.39</v>
      </c>
      <c r="AT781" s="139">
        <v>4</v>
      </c>
      <c r="AU781" s="138">
        <v>2</v>
      </c>
      <c r="BA781" s="136">
        <v>43.2</v>
      </c>
      <c r="BB781" s="139">
        <v>3</v>
      </c>
      <c r="BC781" s="138">
        <v>1</v>
      </c>
    </row>
    <row r="782" spans="5:55" x14ac:dyDescent="0.3">
      <c r="E782" s="152">
        <v>43</v>
      </c>
      <c r="F782" s="153">
        <v>1</v>
      </c>
      <c r="G782" s="155" t="s">
        <v>862</v>
      </c>
      <c r="M782" s="136">
        <v>42.42</v>
      </c>
      <c r="N782" s="139">
        <v>5</v>
      </c>
      <c r="O782" s="138">
        <v>5</v>
      </c>
      <c r="U782" s="136">
        <v>42.59</v>
      </c>
      <c r="V782" s="139">
        <v>11</v>
      </c>
      <c r="W782" s="138">
        <v>63</v>
      </c>
      <c r="Y782" s="136">
        <v>42.34</v>
      </c>
      <c r="Z782" s="139">
        <v>4</v>
      </c>
      <c r="AA782" s="138">
        <v>2</v>
      </c>
      <c r="AC782" s="136">
        <v>42.59</v>
      </c>
      <c r="AD782" s="139">
        <v>14</v>
      </c>
      <c r="AE782" s="138">
        <v>91</v>
      </c>
      <c r="AG782" s="136">
        <v>42.67</v>
      </c>
      <c r="AH782" s="137">
        <v>6</v>
      </c>
      <c r="AI782" s="138">
        <v>9</v>
      </c>
      <c r="AK782" s="136">
        <v>42.45</v>
      </c>
      <c r="AL782" s="139">
        <v>14</v>
      </c>
      <c r="AM782" s="138">
        <v>91</v>
      </c>
      <c r="AS782" s="136">
        <v>42.41</v>
      </c>
      <c r="AT782" s="139">
        <v>5</v>
      </c>
      <c r="AU782" s="138">
        <v>5</v>
      </c>
      <c r="BA782" s="136">
        <v>43.22</v>
      </c>
      <c r="BB782" s="139">
        <v>4</v>
      </c>
      <c r="BC782" s="138">
        <v>2</v>
      </c>
    </row>
    <row r="783" spans="5:55" x14ac:dyDescent="0.3">
      <c r="E783" s="152">
        <v>43.35</v>
      </c>
      <c r="F783" s="153">
        <v>2</v>
      </c>
      <c r="G783" s="155" t="s">
        <v>862</v>
      </c>
      <c r="M783" s="136">
        <v>42.44</v>
      </c>
      <c r="N783" s="139">
        <v>6</v>
      </c>
      <c r="O783" s="138">
        <v>9</v>
      </c>
      <c r="U783" s="136">
        <v>42.61</v>
      </c>
      <c r="V783" s="139">
        <v>12</v>
      </c>
      <c r="W783" s="138">
        <v>75</v>
      </c>
      <c r="Y783" s="136">
        <v>42.36</v>
      </c>
      <c r="Z783" s="139">
        <v>5</v>
      </c>
      <c r="AA783" s="138">
        <v>5</v>
      </c>
      <c r="AC783" s="136">
        <v>42.62</v>
      </c>
      <c r="AD783" s="139">
        <v>15</v>
      </c>
      <c r="AE783" s="138">
        <v>95</v>
      </c>
      <c r="AG783" s="136">
        <v>42.69</v>
      </c>
      <c r="AH783" s="137">
        <v>7</v>
      </c>
      <c r="AI783" s="138">
        <v>16</v>
      </c>
      <c r="AK783" s="136">
        <v>42.47</v>
      </c>
      <c r="AL783" s="139">
        <v>15</v>
      </c>
      <c r="AM783" s="138">
        <v>95</v>
      </c>
      <c r="AS783" s="136">
        <v>42.42</v>
      </c>
      <c r="AT783" s="139">
        <v>6</v>
      </c>
      <c r="AU783" s="138">
        <v>9</v>
      </c>
      <c r="BA783" s="136">
        <v>43.24</v>
      </c>
      <c r="BB783" s="139">
        <v>5</v>
      </c>
      <c r="BC783" s="138">
        <v>5</v>
      </c>
    </row>
    <row r="784" spans="5:55" x14ac:dyDescent="0.3">
      <c r="E784" s="152">
        <v>43.41</v>
      </c>
      <c r="F784" s="153">
        <v>3</v>
      </c>
      <c r="G784" s="155" t="s">
        <v>876</v>
      </c>
      <c r="M784" s="136">
        <v>42.45</v>
      </c>
      <c r="N784" s="139">
        <v>7</v>
      </c>
      <c r="O784" s="138">
        <v>16</v>
      </c>
      <c r="U784" s="136">
        <v>42.63</v>
      </c>
      <c r="V784" s="139">
        <v>13</v>
      </c>
      <c r="W784" s="138">
        <v>85</v>
      </c>
      <c r="Y784" s="136">
        <v>42.37</v>
      </c>
      <c r="Z784" s="139">
        <v>6</v>
      </c>
      <c r="AA784" s="138">
        <v>9</v>
      </c>
      <c r="AC784" s="136">
        <v>42.64</v>
      </c>
      <c r="AD784" s="139">
        <v>16</v>
      </c>
      <c r="AE784" s="138">
        <v>98</v>
      </c>
      <c r="AG784" s="136">
        <v>42.7</v>
      </c>
      <c r="AH784" s="137">
        <v>8</v>
      </c>
      <c r="AI784" s="138">
        <v>25</v>
      </c>
      <c r="AK784" s="136">
        <v>42.49</v>
      </c>
      <c r="AL784" s="139">
        <v>16</v>
      </c>
      <c r="AM784" s="138">
        <v>98</v>
      </c>
      <c r="AS784" s="136">
        <v>42.43</v>
      </c>
      <c r="AT784" s="139">
        <v>7</v>
      </c>
      <c r="AU784" s="138">
        <v>16</v>
      </c>
      <c r="BA784" s="136">
        <v>43.26</v>
      </c>
      <c r="BB784" s="139">
        <v>6</v>
      </c>
      <c r="BC784" s="138">
        <v>9</v>
      </c>
    </row>
    <row r="785" spans="5:55" x14ac:dyDescent="0.3">
      <c r="E785" s="152">
        <v>43.43</v>
      </c>
      <c r="F785" s="153">
        <v>4</v>
      </c>
      <c r="G785" s="155" t="s">
        <v>863</v>
      </c>
      <c r="M785" s="136">
        <v>42.48</v>
      </c>
      <c r="N785" s="139">
        <v>8</v>
      </c>
      <c r="O785" s="138">
        <v>25</v>
      </c>
      <c r="U785" s="136">
        <v>42.65</v>
      </c>
      <c r="V785" s="139">
        <v>14</v>
      </c>
      <c r="W785" s="138">
        <v>91</v>
      </c>
      <c r="Y785" s="136">
        <v>42.39</v>
      </c>
      <c r="Z785" s="139">
        <v>7</v>
      </c>
      <c r="AA785" s="138">
        <v>16</v>
      </c>
      <c r="AC785" s="136">
        <v>42.65</v>
      </c>
      <c r="AD785" s="139">
        <v>17</v>
      </c>
      <c r="AE785" s="138">
        <v>99</v>
      </c>
      <c r="AG785" s="136">
        <v>42.71</v>
      </c>
      <c r="AH785" s="137">
        <v>9</v>
      </c>
      <c r="AI785" s="138">
        <v>37</v>
      </c>
      <c r="AK785" s="136">
        <v>42.5</v>
      </c>
      <c r="AL785" s="139">
        <v>17</v>
      </c>
      <c r="AM785" s="138">
        <v>99</v>
      </c>
      <c r="AS785" s="136">
        <v>42.44</v>
      </c>
      <c r="AT785" s="139">
        <v>8</v>
      </c>
      <c r="AU785" s="138">
        <v>25</v>
      </c>
      <c r="BA785" s="136">
        <v>43.28</v>
      </c>
      <c r="BB785" s="139">
        <v>7</v>
      </c>
      <c r="BC785" s="138">
        <v>16</v>
      </c>
    </row>
    <row r="786" spans="5:55" x14ac:dyDescent="0.3">
      <c r="E786" s="152">
        <v>43.46</v>
      </c>
      <c r="F786" s="153">
        <v>5</v>
      </c>
      <c r="G786" s="155" t="s">
        <v>877</v>
      </c>
      <c r="M786" s="136">
        <v>42.49</v>
      </c>
      <c r="N786" s="139">
        <v>9</v>
      </c>
      <c r="O786" s="138">
        <v>37</v>
      </c>
      <c r="U786" s="136">
        <v>42.68</v>
      </c>
      <c r="V786" s="139">
        <v>15</v>
      </c>
      <c r="W786" s="138">
        <v>95</v>
      </c>
      <c r="Y786" s="136">
        <v>42.4</v>
      </c>
      <c r="Z786" s="139">
        <v>8</v>
      </c>
      <c r="AA786" s="138">
        <v>25</v>
      </c>
      <c r="AC786" s="136">
        <v>42.69</v>
      </c>
      <c r="AD786" s="139">
        <v>18</v>
      </c>
      <c r="AE786" s="138" t="s">
        <v>884</v>
      </c>
      <c r="AG786" s="136">
        <v>42.73</v>
      </c>
      <c r="AH786" s="137">
        <v>10</v>
      </c>
      <c r="AI786" s="138">
        <v>50</v>
      </c>
      <c r="AK786" s="136">
        <v>42.51</v>
      </c>
      <c r="AL786" s="139">
        <v>18</v>
      </c>
      <c r="AM786" s="138" t="s">
        <v>884</v>
      </c>
      <c r="AS786" s="136">
        <v>42.45</v>
      </c>
      <c r="AT786" s="139">
        <v>9</v>
      </c>
      <c r="AU786" s="138">
        <v>37</v>
      </c>
      <c r="BA786" s="136">
        <v>43.3</v>
      </c>
      <c r="BB786" s="139">
        <v>8</v>
      </c>
      <c r="BC786" s="138">
        <v>25</v>
      </c>
    </row>
    <row r="787" spans="5:55" x14ac:dyDescent="0.3">
      <c r="E787" s="152">
        <v>43.48</v>
      </c>
      <c r="F787" s="153">
        <v>6</v>
      </c>
      <c r="G787" s="155" t="s">
        <v>864</v>
      </c>
      <c r="M787" s="136">
        <v>42.51</v>
      </c>
      <c r="N787" s="139">
        <v>10</v>
      </c>
      <c r="O787" s="138">
        <v>50</v>
      </c>
      <c r="U787" s="136">
        <v>42.7</v>
      </c>
      <c r="V787" s="139">
        <v>16</v>
      </c>
      <c r="W787" s="138">
        <v>98</v>
      </c>
      <c r="Y787" s="136">
        <v>42.42</v>
      </c>
      <c r="Z787" s="139">
        <v>9</v>
      </c>
      <c r="AA787" s="138">
        <v>37</v>
      </c>
      <c r="AC787" s="136">
        <v>42.73</v>
      </c>
      <c r="AD787" s="139">
        <v>19</v>
      </c>
      <c r="AE787" s="138" t="s">
        <v>884</v>
      </c>
      <c r="AG787" s="136">
        <v>42.74</v>
      </c>
      <c r="AH787" s="137">
        <v>11</v>
      </c>
      <c r="AI787" s="138">
        <v>63</v>
      </c>
      <c r="AK787" s="136">
        <v>42.53</v>
      </c>
      <c r="AL787" s="139">
        <v>19</v>
      </c>
      <c r="AM787" s="138" t="s">
        <v>884</v>
      </c>
      <c r="AS787" s="136">
        <v>42.46</v>
      </c>
      <c r="AT787" s="139">
        <v>10</v>
      </c>
      <c r="AU787" s="138">
        <v>50</v>
      </c>
      <c r="BA787" s="136">
        <v>43.32</v>
      </c>
      <c r="BB787" s="139">
        <v>9</v>
      </c>
      <c r="BC787" s="138">
        <v>37</v>
      </c>
    </row>
    <row r="788" spans="5:55" x14ac:dyDescent="0.3">
      <c r="E788" s="152">
        <v>43.5</v>
      </c>
      <c r="F788" s="153">
        <v>7</v>
      </c>
      <c r="G788" s="155" t="s">
        <v>878</v>
      </c>
      <c r="M788" s="136">
        <v>42.52</v>
      </c>
      <c r="N788" s="139">
        <v>11</v>
      </c>
      <c r="O788" s="138">
        <v>63</v>
      </c>
      <c r="U788" s="136">
        <v>42.72</v>
      </c>
      <c r="V788" s="139">
        <v>17</v>
      </c>
      <c r="W788" s="138">
        <v>99</v>
      </c>
      <c r="Y788" s="136">
        <v>42.44</v>
      </c>
      <c r="Z788" s="139">
        <v>10</v>
      </c>
      <c r="AA788" s="138">
        <v>50</v>
      </c>
      <c r="AC788" s="136">
        <v>43</v>
      </c>
      <c r="AD788" s="139">
        <v>1</v>
      </c>
      <c r="AE788" s="138" t="s">
        <v>883</v>
      </c>
      <c r="AG788" s="136">
        <v>42.75</v>
      </c>
      <c r="AH788" s="137">
        <v>12</v>
      </c>
      <c r="AI788" s="138">
        <v>75</v>
      </c>
      <c r="AK788" s="136">
        <v>43</v>
      </c>
      <c r="AL788" s="139">
        <v>1</v>
      </c>
      <c r="AM788" s="138" t="s">
        <v>883</v>
      </c>
      <c r="AS788" s="136">
        <v>42.47</v>
      </c>
      <c r="AT788" s="139">
        <v>11</v>
      </c>
      <c r="AU788" s="138">
        <v>63</v>
      </c>
      <c r="BA788" s="136">
        <v>43.34</v>
      </c>
      <c r="BB788" s="139">
        <v>10</v>
      </c>
      <c r="BC788" s="138">
        <v>50</v>
      </c>
    </row>
    <row r="789" spans="5:55" x14ac:dyDescent="0.3">
      <c r="E789" s="152">
        <v>43.52</v>
      </c>
      <c r="F789" s="153">
        <v>8</v>
      </c>
      <c r="G789" s="155" t="s">
        <v>865</v>
      </c>
      <c r="M789" s="136">
        <v>42.53</v>
      </c>
      <c r="N789" s="139">
        <v>12</v>
      </c>
      <c r="O789" s="138">
        <v>75</v>
      </c>
      <c r="U789" s="136">
        <v>42.75</v>
      </c>
      <c r="V789" s="139">
        <v>18</v>
      </c>
      <c r="W789" s="138" t="s">
        <v>884</v>
      </c>
      <c r="Y789" s="136">
        <v>42.46</v>
      </c>
      <c r="Z789" s="139">
        <v>11</v>
      </c>
      <c r="AA789" s="138">
        <v>63</v>
      </c>
      <c r="AC789" s="136">
        <v>43.32</v>
      </c>
      <c r="AD789" s="139">
        <v>2</v>
      </c>
      <c r="AE789" s="138" t="s">
        <v>883</v>
      </c>
      <c r="AG789" s="136">
        <v>42.76</v>
      </c>
      <c r="AH789" s="137">
        <v>13</v>
      </c>
      <c r="AI789" s="138">
        <v>85</v>
      </c>
      <c r="AK789" s="136">
        <v>43.28</v>
      </c>
      <c r="AL789" s="139">
        <v>2</v>
      </c>
      <c r="AM789" s="138" t="s">
        <v>883</v>
      </c>
      <c r="AS789" s="136">
        <v>42.48</v>
      </c>
      <c r="AT789" s="139">
        <v>12</v>
      </c>
      <c r="AU789" s="138">
        <v>75</v>
      </c>
      <c r="BA789" s="136">
        <v>43.36</v>
      </c>
      <c r="BB789" s="139">
        <v>11</v>
      </c>
      <c r="BC789" s="138">
        <v>63</v>
      </c>
    </row>
    <row r="790" spans="5:55" x14ac:dyDescent="0.3">
      <c r="E790" s="152">
        <v>43.54</v>
      </c>
      <c r="F790" s="153">
        <v>9</v>
      </c>
      <c r="G790" s="155" t="s">
        <v>879</v>
      </c>
      <c r="M790" s="136">
        <v>42.54</v>
      </c>
      <c r="N790" s="139">
        <v>13</v>
      </c>
      <c r="O790" s="138">
        <v>85</v>
      </c>
      <c r="U790" s="136">
        <v>42.77</v>
      </c>
      <c r="V790" s="139">
        <v>19</v>
      </c>
      <c r="W790" s="138" t="s">
        <v>884</v>
      </c>
      <c r="Y790" s="136">
        <v>42.47</v>
      </c>
      <c r="Z790" s="139">
        <v>12</v>
      </c>
      <c r="AA790" s="138">
        <v>75</v>
      </c>
      <c r="AC790" s="136">
        <v>43.35</v>
      </c>
      <c r="AD790" s="139">
        <v>3</v>
      </c>
      <c r="AE790" s="138">
        <v>1</v>
      </c>
      <c r="AG790" s="136">
        <v>42.78</v>
      </c>
      <c r="AH790" s="137">
        <v>14</v>
      </c>
      <c r="AI790" s="138">
        <v>91</v>
      </c>
      <c r="AK790" s="136">
        <v>43.3</v>
      </c>
      <c r="AL790" s="139">
        <v>3</v>
      </c>
      <c r="AM790" s="138">
        <v>1</v>
      </c>
      <c r="AS790" s="136">
        <v>42.49</v>
      </c>
      <c r="AT790" s="139">
        <v>13</v>
      </c>
      <c r="AU790" s="138">
        <v>85</v>
      </c>
      <c r="BA790" s="136">
        <v>43.38</v>
      </c>
      <c r="BB790" s="139">
        <v>12</v>
      </c>
      <c r="BC790" s="138">
        <v>75</v>
      </c>
    </row>
    <row r="791" spans="5:55" x14ac:dyDescent="0.3">
      <c r="E791" s="152">
        <v>43.56</v>
      </c>
      <c r="F791" s="153">
        <v>10</v>
      </c>
      <c r="G791" s="155" t="s">
        <v>866</v>
      </c>
      <c r="M791" s="136">
        <v>42.55</v>
      </c>
      <c r="N791" s="139">
        <v>14</v>
      </c>
      <c r="O791" s="138">
        <v>91</v>
      </c>
      <c r="U791" s="136">
        <v>43</v>
      </c>
      <c r="V791" s="139">
        <v>1</v>
      </c>
      <c r="W791" s="138" t="s">
        <v>883</v>
      </c>
      <c r="Y791" s="136">
        <v>42.49</v>
      </c>
      <c r="Z791" s="139">
        <v>13</v>
      </c>
      <c r="AA791" s="138">
        <v>85</v>
      </c>
      <c r="AC791" s="136">
        <v>43.37</v>
      </c>
      <c r="AD791" s="139">
        <v>4</v>
      </c>
      <c r="AE791" s="138">
        <v>2</v>
      </c>
      <c r="AG791" s="136">
        <v>42.79</v>
      </c>
      <c r="AH791" s="137">
        <v>15</v>
      </c>
      <c r="AI791" s="138">
        <v>95</v>
      </c>
      <c r="AK791" s="136">
        <v>43.31</v>
      </c>
      <c r="AL791" s="139">
        <v>4</v>
      </c>
      <c r="AM791" s="138">
        <v>2</v>
      </c>
      <c r="AS791" s="136">
        <v>42.5</v>
      </c>
      <c r="AT791" s="139">
        <v>14</v>
      </c>
      <c r="AU791" s="138">
        <v>91</v>
      </c>
      <c r="BA791" s="136">
        <v>43.4</v>
      </c>
      <c r="BB791" s="139">
        <v>13</v>
      </c>
      <c r="BC791" s="138">
        <v>85</v>
      </c>
    </row>
    <row r="792" spans="5:55" x14ac:dyDescent="0.3">
      <c r="E792" s="152">
        <v>43.58</v>
      </c>
      <c r="F792" s="153">
        <v>11</v>
      </c>
      <c r="G792" s="155" t="s">
        <v>867</v>
      </c>
      <c r="M792" s="136">
        <v>42.56</v>
      </c>
      <c r="N792" s="139">
        <v>15</v>
      </c>
      <c r="O792" s="138">
        <v>95</v>
      </c>
      <c r="U792" s="136">
        <v>43.27</v>
      </c>
      <c r="V792" s="139">
        <v>2</v>
      </c>
      <c r="W792" s="138" t="s">
        <v>883</v>
      </c>
      <c r="Y792" s="136">
        <v>42.51</v>
      </c>
      <c r="Z792" s="139">
        <v>14</v>
      </c>
      <c r="AA792" s="138">
        <v>91</v>
      </c>
      <c r="AC792" s="136">
        <v>43.39</v>
      </c>
      <c r="AD792" s="139">
        <v>5</v>
      </c>
      <c r="AE792" s="138">
        <v>5</v>
      </c>
      <c r="AG792" s="136">
        <v>42.81</v>
      </c>
      <c r="AH792" s="137">
        <v>16</v>
      </c>
      <c r="AI792" s="138">
        <v>98</v>
      </c>
      <c r="AK792" s="136">
        <v>43.33</v>
      </c>
      <c r="AL792" s="139">
        <v>5</v>
      </c>
      <c r="AM792" s="138">
        <v>5</v>
      </c>
      <c r="AS792" s="136">
        <v>42.51</v>
      </c>
      <c r="AT792" s="139">
        <v>15</v>
      </c>
      <c r="AU792" s="138">
        <v>95</v>
      </c>
      <c r="BA792" s="136">
        <v>43.43</v>
      </c>
      <c r="BB792" s="139">
        <v>14</v>
      </c>
      <c r="BC792" s="138">
        <v>91</v>
      </c>
    </row>
    <row r="793" spans="5:55" x14ac:dyDescent="0.3">
      <c r="E793" s="152">
        <v>43.59</v>
      </c>
      <c r="F793" s="153">
        <v>12</v>
      </c>
      <c r="G793" s="155" t="s">
        <v>868</v>
      </c>
      <c r="M793" s="136">
        <v>42.57</v>
      </c>
      <c r="N793" s="139">
        <v>16</v>
      </c>
      <c r="O793" s="138">
        <v>98</v>
      </c>
      <c r="U793" s="136">
        <v>43.37</v>
      </c>
      <c r="V793" s="139">
        <v>3</v>
      </c>
      <c r="W793" s="138">
        <v>1</v>
      </c>
      <c r="Y793" s="136">
        <v>42.52</v>
      </c>
      <c r="Z793" s="139">
        <v>15</v>
      </c>
      <c r="AA793" s="138">
        <v>95</v>
      </c>
      <c r="AC793" s="136">
        <v>43.41</v>
      </c>
      <c r="AD793" s="139">
        <v>6</v>
      </c>
      <c r="AE793" s="138">
        <v>9</v>
      </c>
      <c r="AG793" s="136">
        <v>42.82</v>
      </c>
      <c r="AH793" s="137">
        <v>17</v>
      </c>
      <c r="AI793" s="138">
        <v>99</v>
      </c>
      <c r="AK793" s="136">
        <v>43.34</v>
      </c>
      <c r="AL793" s="139">
        <v>6</v>
      </c>
      <c r="AM793" s="138">
        <v>9</v>
      </c>
      <c r="AS793" s="136">
        <v>42.52</v>
      </c>
      <c r="AT793" s="139">
        <v>16</v>
      </c>
      <c r="AU793" s="138">
        <v>98</v>
      </c>
      <c r="BA793" s="136">
        <v>43.44</v>
      </c>
      <c r="BB793" s="139">
        <v>15</v>
      </c>
      <c r="BC793" s="138">
        <v>95</v>
      </c>
    </row>
    <row r="794" spans="5:55" x14ac:dyDescent="0.3">
      <c r="E794" s="152">
        <v>43.6</v>
      </c>
      <c r="F794" s="153">
        <v>13</v>
      </c>
      <c r="G794" s="155" t="s">
        <v>869</v>
      </c>
      <c r="M794" s="136">
        <v>42.58</v>
      </c>
      <c r="N794" s="139">
        <v>17</v>
      </c>
      <c r="O794" s="138">
        <v>99</v>
      </c>
      <c r="U794" s="136">
        <v>43.4</v>
      </c>
      <c r="V794" s="139">
        <v>4</v>
      </c>
      <c r="W794" s="138">
        <v>2</v>
      </c>
      <c r="Y794" s="136">
        <v>42.54</v>
      </c>
      <c r="Z794" s="139">
        <v>16</v>
      </c>
      <c r="AA794" s="138">
        <v>98</v>
      </c>
      <c r="AC794" s="136">
        <v>43.44</v>
      </c>
      <c r="AD794" s="139">
        <v>7</v>
      </c>
      <c r="AE794" s="138">
        <v>16</v>
      </c>
      <c r="AG794" s="136">
        <v>42.84</v>
      </c>
      <c r="AH794" s="137">
        <v>18</v>
      </c>
      <c r="AI794" s="138" t="s">
        <v>884</v>
      </c>
      <c r="AK794" s="136">
        <v>43.36</v>
      </c>
      <c r="AL794" s="139">
        <v>7</v>
      </c>
      <c r="AM794" s="138">
        <v>16</v>
      </c>
      <c r="AS794" s="136">
        <v>42.53</v>
      </c>
      <c r="AT794" s="139">
        <v>17</v>
      </c>
      <c r="AU794" s="138">
        <v>99</v>
      </c>
      <c r="BA794" s="136">
        <v>43.46</v>
      </c>
      <c r="BB794" s="139">
        <v>16</v>
      </c>
      <c r="BC794" s="138">
        <v>98</v>
      </c>
    </row>
    <row r="795" spans="5:55" x14ac:dyDescent="0.3">
      <c r="E795" s="152">
        <v>43.61</v>
      </c>
      <c r="F795" s="153">
        <v>14</v>
      </c>
      <c r="G795" s="155" t="s">
        <v>870</v>
      </c>
      <c r="M795" s="136">
        <v>42.59</v>
      </c>
      <c r="N795" s="139">
        <v>18</v>
      </c>
      <c r="O795" s="138" t="s">
        <v>884</v>
      </c>
      <c r="U795" s="136">
        <v>43.43</v>
      </c>
      <c r="V795" s="139">
        <v>5</v>
      </c>
      <c r="W795" s="138">
        <v>5</v>
      </c>
      <c r="Y795" s="136">
        <v>42.56</v>
      </c>
      <c r="Z795" s="139">
        <v>17</v>
      </c>
      <c r="AA795" s="138">
        <v>99</v>
      </c>
      <c r="AC795" s="136">
        <v>43.46</v>
      </c>
      <c r="AD795" s="139">
        <v>8</v>
      </c>
      <c r="AE795" s="138">
        <v>25</v>
      </c>
      <c r="AG795" s="136">
        <v>42.85</v>
      </c>
      <c r="AH795" s="137">
        <v>19</v>
      </c>
      <c r="AI795" s="138" t="s">
        <v>884</v>
      </c>
      <c r="AK795" s="136">
        <v>43.37</v>
      </c>
      <c r="AL795" s="139">
        <v>8</v>
      </c>
      <c r="AM795" s="138">
        <v>25</v>
      </c>
      <c r="AS795" s="136">
        <v>42.55</v>
      </c>
      <c r="AT795" s="139">
        <v>18</v>
      </c>
      <c r="AU795" s="138" t="s">
        <v>884</v>
      </c>
      <c r="BA795" s="136">
        <v>43.49</v>
      </c>
      <c r="BB795" s="139">
        <v>17</v>
      </c>
      <c r="BC795" s="138">
        <v>99</v>
      </c>
    </row>
    <row r="796" spans="5:55" x14ac:dyDescent="0.3">
      <c r="E796" s="152">
        <v>43.62</v>
      </c>
      <c r="F796" s="153">
        <v>15</v>
      </c>
      <c r="G796" s="155" t="s">
        <v>871</v>
      </c>
      <c r="M796" s="136">
        <v>42.6</v>
      </c>
      <c r="N796" s="139">
        <v>19</v>
      </c>
      <c r="O796" s="138" t="s">
        <v>884</v>
      </c>
      <c r="U796" s="136">
        <v>43.46</v>
      </c>
      <c r="V796" s="139">
        <v>6</v>
      </c>
      <c r="W796" s="138">
        <v>9</v>
      </c>
      <c r="Y796" s="136">
        <v>42.57</v>
      </c>
      <c r="Z796" s="139">
        <v>18</v>
      </c>
      <c r="AA796" s="138" t="s">
        <v>884</v>
      </c>
      <c r="AC796" s="136">
        <v>43.48</v>
      </c>
      <c r="AD796" s="139">
        <v>9</v>
      </c>
      <c r="AE796" s="138">
        <v>37</v>
      </c>
      <c r="AG796" s="136">
        <v>43</v>
      </c>
      <c r="AH796" s="137">
        <v>1</v>
      </c>
      <c r="AI796" s="138" t="s">
        <v>883</v>
      </c>
      <c r="AK796" s="136">
        <v>43.39</v>
      </c>
      <c r="AL796" s="139">
        <v>9</v>
      </c>
      <c r="AM796" s="138">
        <v>37</v>
      </c>
      <c r="AS796" s="136">
        <v>42.56</v>
      </c>
      <c r="AT796" s="139">
        <v>19</v>
      </c>
      <c r="AU796" s="138" t="s">
        <v>884</v>
      </c>
      <c r="BA796" s="136">
        <v>43.51</v>
      </c>
      <c r="BB796" s="139">
        <v>18</v>
      </c>
      <c r="BC796" s="138" t="s">
        <v>884</v>
      </c>
    </row>
    <row r="797" spans="5:55" x14ac:dyDescent="0.3">
      <c r="E797" s="152">
        <v>43.63</v>
      </c>
      <c r="F797" s="153">
        <v>16</v>
      </c>
      <c r="G797" s="155" t="s">
        <v>872</v>
      </c>
      <c r="M797" s="136">
        <v>43</v>
      </c>
      <c r="N797" s="139">
        <v>1</v>
      </c>
      <c r="O797" s="138" t="s">
        <v>883</v>
      </c>
      <c r="U797" s="136">
        <v>43.49</v>
      </c>
      <c r="V797" s="139">
        <v>7</v>
      </c>
      <c r="W797" s="138">
        <v>16</v>
      </c>
      <c r="Y797" s="136">
        <v>42.61</v>
      </c>
      <c r="Z797" s="139">
        <v>19</v>
      </c>
      <c r="AA797" s="138" t="s">
        <v>884</v>
      </c>
      <c r="AC797" s="136">
        <v>43.5</v>
      </c>
      <c r="AD797" s="139">
        <v>10</v>
      </c>
      <c r="AE797" s="138">
        <v>50</v>
      </c>
      <c r="AG797" s="136">
        <v>43.53</v>
      </c>
      <c r="AH797" s="137">
        <v>2</v>
      </c>
      <c r="AI797" s="138" t="s">
        <v>883</v>
      </c>
      <c r="AK797" s="136">
        <v>43.41</v>
      </c>
      <c r="AL797" s="139">
        <v>10</v>
      </c>
      <c r="AM797" s="138">
        <v>50</v>
      </c>
      <c r="AS797" s="136">
        <v>43</v>
      </c>
      <c r="AT797" s="139">
        <v>1</v>
      </c>
      <c r="AU797" s="138" t="s">
        <v>883</v>
      </c>
      <c r="BA797" s="136">
        <v>43.55</v>
      </c>
      <c r="BB797" s="139">
        <v>19</v>
      </c>
      <c r="BC797" s="138" t="s">
        <v>884</v>
      </c>
    </row>
    <row r="798" spans="5:55" x14ac:dyDescent="0.3">
      <c r="E798" s="152">
        <v>43.64</v>
      </c>
      <c r="F798" s="153">
        <v>17</v>
      </c>
      <c r="G798" s="155" t="s">
        <v>873</v>
      </c>
      <c r="M798" s="136">
        <v>43.3</v>
      </c>
      <c r="N798" s="139">
        <v>2</v>
      </c>
      <c r="O798" s="138" t="s">
        <v>883</v>
      </c>
      <c r="U798" s="136">
        <v>43.51</v>
      </c>
      <c r="V798" s="139">
        <v>8</v>
      </c>
      <c r="W798" s="138">
        <v>25</v>
      </c>
      <c r="Y798" s="136">
        <v>43</v>
      </c>
      <c r="Z798" s="139">
        <v>1</v>
      </c>
      <c r="AA798" s="138" t="s">
        <v>883</v>
      </c>
      <c r="AC798" s="136">
        <v>43.53</v>
      </c>
      <c r="AD798" s="139">
        <v>11</v>
      </c>
      <c r="AE798" s="138">
        <v>63</v>
      </c>
      <c r="AG798" s="136">
        <v>43.6</v>
      </c>
      <c r="AH798" s="137">
        <v>3</v>
      </c>
      <c r="AI798" s="138">
        <v>1</v>
      </c>
      <c r="AK798" s="136">
        <v>43.42</v>
      </c>
      <c r="AL798" s="139">
        <v>11</v>
      </c>
      <c r="AM798" s="138">
        <v>63</v>
      </c>
      <c r="AS798" s="136">
        <v>43.34</v>
      </c>
      <c r="AT798" s="139">
        <v>2</v>
      </c>
      <c r="AU798" s="138" t="s">
        <v>883</v>
      </c>
      <c r="BA798" s="136">
        <v>44</v>
      </c>
      <c r="BB798" s="139">
        <v>1</v>
      </c>
      <c r="BC798" s="138" t="s">
        <v>883</v>
      </c>
    </row>
    <row r="799" spans="5:55" x14ac:dyDescent="0.3">
      <c r="E799" s="152">
        <v>43.65</v>
      </c>
      <c r="F799" s="153">
        <v>18</v>
      </c>
      <c r="G799" s="155" t="s">
        <v>874</v>
      </c>
      <c r="M799" s="136">
        <v>43.36</v>
      </c>
      <c r="N799" s="139">
        <v>3</v>
      </c>
      <c r="O799" s="138">
        <v>1</v>
      </c>
      <c r="U799" s="136">
        <v>43.54</v>
      </c>
      <c r="V799" s="139">
        <v>9</v>
      </c>
      <c r="W799" s="138">
        <v>37</v>
      </c>
      <c r="Y799" s="136">
        <v>43.31</v>
      </c>
      <c r="Z799" s="139">
        <v>2</v>
      </c>
      <c r="AA799" s="138" t="s">
        <v>883</v>
      </c>
      <c r="AC799" s="136">
        <v>43.55</v>
      </c>
      <c r="AD799" s="139">
        <v>12</v>
      </c>
      <c r="AE799" s="138">
        <v>75</v>
      </c>
      <c r="AG799" s="136">
        <v>43.62</v>
      </c>
      <c r="AH799" s="137">
        <v>4</v>
      </c>
      <c r="AI799" s="138">
        <v>2</v>
      </c>
      <c r="AK799" s="136">
        <v>43.43</v>
      </c>
      <c r="AL799" s="139">
        <v>12</v>
      </c>
      <c r="AM799" s="138">
        <v>75</v>
      </c>
      <c r="AS799" s="136">
        <v>43.37</v>
      </c>
      <c r="AT799" s="139">
        <v>3</v>
      </c>
      <c r="AU799" s="138">
        <v>1</v>
      </c>
      <c r="BA799" s="136">
        <v>44.18</v>
      </c>
      <c r="BB799" s="139">
        <v>2</v>
      </c>
      <c r="BC799" s="138" t="s">
        <v>883</v>
      </c>
    </row>
    <row r="800" spans="5:55" x14ac:dyDescent="0.3">
      <c r="E800" s="152">
        <v>43.67</v>
      </c>
      <c r="F800" s="153">
        <v>19</v>
      </c>
      <c r="G800" s="155" t="s">
        <v>874</v>
      </c>
      <c r="M800" s="136">
        <v>43.39</v>
      </c>
      <c r="N800" s="139">
        <v>4</v>
      </c>
      <c r="O800" s="138">
        <v>2</v>
      </c>
      <c r="U800" s="136">
        <v>43.58</v>
      </c>
      <c r="V800" s="139">
        <v>10</v>
      </c>
      <c r="W800" s="138">
        <v>50</v>
      </c>
      <c r="Y800" s="136">
        <v>43.33</v>
      </c>
      <c r="Z800" s="139">
        <v>3</v>
      </c>
      <c r="AA800" s="138">
        <v>1</v>
      </c>
      <c r="AC800" s="136">
        <v>43.57</v>
      </c>
      <c r="AD800" s="139">
        <v>13</v>
      </c>
      <c r="AE800" s="138">
        <v>85</v>
      </c>
      <c r="AG800" s="136">
        <v>43.65</v>
      </c>
      <c r="AH800" s="137">
        <v>5</v>
      </c>
      <c r="AI800" s="138">
        <v>5</v>
      </c>
      <c r="AK800" s="136">
        <v>43.44</v>
      </c>
      <c r="AL800" s="139">
        <v>13</v>
      </c>
      <c r="AM800" s="138">
        <v>85</v>
      </c>
      <c r="AS800" s="136">
        <v>43.39</v>
      </c>
      <c r="AT800" s="139">
        <v>4</v>
      </c>
      <c r="AU800" s="138">
        <v>2</v>
      </c>
      <c r="BA800" s="136">
        <v>44.2</v>
      </c>
      <c r="BB800" s="139">
        <v>3</v>
      </c>
      <c r="BC800" s="138">
        <v>1</v>
      </c>
    </row>
    <row r="801" spans="5:55" x14ac:dyDescent="0.3">
      <c r="E801" s="152">
        <v>44</v>
      </c>
      <c r="F801" s="153">
        <v>1</v>
      </c>
      <c r="G801" s="155" t="s">
        <v>862</v>
      </c>
      <c r="M801" s="136">
        <v>43.42</v>
      </c>
      <c r="N801" s="139">
        <v>5</v>
      </c>
      <c r="O801" s="138">
        <v>5</v>
      </c>
      <c r="U801" s="136">
        <v>43.59</v>
      </c>
      <c r="V801" s="139">
        <v>11</v>
      </c>
      <c r="W801" s="138">
        <v>63</v>
      </c>
      <c r="Y801" s="136">
        <v>43.34</v>
      </c>
      <c r="Z801" s="139">
        <v>4</v>
      </c>
      <c r="AA801" s="138">
        <v>2</v>
      </c>
      <c r="AC801" s="136">
        <v>43.59</v>
      </c>
      <c r="AD801" s="139">
        <v>14</v>
      </c>
      <c r="AE801" s="138">
        <v>91</v>
      </c>
      <c r="AG801" s="136">
        <v>43.67</v>
      </c>
      <c r="AH801" s="137">
        <v>6</v>
      </c>
      <c r="AI801" s="138">
        <v>9</v>
      </c>
      <c r="AK801" s="136">
        <v>43.45</v>
      </c>
      <c r="AL801" s="139">
        <v>14</v>
      </c>
      <c r="AM801" s="138">
        <v>91</v>
      </c>
      <c r="AS801" s="136">
        <v>43.41</v>
      </c>
      <c r="AT801" s="139">
        <v>5</v>
      </c>
      <c r="AU801" s="138">
        <v>5</v>
      </c>
      <c r="BA801" s="136">
        <v>44.22</v>
      </c>
      <c r="BB801" s="139">
        <v>4</v>
      </c>
      <c r="BC801" s="138">
        <v>2</v>
      </c>
    </row>
    <row r="802" spans="5:55" x14ac:dyDescent="0.3">
      <c r="E802" s="152">
        <v>44.35</v>
      </c>
      <c r="F802" s="153">
        <v>2</v>
      </c>
      <c r="G802" s="155" t="s">
        <v>862</v>
      </c>
      <c r="M802" s="136">
        <v>43.44</v>
      </c>
      <c r="N802" s="139">
        <v>6</v>
      </c>
      <c r="O802" s="138">
        <v>9</v>
      </c>
      <c r="U802" s="136">
        <v>43.61</v>
      </c>
      <c r="V802" s="139">
        <v>12</v>
      </c>
      <c r="W802" s="138">
        <v>75</v>
      </c>
      <c r="Y802" s="136">
        <v>43.36</v>
      </c>
      <c r="Z802" s="139">
        <v>5</v>
      </c>
      <c r="AA802" s="138">
        <v>5</v>
      </c>
      <c r="AC802" s="136">
        <v>43.62</v>
      </c>
      <c r="AD802" s="139">
        <v>15</v>
      </c>
      <c r="AE802" s="138">
        <v>95</v>
      </c>
      <c r="AG802" s="136">
        <v>43.69</v>
      </c>
      <c r="AH802" s="137">
        <v>7</v>
      </c>
      <c r="AI802" s="138">
        <v>16</v>
      </c>
      <c r="AK802" s="136">
        <v>43.47</v>
      </c>
      <c r="AL802" s="139">
        <v>15</v>
      </c>
      <c r="AM802" s="138">
        <v>95</v>
      </c>
      <c r="AS802" s="136">
        <v>43.42</v>
      </c>
      <c r="AT802" s="139">
        <v>6</v>
      </c>
      <c r="AU802" s="138">
        <v>9</v>
      </c>
      <c r="BA802" s="136">
        <v>44.24</v>
      </c>
      <c r="BB802" s="139">
        <v>5</v>
      </c>
      <c r="BC802" s="138">
        <v>5</v>
      </c>
    </row>
    <row r="803" spans="5:55" x14ac:dyDescent="0.3">
      <c r="E803" s="152">
        <v>44.41</v>
      </c>
      <c r="F803" s="153">
        <v>3</v>
      </c>
      <c r="G803" s="155" t="s">
        <v>876</v>
      </c>
      <c r="M803" s="136">
        <v>43.45</v>
      </c>
      <c r="N803" s="139">
        <v>7</v>
      </c>
      <c r="O803" s="138">
        <v>16</v>
      </c>
      <c r="U803" s="136">
        <v>43.63</v>
      </c>
      <c r="V803" s="139">
        <v>13</v>
      </c>
      <c r="W803" s="138">
        <v>85</v>
      </c>
      <c r="Y803" s="136">
        <v>43.37</v>
      </c>
      <c r="Z803" s="139">
        <v>6</v>
      </c>
      <c r="AA803" s="138">
        <v>9</v>
      </c>
      <c r="AC803" s="136">
        <v>43.64</v>
      </c>
      <c r="AD803" s="139">
        <v>16</v>
      </c>
      <c r="AE803" s="138">
        <v>98</v>
      </c>
      <c r="AG803" s="136">
        <v>43.7</v>
      </c>
      <c r="AH803" s="137">
        <v>8</v>
      </c>
      <c r="AI803" s="138">
        <v>25</v>
      </c>
      <c r="AK803" s="136">
        <v>43.49</v>
      </c>
      <c r="AL803" s="139">
        <v>16</v>
      </c>
      <c r="AM803" s="138">
        <v>98</v>
      </c>
      <c r="AS803" s="136">
        <v>43.43</v>
      </c>
      <c r="AT803" s="139">
        <v>7</v>
      </c>
      <c r="AU803" s="138">
        <v>16</v>
      </c>
      <c r="BA803" s="136">
        <v>44.26</v>
      </c>
      <c r="BB803" s="139">
        <v>6</v>
      </c>
      <c r="BC803" s="138">
        <v>9</v>
      </c>
    </row>
    <row r="804" spans="5:55" x14ac:dyDescent="0.3">
      <c r="E804" s="152">
        <v>44.43</v>
      </c>
      <c r="F804" s="153">
        <v>4</v>
      </c>
      <c r="G804" s="155" t="s">
        <v>863</v>
      </c>
      <c r="M804" s="136">
        <v>43.48</v>
      </c>
      <c r="N804" s="139">
        <v>8</v>
      </c>
      <c r="O804" s="138">
        <v>25</v>
      </c>
      <c r="U804" s="136">
        <v>43.65</v>
      </c>
      <c r="V804" s="139">
        <v>14</v>
      </c>
      <c r="W804" s="138">
        <v>91</v>
      </c>
      <c r="Y804" s="136">
        <v>43.39</v>
      </c>
      <c r="Z804" s="139">
        <v>7</v>
      </c>
      <c r="AA804" s="138">
        <v>16</v>
      </c>
      <c r="AC804" s="136">
        <v>43.66</v>
      </c>
      <c r="AD804" s="139">
        <v>17</v>
      </c>
      <c r="AE804" s="138">
        <v>99</v>
      </c>
      <c r="AG804" s="136">
        <v>43.71</v>
      </c>
      <c r="AH804" s="137">
        <v>9</v>
      </c>
      <c r="AI804" s="138">
        <v>37</v>
      </c>
      <c r="AK804" s="136">
        <v>43.5</v>
      </c>
      <c r="AL804" s="139">
        <v>17</v>
      </c>
      <c r="AM804" s="138">
        <v>99</v>
      </c>
      <c r="AS804" s="136">
        <v>43.44</v>
      </c>
      <c r="AT804" s="139">
        <v>8</v>
      </c>
      <c r="AU804" s="138">
        <v>25</v>
      </c>
      <c r="BA804" s="136">
        <v>44.28</v>
      </c>
      <c r="BB804" s="139">
        <v>7</v>
      </c>
      <c r="BC804" s="138">
        <v>16</v>
      </c>
    </row>
    <row r="805" spans="5:55" x14ac:dyDescent="0.3">
      <c r="E805" s="152">
        <v>44.46</v>
      </c>
      <c r="F805" s="153">
        <v>5</v>
      </c>
      <c r="G805" s="155" t="s">
        <v>877</v>
      </c>
      <c r="M805" s="136">
        <v>43.49</v>
      </c>
      <c r="N805" s="139">
        <v>9</v>
      </c>
      <c r="O805" s="138">
        <v>37</v>
      </c>
      <c r="U805" s="136">
        <v>43.68</v>
      </c>
      <c r="V805" s="139">
        <v>15</v>
      </c>
      <c r="W805" s="138">
        <v>95</v>
      </c>
      <c r="Y805" s="136">
        <v>43.4</v>
      </c>
      <c r="Z805" s="139">
        <v>8</v>
      </c>
      <c r="AA805" s="138">
        <v>25</v>
      </c>
      <c r="AC805" s="136">
        <v>43.69</v>
      </c>
      <c r="AD805" s="139">
        <v>18</v>
      </c>
      <c r="AE805" s="138" t="s">
        <v>884</v>
      </c>
      <c r="AG805" s="136">
        <v>43.73</v>
      </c>
      <c r="AH805" s="137">
        <v>10</v>
      </c>
      <c r="AI805" s="138">
        <v>50</v>
      </c>
      <c r="AK805" s="136">
        <v>43.51</v>
      </c>
      <c r="AL805" s="139">
        <v>18</v>
      </c>
      <c r="AM805" s="138" t="s">
        <v>884</v>
      </c>
      <c r="AS805" s="136">
        <v>43.45</v>
      </c>
      <c r="AT805" s="139">
        <v>9</v>
      </c>
      <c r="AU805" s="138">
        <v>37</v>
      </c>
      <c r="BA805" s="136">
        <v>44.3</v>
      </c>
      <c r="BB805" s="139">
        <v>8</v>
      </c>
      <c r="BC805" s="138">
        <v>25</v>
      </c>
    </row>
    <row r="806" spans="5:55" x14ac:dyDescent="0.3">
      <c r="E806" s="152">
        <v>44.48</v>
      </c>
      <c r="F806" s="153">
        <v>6</v>
      </c>
      <c r="G806" s="155" t="s">
        <v>864</v>
      </c>
      <c r="M806" s="136">
        <v>43.51</v>
      </c>
      <c r="N806" s="139">
        <v>10</v>
      </c>
      <c r="O806" s="138">
        <v>50</v>
      </c>
      <c r="U806" s="136">
        <v>43.7</v>
      </c>
      <c r="V806" s="139">
        <v>16</v>
      </c>
      <c r="W806" s="138">
        <v>98</v>
      </c>
      <c r="Y806" s="136">
        <v>43.42</v>
      </c>
      <c r="Z806" s="139">
        <v>9</v>
      </c>
      <c r="AA806" s="138">
        <v>37</v>
      </c>
      <c r="AC806" s="136">
        <v>43.73</v>
      </c>
      <c r="AD806" s="139">
        <v>19</v>
      </c>
      <c r="AE806" s="138" t="s">
        <v>884</v>
      </c>
      <c r="AG806" s="136">
        <v>43.74</v>
      </c>
      <c r="AH806" s="137">
        <v>11</v>
      </c>
      <c r="AI806" s="138">
        <v>63</v>
      </c>
      <c r="AK806" s="136">
        <v>43.53</v>
      </c>
      <c r="AL806" s="139">
        <v>19</v>
      </c>
      <c r="AM806" s="138" t="s">
        <v>884</v>
      </c>
      <c r="AS806" s="136">
        <v>43.46</v>
      </c>
      <c r="AT806" s="139">
        <v>10</v>
      </c>
      <c r="AU806" s="138">
        <v>50</v>
      </c>
      <c r="BA806" s="136">
        <v>44.32</v>
      </c>
      <c r="BB806" s="139">
        <v>9</v>
      </c>
      <c r="BC806" s="138">
        <v>37</v>
      </c>
    </row>
    <row r="807" spans="5:55" x14ac:dyDescent="0.3">
      <c r="E807" s="152">
        <v>44.5</v>
      </c>
      <c r="F807" s="153">
        <v>7</v>
      </c>
      <c r="G807" s="155" t="s">
        <v>878</v>
      </c>
      <c r="M807" s="136">
        <v>43.52</v>
      </c>
      <c r="N807" s="139">
        <v>11</v>
      </c>
      <c r="O807" s="138">
        <v>63</v>
      </c>
      <c r="U807" s="136">
        <v>43.72</v>
      </c>
      <c r="V807" s="139">
        <v>17</v>
      </c>
      <c r="W807" s="138">
        <v>99</v>
      </c>
      <c r="Y807" s="136">
        <v>43.44</v>
      </c>
      <c r="Z807" s="139">
        <v>10</v>
      </c>
      <c r="AA807" s="138">
        <v>50</v>
      </c>
      <c r="AC807" s="136">
        <v>44</v>
      </c>
      <c r="AD807" s="139">
        <v>1</v>
      </c>
      <c r="AE807" s="138" t="s">
        <v>883</v>
      </c>
      <c r="AG807" s="136">
        <v>43.75</v>
      </c>
      <c r="AH807" s="137">
        <v>12</v>
      </c>
      <c r="AI807" s="138">
        <v>75</v>
      </c>
      <c r="AK807" s="136">
        <v>44</v>
      </c>
      <c r="AL807" s="139">
        <v>1</v>
      </c>
      <c r="AM807" s="138" t="s">
        <v>883</v>
      </c>
      <c r="AS807" s="136">
        <v>43.47</v>
      </c>
      <c r="AT807" s="139">
        <v>11</v>
      </c>
      <c r="AU807" s="138">
        <v>63</v>
      </c>
      <c r="BA807" s="136">
        <v>44.34</v>
      </c>
      <c r="BB807" s="139">
        <v>10</v>
      </c>
      <c r="BC807" s="138">
        <v>50</v>
      </c>
    </row>
    <row r="808" spans="5:55" x14ac:dyDescent="0.3">
      <c r="E808" s="152">
        <v>44.52</v>
      </c>
      <c r="F808" s="153">
        <v>8</v>
      </c>
      <c r="G808" s="155" t="s">
        <v>865</v>
      </c>
      <c r="M808" s="136">
        <v>43.53</v>
      </c>
      <c r="N808" s="139">
        <v>12</v>
      </c>
      <c r="O808" s="138">
        <v>75</v>
      </c>
      <c r="U808" s="136">
        <v>43.75</v>
      </c>
      <c r="V808" s="139">
        <v>18</v>
      </c>
      <c r="W808" s="138" t="s">
        <v>884</v>
      </c>
      <c r="Y808" s="136">
        <v>43.46</v>
      </c>
      <c r="Z808" s="139">
        <v>11</v>
      </c>
      <c r="AA808" s="138">
        <v>63</v>
      </c>
      <c r="AC808" s="136">
        <v>44.32</v>
      </c>
      <c r="AD808" s="139">
        <v>2</v>
      </c>
      <c r="AE808" s="138" t="s">
        <v>883</v>
      </c>
      <c r="AG808" s="136">
        <v>43.76</v>
      </c>
      <c r="AH808" s="137">
        <v>13</v>
      </c>
      <c r="AI808" s="138">
        <v>85</v>
      </c>
      <c r="AK808" s="136">
        <v>44.28</v>
      </c>
      <c r="AL808" s="139">
        <v>2</v>
      </c>
      <c r="AM808" s="138" t="s">
        <v>883</v>
      </c>
      <c r="AS808" s="136">
        <v>43.48</v>
      </c>
      <c r="AT808" s="139">
        <v>12</v>
      </c>
      <c r="AU808" s="138">
        <v>75</v>
      </c>
      <c r="BA808" s="136">
        <v>44.36</v>
      </c>
      <c r="BB808" s="139">
        <v>11</v>
      </c>
      <c r="BC808" s="138">
        <v>63</v>
      </c>
    </row>
    <row r="809" spans="5:55" x14ac:dyDescent="0.3">
      <c r="E809" s="152">
        <v>44.54</v>
      </c>
      <c r="F809" s="153">
        <v>9</v>
      </c>
      <c r="G809" s="155" t="s">
        <v>879</v>
      </c>
      <c r="M809" s="136">
        <v>43.54</v>
      </c>
      <c r="N809" s="139">
        <v>13</v>
      </c>
      <c r="O809" s="138">
        <v>85</v>
      </c>
      <c r="U809" s="136">
        <v>43.77</v>
      </c>
      <c r="V809" s="139">
        <v>19</v>
      </c>
      <c r="W809" s="138" t="s">
        <v>884</v>
      </c>
      <c r="Y809" s="136">
        <v>43.47</v>
      </c>
      <c r="Z809" s="139">
        <v>12</v>
      </c>
      <c r="AA809" s="138">
        <v>75</v>
      </c>
      <c r="AC809" s="136">
        <v>44.35</v>
      </c>
      <c r="AD809" s="139">
        <v>3</v>
      </c>
      <c r="AE809" s="138">
        <v>1</v>
      </c>
      <c r="AG809" s="136">
        <v>43.78</v>
      </c>
      <c r="AH809" s="137">
        <v>14</v>
      </c>
      <c r="AI809" s="138">
        <v>91</v>
      </c>
      <c r="AK809" s="136">
        <v>44.3</v>
      </c>
      <c r="AL809" s="139">
        <v>3</v>
      </c>
      <c r="AM809" s="138">
        <v>1</v>
      </c>
      <c r="AS809" s="136">
        <v>43.49</v>
      </c>
      <c r="AT809" s="139">
        <v>13</v>
      </c>
      <c r="AU809" s="138">
        <v>85</v>
      </c>
      <c r="BA809" s="136">
        <v>44.38</v>
      </c>
      <c r="BB809" s="139">
        <v>12</v>
      </c>
      <c r="BC809" s="138">
        <v>75</v>
      </c>
    </row>
    <row r="810" spans="5:55" x14ac:dyDescent="0.3">
      <c r="E810" s="152">
        <v>44.56</v>
      </c>
      <c r="F810" s="153">
        <v>10</v>
      </c>
      <c r="G810" s="155" t="s">
        <v>866</v>
      </c>
      <c r="M810" s="136">
        <v>43.55</v>
      </c>
      <c r="N810" s="139">
        <v>14</v>
      </c>
      <c r="O810" s="138">
        <v>91</v>
      </c>
      <c r="U810" s="136">
        <v>44</v>
      </c>
      <c r="V810" s="139">
        <v>1</v>
      </c>
      <c r="W810" s="138" t="s">
        <v>883</v>
      </c>
      <c r="Y810" s="136">
        <v>43.49</v>
      </c>
      <c r="Z810" s="139">
        <v>13</v>
      </c>
      <c r="AA810" s="138">
        <v>85</v>
      </c>
      <c r="AC810" s="136">
        <v>44.37</v>
      </c>
      <c r="AD810" s="139">
        <v>4</v>
      </c>
      <c r="AE810" s="138">
        <v>2</v>
      </c>
      <c r="AG810" s="136">
        <v>43.79</v>
      </c>
      <c r="AH810" s="137">
        <v>15</v>
      </c>
      <c r="AI810" s="138">
        <v>95</v>
      </c>
      <c r="AK810" s="136">
        <v>44.31</v>
      </c>
      <c r="AL810" s="139">
        <v>4</v>
      </c>
      <c r="AM810" s="138">
        <v>2</v>
      </c>
      <c r="AS810" s="136">
        <v>43.5</v>
      </c>
      <c r="AT810" s="139">
        <v>14</v>
      </c>
      <c r="AU810" s="138">
        <v>91</v>
      </c>
      <c r="BA810" s="136">
        <v>44.4</v>
      </c>
      <c r="BB810" s="139">
        <v>13</v>
      </c>
      <c r="BC810" s="138">
        <v>85</v>
      </c>
    </row>
    <row r="811" spans="5:55" x14ac:dyDescent="0.3">
      <c r="E811" s="152">
        <v>44.58</v>
      </c>
      <c r="F811" s="153">
        <v>11</v>
      </c>
      <c r="G811" s="155" t="s">
        <v>867</v>
      </c>
      <c r="M811" s="136">
        <v>43.56</v>
      </c>
      <c r="N811" s="139">
        <v>15</v>
      </c>
      <c r="O811" s="138">
        <v>95</v>
      </c>
      <c r="U811" s="136">
        <v>44.27</v>
      </c>
      <c r="V811" s="139">
        <v>2</v>
      </c>
      <c r="W811" s="138" t="s">
        <v>883</v>
      </c>
      <c r="Y811" s="136">
        <v>43.51</v>
      </c>
      <c r="Z811" s="139">
        <v>14</v>
      </c>
      <c r="AA811" s="138">
        <v>91</v>
      </c>
      <c r="AC811" s="136">
        <v>44.39</v>
      </c>
      <c r="AD811" s="139">
        <v>5</v>
      </c>
      <c r="AE811" s="138">
        <v>5</v>
      </c>
      <c r="AG811" s="136">
        <v>43.81</v>
      </c>
      <c r="AH811" s="137">
        <v>16</v>
      </c>
      <c r="AI811" s="138">
        <v>98</v>
      </c>
      <c r="AK811" s="136">
        <v>44.33</v>
      </c>
      <c r="AL811" s="139">
        <v>5</v>
      </c>
      <c r="AM811" s="138">
        <v>5</v>
      </c>
      <c r="AS811" s="136">
        <v>43.51</v>
      </c>
      <c r="AT811" s="139">
        <v>15</v>
      </c>
      <c r="AU811" s="138">
        <v>95</v>
      </c>
      <c r="BA811" s="136">
        <v>44.43</v>
      </c>
      <c r="BB811" s="139">
        <v>14</v>
      </c>
      <c r="BC811" s="138">
        <v>91</v>
      </c>
    </row>
    <row r="812" spans="5:55" x14ac:dyDescent="0.3">
      <c r="E812" s="152">
        <v>44.59</v>
      </c>
      <c r="F812" s="153">
        <v>12</v>
      </c>
      <c r="G812" s="155" t="s">
        <v>868</v>
      </c>
      <c r="M812" s="136">
        <v>43.57</v>
      </c>
      <c r="N812" s="139">
        <v>16</v>
      </c>
      <c r="O812" s="138">
        <v>98</v>
      </c>
      <c r="U812" s="136">
        <v>44.37</v>
      </c>
      <c r="V812" s="139">
        <v>3</v>
      </c>
      <c r="W812" s="138">
        <v>1</v>
      </c>
      <c r="Y812" s="136">
        <v>43.52</v>
      </c>
      <c r="Z812" s="139">
        <v>15</v>
      </c>
      <c r="AA812" s="138">
        <v>95</v>
      </c>
      <c r="AC812" s="136">
        <v>44.41</v>
      </c>
      <c r="AD812" s="139">
        <v>6</v>
      </c>
      <c r="AE812" s="138">
        <v>9</v>
      </c>
      <c r="AG812" s="136">
        <v>43.82</v>
      </c>
      <c r="AH812" s="137">
        <v>17</v>
      </c>
      <c r="AI812" s="138">
        <v>99</v>
      </c>
      <c r="AK812" s="136">
        <v>44.34</v>
      </c>
      <c r="AL812" s="139">
        <v>6</v>
      </c>
      <c r="AM812" s="138">
        <v>9</v>
      </c>
      <c r="AS812" s="136">
        <v>43.52</v>
      </c>
      <c r="AT812" s="139">
        <v>16</v>
      </c>
      <c r="AU812" s="138">
        <v>98</v>
      </c>
      <c r="BA812" s="136">
        <v>44.44</v>
      </c>
      <c r="BB812" s="139">
        <v>15</v>
      </c>
      <c r="BC812" s="138">
        <v>95</v>
      </c>
    </row>
    <row r="813" spans="5:55" x14ac:dyDescent="0.3">
      <c r="E813" s="152">
        <v>44.6</v>
      </c>
      <c r="F813" s="153">
        <v>13</v>
      </c>
      <c r="G813" s="155" t="s">
        <v>869</v>
      </c>
      <c r="M813" s="136">
        <v>43.58</v>
      </c>
      <c r="N813" s="139">
        <v>17</v>
      </c>
      <c r="O813" s="138">
        <v>99</v>
      </c>
      <c r="U813" s="136">
        <v>44.4</v>
      </c>
      <c r="V813" s="139">
        <v>4</v>
      </c>
      <c r="W813" s="138">
        <v>2</v>
      </c>
      <c r="Y813" s="136">
        <v>43.54</v>
      </c>
      <c r="Z813" s="139">
        <v>16</v>
      </c>
      <c r="AA813" s="138">
        <v>98</v>
      </c>
      <c r="AC813" s="136">
        <v>44.44</v>
      </c>
      <c r="AD813" s="139">
        <v>7</v>
      </c>
      <c r="AE813" s="138">
        <v>16</v>
      </c>
      <c r="AG813" s="136">
        <v>43.84</v>
      </c>
      <c r="AH813" s="137">
        <v>18</v>
      </c>
      <c r="AI813" s="138" t="s">
        <v>884</v>
      </c>
      <c r="AK813" s="136">
        <v>44.36</v>
      </c>
      <c r="AL813" s="139">
        <v>7</v>
      </c>
      <c r="AM813" s="138">
        <v>16</v>
      </c>
      <c r="AS813" s="136">
        <v>43.53</v>
      </c>
      <c r="AT813" s="139">
        <v>17</v>
      </c>
      <c r="AU813" s="138">
        <v>99</v>
      </c>
      <c r="BA813" s="136">
        <v>44.46</v>
      </c>
      <c r="BB813" s="139">
        <v>16</v>
      </c>
      <c r="BC813" s="138">
        <v>98</v>
      </c>
    </row>
    <row r="814" spans="5:55" x14ac:dyDescent="0.3">
      <c r="E814" s="152">
        <v>44.61</v>
      </c>
      <c r="F814" s="153">
        <v>14</v>
      </c>
      <c r="G814" s="155" t="s">
        <v>870</v>
      </c>
      <c r="M814" s="136">
        <v>43.59</v>
      </c>
      <c r="N814" s="139">
        <v>18</v>
      </c>
      <c r="O814" s="138" t="s">
        <v>884</v>
      </c>
      <c r="U814" s="136">
        <v>44.43</v>
      </c>
      <c r="V814" s="139">
        <v>5</v>
      </c>
      <c r="W814" s="138">
        <v>5</v>
      </c>
      <c r="Y814" s="136">
        <v>43.56</v>
      </c>
      <c r="Z814" s="139">
        <v>17</v>
      </c>
      <c r="AA814" s="138">
        <v>99</v>
      </c>
      <c r="AC814" s="136">
        <v>44.46</v>
      </c>
      <c r="AD814" s="139">
        <v>8</v>
      </c>
      <c r="AE814" s="138">
        <v>25</v>
      </c>
      <c r="AG814" s="136">
        <v>43.85</v>
      </c>
      <c r="AH814" s="137">
        <v>19</v>
      </c>
      <c r="AI814" s="138" t="s">
        <v>884</v>
      </c>
      <c r="AK814" s="136">
        <v>44.37</v>
      </c>
      <c r="AL814" s="139">
        <v>8</v>
      </c>
      <c r="AM814" s="138">
        <v>25</v>
      </c>
      <c r="AS814" s="136">
        <v>43.55</v>
      </c>
      <c r="AT814" s="139">
        <v>18</v>
      </c>
      <c r="AU814" s="138" t="s">
        <v>884</v>
      </c>
      <c r="BA814" s="136">
        <v>44.49</v>
      </c>
      <c r="BB814" s="139">
        <v>17</v>
      </c>
      <c r="BC814" s="138">
        <v>99</v>
      </c>
    </row>
    <row r="815" spans="5:55" x14ac:dyDescent="0.3">
      <c r="E815" s="152">
        <v>44.62</v>
      </c>
      <c r="F815" s="153">
        <v>15</v>
      </c>
      <c r="G815" s="155" t="s">
        <v>871</v>
      </c>
      <c r="M815" s="136">
        <v>43.6</v>
      </c>
      <c r="N815" s="139">
        <v>19</v>
      </c>
      <c r="O815" s="138" t="s">
        <v>884</v>
      </c>
      <c r="U815" s="136">
        <v>44.46</v>
      </c>
      <c r="V815" s="139">
        <v>6</v>
      </c>
      <c r="W815" s="138">
        <v>9</v>
      </c>
      <c r="Y815" s="136">
        <v>43.57</v>
      </c>
      <c r="Z815" s="139">
        <v>18</v>
      </c>
      <c r="AA815" s="138" t="s">
        <v>884</v>
      </c>
      <c r="AC815" s="136">
        <v>44.48</v>
      </c>
      <c r="AD815" s="139">
        <v>9</v>
      </c>
      <c r="AE815" s="138">
        <v>37</v>
      </c>
      <c r="AG815" s="136">
        <v>44</v>
      </c>
      <c r="AH815" s="137">
        <v>1</v>
      </c>
      <c r="AI815" s="138" t="s">
        <v>883</v>
      </c>
      <c r="AK815" s="136">
        <v>44.39</v>
      </c>
      <c r="AL815" s="139">
        <v>9</v>
      </c>
      <c r="AM815" s="138">
        <v>37</v>
      </c>
      <c r="AS815" s="136">
        <v>43.56</v>
      </c>
      <c r="AT815" s="139">
        <v>19</v>
      </c>
      <c r="AU815" s="138" t="s">
        <v>884</v>
      </c>
      <c r="BA815" s="136">
        <v>44.51</v>
      </c>
      <c r="BB815" s="139">
        <v>18</v>
      </c>
      <c r="BC815" s="138" t="s">
        <v>884</v>
      </c>
    </row>
    <row r="816" spans="5:55" x14ac:dyDescent="0.3">
      <c r="E816" s="152">
        <v>44.63</v>
      </c>
      <c r="F816" s="153">
        <v>16</v>
      </c>
      <c r="G816" s="155" t="s">
        <v>872</v>
      </c>
      <c r="M816" s="136">
        <v>44</v>
      </c>
      <c r="N816" s="139">
        <v>1</v>
      </c>
      <c r="O816" s="138" t="s">
        <v>883</v>
      </c>
      <c r="U816" s="136">
        <v>44.49</v>
      </c>
      <c r="V816" s="139">
        <v>7</v>
      </c>
      <c r="W816" s="138">
        <v>16</v>
      </c>
      <c r="Y816" s="136">
        <v>43.61</v>
      </c>
      <c r="Z816" s="139">
        <v>19</v>
      </c>
      <c r="AA816" s="138" t="s">
        <v>884</v>
      </c>
      <c r="AC816" s="136">
        <v>44.5</v>
      </c>
      <c r="AD816" s="139">
        <v>10</v>
      </c>
      <c r="AE816" s="138">
        <v>50</v>
      </c>
      <c r="AG816" s="136">
        <v>44.54</v>
      </c>
      <c r="AH816" s="137">
        <v>2</v>
      </c>
      <c r="AI816" s="138" t="s">
        <v>883</v>
      </c>
      <c r="AK816" s="136">
        <v>44.41</v>
      </c>
      <c r="AL816" s="139">
        <v>10</v>
      </c>
      <c r="AM816" s="138">
        <v>50</v>
      </c>
      <c r="AS816" s="136">
        <v>44</v>
      </c>
      <c r="AT816" s="139">
        <v>1</v>
      </c>
      <c r="AU816" s="138" t="s">
        <v>883</v>
      </c>
      <c r="BA816" s="136">
        <v>44.55</v>
      </c>
      <c r="BB816" s="139">
        <v>19</v>
      </c>
      <c r="BC816" s="138" t="s">
        <v>884</v>
      </c>
    </row>
    <row r="817" spans="5:55" x14ac:dyDescent="0.3">
      <c r="E817" s="152">
        <v>44.64</v>
      </c>
      <c r="F817" s="153">
        <v>17</v>
      </c>
      <c r="G817" s="155" t="s">
        <v>873</v>
      </c>
      <c r="M817" s="136">
        <v>44.3</v>
      </c>
      <c r="N817" s="139">
        <v>2</v>
      </c>
      <c r="O817" s="138" t="s">
        <v>883</v>
      </c>
      <c r="U817" s="136">
        <v>44.51</v>
      </c>
      <c r="V817" s="139">
        <v>8</v>
      </c>
      <c r="W817" s="138">
        <v>25</v>
      </c>
      <c r="Y817" s="136">
        <v>44</v>
      </c>
      <c r="Z817" s="139">
        <v>1</v>
      </c>
      <c r="AA817" s="138" t="s">
        <v>883</v>
      </c>
      <c r="AC817" s="136">
        <v>44.53</v>
      </c>
      <c r="AD817" s="139">
        <v>11</v>
      </c>
      <c r="AE817" s="138">
        <v>63</v>
      </c>
      <c r="AG817" s="136">
        <v>44.6</v>
      </c>
      <c r="AH817" s="137">
        <v>3</v>
      </c>
      <c r="AI817" s="138">
        <v>1</v>
      </c>
      <c r="AK817" s="136">
        <v>44.42</v>
      </c>
      <c r="AL817" s="139">
        <v>11</v>
      </c>
      <c r="AM817" s="138">
        <v>63</v>
      </c>
      <c r="AS817" s="136">
        <v>44.34</v>
      </c>
      <c r="AT817" s="139">
        <v>2</v>
      </c>
      <c r="AU817" s="138" t="s">
        <v>883</v>
      </c>
      <c r="BA817" s="136">
        <v>45</v>
      </c>
      <c r="BB817" s="139">
        <v>1</v>
      </c>
      <c r="BC817" s="138" t="s">
        <v>883</v>
      </c>
    </row>
    <row r="818" spans="5:55" x14ac:dyDescent="0.3">
      <c r="E818" s="152">
        <v>44.65</v>
      </c>
      <c r="F818" s="153">
        <v>18</v>
      </c>
      <c r="G818" s="155" t="s">
        <v>874</v>
      </c>
      <c r="M818" s="136">
        <v>44.36</v>
      </c>
      <c r="N818" s="139">
        <v>3</v>
      </c>
      <c r="O818" s="138">
        <v>1</v>
      </c>
      <c r="U818" s="136">
        <v>44.54</v>
      </c>
      <c r="V818" s="139">
        <v>9</v>
      </c>
      <c r="W818" s="138">
        <v>37</v>
      </c>
      <c r="Y818" s="136">
        <v>44.31</v>
      </c>
      <c r="Z818" s="139">
        <v>2</v>
      </c>
      <c r="AA818" s="138" t="s">
        <v>883</v>
      </c>
      <c r="AC818" s="136">
        <v>44.55</v>
      </c>
      <c r="AD818" s="139">
        <v>12</v>
      </c>
      <c r="AE818" s="138">
        <v>75</v>
      </c>
      <c r="AG818" s="136">
        <v>44.62</v>
      </c>
      <c r="AH818" s="137">
        <v>4</v>
      </c>
      <c r="AI818" s="138">
        <v>2</v>
      </c>
      <c r="AK818" s="136">
        <v>44.43</v>
      </c>
      <c r="AL818" s="139">
        <v>12</v>
      </c>
      <c r="AM818" s="138">
        <v>75</v>
      </c>
      <c r="AS818" s="136">
        <v>44.37</v>
      </c>
      <c r="AT818" s="139">
        <v>3</v>
      </c>
      <c r="AU818" s="138">
        <v>1</v>
      </c>
      <c r="BA818" s="136">
        <v>45.19</v>
      </c>
      <c r="BB818" s="139">
        <v>2</v>
      </c>
      <c r="BC818" s="138" t="s">
        <v>883</v>
      </c>
    </row>
    <row r="819" spans="5:55" x14ac:dyDescent="0.3">
      <c r="E819" s="152">
        <v>44.67</v>
      </c>
      <c r="F819" s="153">
        <v>19</v>
      </c>
      <c r="G819" s="155" t="s">
        <v>874</v>
      </c>
      <c r="M819" s="136">
        <v>44.39</v>
      </c>
      <c r="N819" s="139">
        <v>4</v>
      </c>
      <c r="O819" s="138">
        <v>2</v>
      </c>
      <c r="U819" s="136">
        <v>44.56</v>
      </c>
      <c r="V819" s="139">
        <v>10</v>
      </c>
      <c r="W819" s="138">
        <v>50</v>
      </c>
      <c r="Y819" s="136">
        <v>44.33</v>
      </c>
      <c r="Z819" s="139">
        <v>3</v>
      </c>
      <c r="AA819" s="138">
        <v>1</v>
      </c>
      <c r="AC819" s="136">
        <v>44.57</v>
      </c>
      <c r="AD819" s="139">
        <v>13</v>
      </c>
      <c r="AE819" s="138">
        <v>85</v>
      </c>
      <c r="AG819" s="136">
        <v>44.65</v>
      </c>
      <c r="AH819" s="137">
        <v>5</v>
      </c>
      <c r="AI819" s="138">
        <v>5</v>
      </c>
      <c r="AK819" s="136">
        <v>44.44</v>
      </c>
      <c r="AL819" s="139">
        <v>13</v>
      </c>
      <c r="AM819" s="138">
        <v>85</v>
      </c>
      <c r="AS819" s="136">
        <v>44.39</v>
      </c>
      <c r="AT819" s="139">
        <v>4</v>
      </c>
      <c r="AU819" s="138">
        <v>2</v>
      </c>
      <c r="BA819" s="136">
        <v>45.22</v>
      </c>
      <c r="BB819" s="139">
        <v>3</v>
      </c>
      <c r="BC819" s="138">
        <v>1</v>
      </c>
    </row>
    <row r="820" spans="5:55" x14ac:dyDescent="0.3">
      <c r="E820" s="152">
        <v>45</v>
      </c>
      <c r="F820" s="153">
        <v>1</v>
      </c>
      <c r="G820" s="155" t="s">
        <v>862</v>
      </c>
      <c r="M820" s="136">
        <v>44.42</v>
      </c>
      <c r="N820" s="139">
        <v>5</v>
      </c>
      <c r="O820" s="138">
        <v>5</v>
      </c>
      <c r="U820" s="136">
        <v>44.59</v>
      </c>
      <c r="V820" s="139">
        <v>11</v>
      </c>
      <c r="W820" s="138">
        <v>63</v>
      </c>
      <c r="Y820" s="136">
        <v>44.34</v>
      </c>
      <c r="Z820" s="139">
        <v>4</v>
      </c>
      <c r="AA820" s="138">
        <v>2</v>
      </c>
      <c r="AC820" s="136">
        <v>44.59</v>
      </c>
      <c r="AD820" s="139">
        <v>14</v>
      </c>
      <c r="AE820" s="138">
        <v>91</v>
      </c>
      <c r="AG820" s="136">
        <v>44.67</v>
      </c>
      <c r="AH820" s="137">
        <v>6</v>
      </c>
      <c r="AI820" s="138">
        <v>9</v>
      </c>
      <c r="AK820" s="136">
        <v>44.45</v>
      </c>
      <c r="AL820" s="139">
        <v>14</v>
      </c>
      <c r="AM820" s="138">
        <v>91</v>
      </c>
      <c r="AS820" s="136">
        <v>44.41</v>
      </c>
      <c r="AT820" s="139">
        <v>5</v>
      </c>
      <c r="AU820" s="138">
        <v>5</v>
      </c>
      <c r="BA820" s="136">
        <v>45.24</v>
      </c>
      <c r="BB820" s="139">
        <v>4</v>
      </c>
      <c r="BC820" s="138">
        <v>2</v>
      </c>
    </row>
    <row r="821" spans="5:55" x14ac:dyDescent="0.3">
      <c r="E821" s="152">
        <v>45.36</v>
      </c>
      <c r="F821" s="153">
        <v>2</v>
      </c>
      <c r="G821" s="155" t="s">
        <v>862</v>
      </c>
      <c r="M821" s="136">
        <v>44.44</v>
      </c>
      <c r="N821" s="139">
        <v>6</v>
      </c>
      <c r="O821" s="138">
        <v>9</v>
      </c>
      <c r="U821" s="136">
        <v>44.61</v>
      </c>
      <c r="V821" s="139">
        <v>12</v>
      </c>
      <c r="W821" s="138">
        <v>75</v>
      </c>
      <c r="Y821" s="136">
        <v>44.36</v>
      </c>
      <c r="Z821" s="139">
        <v>5</v>
      </c>
      <c r="AA821" s="138">
        <v>5</v>
      </c>
      <c r="AC821" s="136">
        <v>44.62</v>
      </c>
      <c r="AD821" s="139">
        <v>15</v>
      </c>
      <c r="AE821" s="138">
        <v>95</v>
      </c>
      <c r="AG821" s="136">
        <v>44.69</v>
      </c>
      <c r="AH821" s="137">
        <v>7</v>
      </c>
      <c r="AI821" s="138">
        <v>16</v>
      </c>
      <c r="AK821" s="136">
        <v>44.47</v>
      </c>
      <c r="AL821" s="139">
        <v>15</v>
      </c>
      <c r="AM821" s="138">
        <v>95</v>
      </c>
      <c r="AS821" s="136">
        <v>44.42</v>
      </c>
      <c r="AT821" s="139">
        <v>6</v>
      </c>
      <c r="AU821" s="138">
        <v>9</v>
      </c>
      <c r="BA821" s="136">
        <v>45.26</v>
      </c>
      <c r="BB821" s="139">
        <v>5</v>
      </c>
      <c r="BC821" s="138">
        <v>5</v>
      </c>
    </row>
    <row r="822" spans="5:55" x14ac:dyDescent="0.3">
      <c r="E822" s="152">
        <v>45.43</v>
      </c>
      <c r="F822" s="153">
        <v>3</v>
      </c>
      <c r="G822" s="155" t="s">
        <v>876</v>
      </c>
      <c r="M822" s="136">
        <v>44.45</v>
      </c>
      <c r="N822" s="139">
        <v>7</v>
      </c>
      <c r="O822" s="138">
        <v>16</v>
      </c>
      <c r="U822" s="136">
        <v>44.63</v>
      </c>
      <c r="V822" s="139">
        <v>13</v>
      </c>
      <c r="W822" s="138">
        <v>85</v>
      </c>
      <c r="Y822" s="136">
        <v>44.37</v>
      </c>
      <c r="Z822" s="139">
        <v>6</v>
      </c>
      <c r="AA822" s="138">
        <v>9</v>
      </c>
      <c r="AC822" s="136">
        <v>44.64</v>
      </c>
      <c r="AD822" s="139">
        <v>16</v>
      </c>
      <c r="AE822" s="138">
        <v>98</v>
      </c>
      <c r="AG822" s="136">
        <v>44.7</v>
      </c>
      <c r="AH822" s="137">
        <v>8</v>
      </c>
      <c r="AI822" s="138">
        <v>25</v>
      </c>
      <c r="AK822" s="136">
        <v>44.49</v>
      </c>
      <c r="AL822" s="139">
        <v>16</v>
      </c>
      <c r="AM822" s="138">
        <v>98</v>
      </c>
      <c r="AS822" s="136">
        <v>44.43</v>
      </c>
      <c r="AT822" s="139">
        <v>7</v>
      </c>
      <c r="AU822" s="138">
        <v>16</v>
      </c>
      <c r="BA822" s="136">
        <v>45.28</v>
      </c>
      <c r="BB822" s="139">
        <v>6</v>
      </c>
      <c r="BC822" s="138">
        <v>9</v>
      </c>
    </row>
    <row r="823" spans="5:55" x14ac:dyDescent="0.3">
      <c r="E823" s="152">
        <v>45.46</v>
      </c>
      <c r="F823" s="153">
        <v>4</v>
      </c>
      <c r="G823" s="155" t="s">
        <v>863</v>
      </c>
      <c r="M823" s="136">
        <v>44.48</v>
      </c>
      <c r="N823" s="139">
        <v>8</v>
      </c>
      <c r="O823" s="138">
        <v>25</v>
      </c>
      <c r="U823" s="136">
        <v>44.65</v>
      </c>
      <c r="V823" s="139">
        <v>14</v>
      </c>
      <c r="W823" s="138">
        <v>91</v>
      </c>
      <c r="Y823" s="136">
        <v>44.39</v>
      </c>
      <c r="Z823" s="139">
        <v>7</v>
      </c>
      <c r="AA823" s="138">
        <v>16</v>
      </c>
      <c r="AC823" s="136">
        <v>44.66</v>
      </c>
      <c r="AD823" s="139">
        <v>17</v>
      </c>
      <c r="AE823" s="138">
        <v>99</v>
      </c>
      <c r="AG823" s="136">
        <v>44.71</v>
      </c>
      <c r="AH823" s="137">
        <v>9</v>
      </c>
      <c r="AI823" s="138">
        <v>37</v>
      </c>
      <c r="AK823" s="136">
        <v>44.5</v>
      </c>
      <c r="AL823" s="139">
        <v>17</v>
      </c>
      <c r="AM823" s="138">
        <v>99</v>
      </c>
      <c r="AS823" s="136">
        <v>44.44</v>
      </c>
      <c r="AT823" s="139">
        <v>8</v>
      </c>
      <c r="AU823" s="138">
        <v>25</v>
      </c>
      <c r="BA823" s="136">
        <v>45.3</v>
      </c>
      <c r="BB823" s="139">
        <v>7</v>
      </c>
      <c r="BC823" s="138">
        <v>16</v>
      </c>
    </row>
    <row r="824" spans="5:55" x14ac:dyDescent="0.3">
      <c r="E824" s="152">
        <v>45.48</v>
      </c>
      <c r="F824" s="153">
        <v>5</v>
      </c>
      <c r="G824" s="155" t="s">
        <v>877</v>
      </c>
      <c r="M824" s="136">
        <v>44.49</v>
      </c>
      <c r="N824" s="139">
        <v>9</v>
      </c>
      <c r="O824" s="138">
        <v>37</v>
      </c>
      <c r="U824" s="136">
        <v>44.68</v>
      </c>
      <c r="V824" s="139">
        <v>15</v>
      </c>
      <c r="W824" s="138">
        <v>95</v>
      </c>
      <c r="Y824" s="136">
        <v>44.4</v>
      </c>
      <c r="Z824" s="139">
        <v>8</v>
      </c>
      <c r="AA824" s="138">
        <v>25</v>
      </c>
      <c r="AC824" s="136">
        <v>44.69</v>
      </c>
      <c r="AD824" s="139">
        <v>18</v>
      </c>
      <c r="AE824" s="138" t="s">
        <v>884</v>
      </c>
      <c r="AG824" s="136">
        <v>44.73</v>
      </c>
      <c r="AH824" s="137">
        <v>10</v>
      </c>
      <c r="AI824" s="138">
        <v>50</v>
      </c>
      <c r="AK824" s="136">
        <v>44.51</v>
      </c>
      <c r="AL824" s="139">
        <v>18</v>
      </c>
      <c r="AM824" s="138" t="s">
        <v>884</v>
      </c>
      <c r="AS824" s="136">
        <v>44.45</v>
      </c>
      <c r="AT824" s="139">
        <v>9</v>
      </c>
      <c r="AU824" s="138">
        <v>37</v>
      </c>
      <c r="BA824" s="136">
        <v>45.32</v>
      </c>
      <c r="BB824" s="139">
        <v>8</v>
      </c>
      <c r="BC824" s="138">
        <v>25</v>
      </c>
    </row>
    <row r="825" spans="5:55" x14ac:dyDescent="0.3">
      <c r="E825" s="152">
        <v>45.5</v>
      </c>
      <c r="F825" s="153">
        <v>6</v>
      </c>
      <c r="G825" s="155" t="s">
        <v>864</v>
      </c>
      <c r="M825" s="136">
        <v>44.51</v>
      </c>
      <c r="N825" s="139">
        <v>10</v>
      </c>
      <c r="O825" s="138">
        <v>50</v>
      </c>
      <c r="U825" s="136">
        <v>44.7</v>
      </c>
      <c r="V825" s="139">
        <v>16</v>
      </c>
      <c r="W825" s="138">
        <v>98</v>
      </c>
      <c r="Y825" s="136">
        <v>44.42</v>
      </c>
      <c r="Z825" s="139">
        <v>9</v>
      </c>
      <c r="AA825" s="138">
        <v>37</v>
      </c>
      <c r="AC825" s="136">
        <v>44.73</v>
      </c>
      <c r="AD825" s="139">
        <v>19</v>
      </c>
      <c r="AE825" s="138" t="s">
        <v>884</v>
      </c>
      <c r="AG825" s="136">
        <v>44.74</v>
      </c>
      <c r="AH825" s="137">
        <v>11</v>
      </c>
      <c r="AI825" s="138">
        <v>63</v>
      </c>
      <c r="AK825" s="136">
        <v>44.53</v>
      </c>
      <c r="AL825" s="139">
        <v>19</v>
      </c>
      <c r="AM825" s="138" t="s">
        <v>884</v>
      </c>
      <c r="AS825" s="136">
        <v>44.46</v>
      </c>
      <c r="AT825" s="139">
        <v>10</v>
      </c>
      <c r="AU825" s="138">
        <v>50</v>
      </c>
      <c r="BA825" s="136">
        <v>45.34</v>
      </c>
      <c r="BB825" s="139">
        <v>9</v>
      </c>
      <c r="BC825" s="138">
        <v>37</v>
      </c>
    </row>
    <row r="826" spans="5:55" x14ac:dyDescent="0.3">
      <c r="E826" s="152">
        <v>45.52</v>
      </c>
      <c r="F826" s="153">
        <v>7</v>
      </c>
      <c r="G826" s="155" t="s">
        <v>878</v>
      </c>
      <c r="M826" s="136">
        <v>44.52</v>
      </c>
      <c r="N826" s="139">
        <v>11</v>
      </c>
      <c r="O826" s="138">
        <v>63</v>
      </c>
      <c r="U826" s="136">
        <v>44.72</v>
      </c>
      <c r="V826" s="139">
        <v>17</v>
      </c>
      <c r="W826" s="138">
        <v>99</v>
      </c>
      <c r="Y826" s="136">
        <v>44.44</v>
      </c>
      <c r="Z826" s="139">
        <v>10</v>
      </c>
      <c r="AA826" s="138">
        <v>50</v>
      </c>
      <c r="AC826" s="136">
        <v>45</v>
      </c>
      <c r="AD826" s="139">
        <v>1</v>
      </c>
      <c r="AE826" s="138" t="s">
        <v>883</v>
      </c>
      <c r="AG826" s="136">
        <v>44.75</v>
      </c>
      <c r="AH826" s="137">
        <v>12</v>
      </c>
      <c r="AI826" s="138">
        <v>75</v>
      </c>
      <c r="AK826" s="136">
        <v>45</v>
      </c>
      <c r="AL826" s="139">
        <v>1</v>
      </c>
      <c r="AM826" s="138" t="s">
        <v>883</v>
      </c>
      <c r="AS826" s="136">
        <v>44.47</v>
      </c>
      <c r="AT826" s="139">
        <v>11</v>
      </c>
      <c r="AU826" s="138">
        <v>63</v>
      </c>
      <c r="BA826" s="136">
        <v>45.36</v>
      </c>
      <c r="BB826" s="139">
        <v>10</v>
      </c>
      <c r="BC826" s="138">
        <v>50</v>
      </c>
    </row>
    <row r="827" spans="5:55" x14ac:dyDescent="0.3">
      <c r="E827" s="152">
        <v>45.54</v>
      </c>
      <c r="F827" s="153">
        <v>8</v>
      </c>
      <c r="G827" s="155" t="s">
        <v>865</v>
      </c>
      <c r="M827" s="156">
        <v>44.53</v>
      </c>
      <c r="N827" s="139">
        <v>12</v>
      </c>
      <c r="O827" s="138">
        <v>75</v>
      </c>
      <c r="U827" s="136">
        <v>44.75</v>
      </c>
      <c r="V827" s="139">
        <v>18</v>
      </c>
      <c r="W827" s="138" t="s">
        <v>884</v>
      </c>
      <c r="Y827" s="136">
        <v>44.46</v>
      </c>
      <c r="Z827" s="139">
        <v>11</v>
      </c>
      <c r="AA827" s="138">
        <v>63</v>
      </c>
      <c r="AC827" s="136">
        <v>45.34</v>
      </c>
      <c r="AD827" s="139">
        <v>2</v>
      </c>
      <c r="AE827" s="138" t="s">
        <v>883</v>
      </c>
      <c r="AG827" s="136">
        <v>44.76</v>
      </c>
      <c r="AH827" s="137">
        <v>13</v>
      </c>
      <c r="AI827" s="138">
        <v>85</v>
      </c>
      <c r="AK827" s="136">
        <v>45.29</v>
      </c>
      <c r="AL827" s="139">
        <v>2</v>
      </c>
      <c r="AM827" s="138" t="s">
        <v>883</v>
      </c>
      <c r="AS827" s="136">
        <v>44.48</v>
      </c>
      <c r="AT827" s="139">
        <v>12</v>
      </c>
      <c r="AU827" s="138">
        <v>75</v>
      </c>
      <c r="BA827" s="136">
        <v>45.38</v>
      </c>
      <c r="BB827" s="139">
        <v>11</v>
      </c>
      <c r="BC827" s="138">
        <v>63</v>
      </c>
    </row>
    <row r="828" spans="5:55" x14ac:dyDescent="0.3">
      <c r="E828" s="152">
        <v>45.56</v>
      </c>
      <c r="F828" s="153">
        <v>9</v>
      </c>
      <c r="G828" s="155" t="s">
        <v>879</v>
      </c>
      <c r="M828" s="136">
        <v>44.54</v>
      </c>
      <c r="N828" s="139">
        <v>13</v>
      </c>
      <c r="O828" s="138">
        <v>85</v>
      </c>
      <c r="U828" s="136">
        <v>44.77</v>
      </c>
      <c r="V828" s="139">
        <v>19</v>
      </c>
      <c r="W828" s="138" t="s">
        <v>884</v>
      </c>
      <c r="Y828" s="136">
        <v>44.47</v>
      </c>
      <c r="Z828" s="139">
        <v>12</v>
      </c>
      <c r="AA828" s="138">
        <v>75</v>
      </c>
      <c r="AC828" s="136">
        <v>45.36</v>
      </c>
      <c r="AD828" s="139">
        <v>3</v>
      </c>
      <c r="AE828" s="138">
        <v>1</v>
      </c>
      <c r="AG828" s="136">
        <v>44.78</v>
      </c>
      <c r="AH828" s="137">
        <v>14</v>
      </c>
      <c r="AI828" s="138">
        <v>91</v>
      </c>
      <c r="AK828" s="136">
        <v>45.31</v>
      </c>
      <c r="AL828" s="139">
        <v>3</v>
      </c>
      <c r="AM828" s="138">
        <v>1</v>
      </c>
      <c r="AS828" s="136">
        <v>44.49</v>
      </c>
      <c r="AT828" s="139">
        <v>13</v>
      </c>
      <c r="AU828" s="138">
        <v>85</v>
      </c>
      <c r="BA828" s="136">
        <v>45.4</v>
      </c>
      <c r="BB828" s="139">
        <v>12</v>
      </c>
      <c r="BC828" s="138">
        <v>75</v>
      </c>
    </row>
    <row r="829" spans="5:55" x14ac:dyDescent="0.3">
      <c r="E829" s="152">
        <v>45.58</v>
      </c>
      <c r="F829" s="153">
        <v>10</v>
      </c>
      <c r="G829" s="155" t="s">
        <v>866</v>
      </c>
      <c r="M829" s="136">
        <v>44.55</v>
      </c>
      <c r="N829" s="139">
        <v>14</v>
      </c>
      <c r="O829" s="138">
        <v>91</v>
      </c>
      <c r="U829" s="136">
        <v>45</v>
      </c>
      <c r="V829" s="139">
        <v>1</v>
      </c>
      <c r="W829" s="138" t="s">
        <v>883</v>
      </c>
      <c r="Y829" s="136">
        <v>44.49</v>
      </c>
      <c r="Z829" s="139">
        <v>13</v>
      </c>
      <c r="AA829" s="138">
        <v>85</v>
      </c>
      <c r="AC829" s="136">
        <v>45.39</v>
      </c>
      <c r="AD829" s="139">
        <v>4</v>
      </c>
      <c r="AE829" s="138">
        <v>2</v>
      </c>
      <c r="AG829" s="136">
        <v>44.79</v>
      </c>
      <c r="AH829" s="137">
        <v>15</v>
      </c>
      <c r="AI829" s="138">
        <v>95</v>
      </c>
      <c r="AK829" s="136">
        <v>45.32</v>
      </c>
      <c r="AL829" s="139">
        <v>4</v>
      </c>
      <c r="AM829" s="138">
        <v>2</v>
      </c>
      <c r="AS829" s="136">
        <v>44.5</v>
      </c>
      <c r="AT829" s="139">
        <v>14</v>
      </c>
      <c r="AU829" s="138">
        <v>91</v>
      </c>
      <c r="BA829" s="136">
        <v>45.43</v>
      </c>
      <c r="BB829" s="139">
        <v>13</v>
      </c>
      <c r="BC829" s="138">
        <v>85</v>
      </c>
    </row>
    <row r="830" spans="5:55" x14ac:dyDescent="0.3">
      <c r="E830" s="152">
        <v>45.59</v>
      </c>
      <c r="F830" s="153">
        <v>11</v>
      </c>
      <c r="G830" s="155" t="s">
        <v>867</v>
      </c>
      <c r="M830" s="136">
        <v>44.56</v>
      </c>
      <c r="N830" s="139">
        <v>15</v>
      </c>
      <c r="O830" s="138">
        <v>95</v>
      </c>
      <c r="U830" s="136">
        <v>45.29</v>
      </c>
      <c r="V830" s="139">
        <v>2</v>
      </c>
      <c r="W830" s="138" t="s">
        <v>883</v>
      </c>
      <c r="Y830" s="136">
        <v>44.51</v>
      </c>
      <c r="Z830" s="139">
        <v>14</v>
      </c>
      <c r="AA830" s="138">
        <v>91</v>
      </c>
      <c r="AC830" s="136">
        <v>45.41</v>
      </c>
      <c r="AD830" s="139">
        <v>5</v>
      </c>
      <c r="AE830" s="138">
        <v>5</v>
      </c>
      <c r="AG830" s="136">
        <v>44.81</v>
      </c>
      <c r="AH830" s="137">
        <v>16</v>
      </c>
      <c r="AI830" s="138">
        <v>98</v>
      </c>
      <c r="AK830" s="136">
        <v>45.34</v>
      </c>
      <c r="AL830" s="139">
        <v>5</v>
      </c>
      <c r="AM830" s="138">
        <v>5</v>
      </c>
      <c r="AS830" s="136">
        <v>44.51</v>
      </c>
      <c r="AT830" s="139">
        <v>15</v>
      </c>
      <c r="AU830" s="138">
        <v>95</v>
      </c>
      <c r="BA830" s="136">
        <v>45.45</v>
      </c>
      <c r="BB830" s="139">
        <v>14</v>
      </c>
      <c r="BC830" s="138">
        <v>91</v>
      </c>
    </row>
    <row r="831" spans="5:55" x14ac:dyDescent="0.3">
      <c r="E831" s="152">
        <v>45.6</v>
      </c>
      <c r="F831" s="153">
        <v>12</v>
      </c>
      <c r="G831" s="155" t="s">
        <v>868</v>
      </c>
      <c r="M831" s="136">
        <v>44.57</v>
      </c>
      <c r="N831" s="139">
        <v>16</v>
      </c>
      <c r="O831" s="138">
        <v>98</v>
      </c>
      <c r="U831" s="136">
        <v>45.38</v>
      </c>
      <c r="V831" s="139">
        <v>3</v>
      </c>
      <c r="W831" s="138">
        <v>1</v>
      </c>
      <c r="Y831" s="136">
        <v>44.52</v>
      </c>
      <c r="Z831" s="139">
        <v>15</v>
      </c>
      <c r="AA831" s="138">
        <v>95</v>
      </c>
      <c r="AC831" s="136">
        <v>45.43</v>
      </c>
      <c r="AD831" s="139">
        <v>6</v>
      </c>
      <c r="AE831" s="138">
        <v>9</v>
      </c>
      <c r="AG831" s="136">
        <v>44.82</v>
      </c>
      <c r="AH831" s="137">
        <v>17</v>
      </c>
      <c r="AI831" s="138">
        <v>99</v>
      </c>
      <c r="AK831" s="136">
        <v>45.37</v>
      </c>
      <c r="AL831" s="139">
        <v>6</v>
      </c>
      <c r="AM831" s="138">
        <v>9</v>
      </c>
      <c r="AS831" s="136">
        <v>44.52</v>
      </c>
      <c r="AT831" s="139">
        <v>16</v>
      </c>
      <c r="AU831" s="138">
        <v>98</v>
      </c>
      <c r="BA831" s="136">
        <v>45.48</v>
      </c>
      <c r="BB831" s="139">
        <v>15</v>
      </c>
      <c r="BC831" s="138">
        <v>95</v>
      </c>
    </row>
    <row r="832" spans="5:55" x14ac:dyDescent="0.3">
      <c r="E832" s="152">
        <v>45.61</v>
      </c>
      <c r="F832" s="153">
        <v>13</v>
      </c>
      <c r="G832" s="155" t="s">
        <v>869</v>
      </c>
      <c r="M832" s="136">
        <v>44.58</v>
      </c>
      <c r="N832" s="139">
        <v>17</v>
      </c>
      <c r="O832" s="138">
        <v>99</v>
      </c>
      <c r="U832" s="136">
        <v>45.43</v>
      </c>
      <c r="V832" s="139">
        <v>4</v>
      </c>
      <c r="W832" s="138">
        <v>2</v>
      </c>
      <c r="Y832" s="136">
        <v>44.54</v>
      </c>
      <c r="Z832" s="139">
        <v>16</v>
      </c>
      <c r="AA832" s="138">
        <v>98</v>
      </c>
      <c r="AC832" s="136">
        <v>45.45</v>
      </c>
      <c r="AD832" s="139">
        <v>7</v>
      </c>
      <c r="AE832" s="138">
        <v>16</v>
      </c>
      <c r="AG832" s="136">
        <v>44.84</v>
      </c>
      <c r="AH832" s="137">
        <v>18</v>
      </c>
      <c r="AI832" s="138" t="s">
        <v>884</v>
      </c>
      <c r="AK832" s="136">
        <v>45.39</v>
      </c>
      <c r="AL832" s="139">
        <v>7</v>
      </c>
      <c r="AM832" s="138">
        <v>16</v>
      </c>
      <c r="AS832" s="136">
        <v>44.53</v>
      </c>
      <c r="AT832" s="139">
        <v>17</v>
      </c>
      <c r="AU832" s="138">
        <v>99</v>
      </c>
      <c r="BA832" s="136">
        <v>45.51</v>
      </c>
      <c r="BB832" s="139">
        <v>16</v>
      </c>
      <c r="BC832" s="138">
        <v>98</v>
      </c>
    </row>
    <row r="833" spans="5:55" x14ac:dyDescent="0.3">
      <c r="E833" s="152">
        <v>45.62</v>
      </c>
      <c r="F833" s="153">
        <v>14</v>
      </c>
      <c r="G833" s="155" t="s">
        <v>870</v>
      </c>
      <c r="M833" s="136">
        <v>44.59</v>
      </c>
      <c r="N833" s="139">
        <v>18</v>
      </c>
      <c r="O833" s="138" t="s">
        <v>884</v>
      </c>
      <c r="U833" s="136">
        <v>45.46</v>
      </c>
      <c r="V833" s="139">
        <v>5</v>
      </c>
      <c r="W833" s="138">
        <v>5</v>
      </c>
      <c r="Y833" s="136">
        <v>44.56</v>
      </c>
      <c r="Z833" s="139">
        <v>17</v>
      </c>
      <c r="AA833" s="138">
        <v>99</v>
      </c>
      <c r="AC833" s="136">
        <v>45.48</v>
      </c>
      <c r="AD833" s="139">
        <v>8</v>
      </c>
      <c r="AE833" s="138">
        <v>25</v>
      </c>
      <c r="AG833" s="136">
        <v>44.85</v>
      </c>
      <c r="AH833" s="137">
        <v>19</v>
      </c>
      <c r="AI833" s="138" t="s">
        <v>884</v>
      </c>
      <c r="AK833" s="136">
        <v>45.41</v>
      </c>
      <c r="AL833" s="139">
        <v>8</v>
      </c>
      <c r="AM833" s="138">
        <v>25</v>
      </c>
      <c r="AS833" s="136">
        <v>44.55</v>
      </c>
      <c r="AT833" s="139">
        <v>18</v>
      </c>
      <c r="AU833" s="138" t="s">
        <v>884</v>
      </c>
      <c r="BA833" s="136">
        <v>45.53</v>
      </c>
      <c r="BB833" s="139">
        <v>17</v>
      </c>
      <c r="BC833" s="138">
        <v>99</v>
      </c>
    </row>
    <row r="834" spans="5:55" x14ac:dyDescent="0.3">
      <c r="E834" s="152">
        <v>45.63</v>
      </c>
      <c r="F834" s="153">
        <v>15</v>
      </c>
      <c r="G834" s="155" t="s">
        <v>871</v>
      </c>
      <c r="M834" s="136">
        <v>44.6</v>
      </c>
      <c r="N834" s="139">
        <v>19</v>
      </c>
      <c r="O834" s="138" t="s">
        <v>884</v>
      </c>
      <c r="U834" s="136">
        <v>45.49</v>
      </c>
      <c r="V834" s="139">
        <v>6</v>
      </c>
      <c r="W834" s="138">
        <v>9</v>
      </c>
      <c r="Y834" s="136">
        <v>44.57</v>
      </c>
      <c r="Z834" s="139">
        <v>18</v>
      </c>
      <c r="AA834" s="138" t="s">
        <v>884</v>
      </c>
      <c r="AC834" s="136">
        <v>45.5</v>
      </c>
      <c r="AD834" s="139">
        <v>9</v>
      </c>
      <c r="AE834" s="138">
        <v>37</v>
      </c>
      <c r="AG834" s="136">
        <v>45</v>
      </c>
      <c r="AH834" s="137">
        <v>1</v>
      </c>
      <c r="AI834" s="138" t="s">
        <v>883</v>
      </c>
      <c r="AK834" s="136">
        <v>45.42</v>
      </c>
      <c r="AL834" s="139">
        <v>9</v>
      </c>
      <c r="AM834" s="138">
        <v>37</v>
      </c>
      <c r="AS834" s="136">
        <v>44.56</v>
      </c>
      <c r="AT834" s="139">
        <v>19</v>
      </c>
      <c r="AU834" s="138" t="s">
        <v>884</v>
      </c>
      <c r="BA834" s="136">
        <v>45.55</v>
      </c>
      <c r="BB834" s="139">
        <v>18</v>
      </c>
      <c r="BC834" s="138" t="s">
        <v>884</v>
      </c>
    </row>
    <row r="835" spans="5:55" x14ac:dyDescent="0.3">
      <c r="E835" s="152">
        <v>45.64</v>
      </c>
      <c r="F835" s="153">
        <v>16</v>
      </c>
      <c r="G835" s="155" t="s">
        <v>872</v>
      </c>
      <c r="M835" s="136">
        <v>45</v>
      </c>
      <c r="N835" s="139">
        <v>1</v>
      </c>
      <c r="O835" s="138" t="s">
        <v>883</v>
      </c>
      <c r="U835" s="136">
        <v>45.51</v>
      </c>
      <c r="V835" s="139">
        <v>7</v>
      </c>
      <c r="W835" s="138">
        <v>16</v>
      </c>
      <c r="Y835" s="136">
        <v>44.61</v>
      </c>
      <c r="Z835" s="139">
        <v>19</v>
      </c>
      <c r="AA835" s="138" t="s">
        <v>884</v>
      </c>
      <c r="AC835" s="136">
        <v>45.52</v>
      </c>
      <c r="AD835" s="139">
        <v>10</v>
      </c>
      <c r="AE835" s="138">
        <v>50</v>
      </c>
      <c r="AG835" s="136">
        <v>45.56</v>
      </c>
      <c r="AH835" s="137">
        <v>2</v>
      </c>
      <c r="AI835" s="138" t="s">
        <v>883</v>
      </c>
      <c r="AK835" s="136">
        <v>45.43</v>
      </c>
      <c r="AL835" s="139">
        <v>10</v>
      </c>
      <c r="AM835" s="138">
        <v>50</v>
      </c>
      <c r="AS835" s="136">
        <v>45</v>
      </c>
      <c r="AT835" s="139">
        <v>1</v>
      </c>
      <c r="AU835" s="138" t="s">
        <v>883</v>
      </c>
      <c r="BA835" s="136">
        <v>45.6</v>
      </c>
      <c r="BB835" s="139">
        <v>19</v>
      </c>
      <c r="BC835" s="138" t="s">
        <v>884</v>
      </c>
    </row>
    <row r="836" spans="5:55" x14ac:dyDescent="0.3">
      <c r="E836" s="152">
        <v>45.65</v>
      </c>
      <c r="F836" s="153">
        <v>17</v>
      </c>
      <c r="G836" s="155" t="s">
        <v>873</v>
      </c>
      <c r="M836" s="136">
        <v>45.31</v>
      </c>
      <c r="N836" s="139">
        <v>2</v>
      </c>
      <c r="O836" s="138" t="s">
        <v>883</v>
      </c>
      <c r="U836" s="136">
        <v>45.54</v>
      </c>
      <c r="V836" s="139">
        <v>8</v>
      </c>
      <c r="W836" s="138">
        <v>25</v>
      </c>
      <c r="Y836" s="136">
        <v>45</v>
      </c>
      <c r="Z836" s="139">
        <v>1</v>
      </c>
      <c r="AA836" s="138" t="s">
        <v>883</v>
      </c>
      <c r="AC836" s="136">
        <v>45.55</v>
      </c>
      <c r="AD836" s="139">
        <v>11</v>
      </c>
      <c r="AE836" s="138">
        <v>63</v>
      </c>
      <c r="AG836" s="136">
        <v>45.62</v>
      </c>
      <c r="AH836" s="137">
        <v>3</v>
      </c>
      <c r="AI836" s="138">
        <v>1</v>
      </c>
      <c r="AK836" s="136">
        <v>45.44</v>
      </c>
      <c r="AL836" s="139">
        <v>11</v>
      </c>
      <c r="AM836" s="138">
        <v>63</v>
      </c>
      <c r="AS836" s="136">
        <v>45.36</v>
      </c>
      <c r="AT836" s="139">
        <v>2</v>
      </c>
      <c r="AU836" s="138" t="s">
        <v>883</v>
      </c>
      <c r="BA836" s="136">
        <v>46</v>
      </c>
      <c r="BB836" s="139">
        <v>1</v>
      </c>
      <c r="BC836" s="138" t="s">
        <v>883</v>
      </c>
    </row>
    <row r="837" spans="5:55" x14ac:dyDescent="0.3">
      <c r="E837" s="152">
        <v>45.66</v>
      </c>
      <c r="F837" s="153">
        <v>18</v>
      </c>
      <c r="G837" s="155" t="s">
        <v>874</v>
      </c>
      <c r="M837" s="136">
        <v>45.36</v>
      </c>
      <c r="N837" s="139">
        <v>3</v>
      </c>
      <c r="O837" s="138">
        <v>1</v>
      </c>
      <c r="U837" s="136">
        <v>45.56</v>
      </c>
      <c r="V837" s="139">
        <v>9</v>
      </c>
      <c r="W837" s="138">
        <v>37</v>
      </c>
      <c r="Y837" s="136">
        <v>45.32</v>
      </c>
      <c r="Z837" s="139">
        <v>2</v>
      </c>
      <c r="AA837" s="138" t="s">
        <v>883</v>
      </c>
      <c r="AC837" s="136">
        <v>45.57</v>
      </c>
      <c r="AD837" s="139">
        <v>12</v>
      </c>
      <c r="AE837" s="138">
        <v>75</v>
      </c>
      <c r="AG837" s="136">
        <v>45.65</v>
      </c>
      <c r="AH837" s="137">
        <v>4</v>
      </c>
      <c r="AI837" s="138">
        <v>2</v>
      </c>
      <c r="AK837" s="136">
        <v>45.45</v>
      </c>
      <c r="AL837" s="139">
        <v>12</v>
      </c>
      <c r="AM837" s="138">
        <v>75</v>
      </c>
      <c r="AS837" s="136">
        <v>45.39</v>
      </c>
      <c r="AT837" s="139">
        <v>3</v>
      </c>
      <c r="AU837" s="138">
        <v>1</v>
      </c>
      <c r="BA837" s="136">
        <v>46.19</v>
      </c>
      <c r="BB837" s="139">
        <v>2</v>
      </c>
      <c r="BC837" s="138" t="s">
        <v>883</v>
      </c>
    </row>
    <row r="838" spans="5:55" x14ac:dyDescent="0.3">
      <c r="E838" s="152">
        <v>45.68</v>
      </c>
      <c r="F838" s="153">
        <v>19</v>
      </c>
      <c r="G838" s="155" t="s">
        <v>874</v>
      </c>
      <c r="M838" s="136">
        <v>45.39</v>
      </c>
      <c r="N838" s="139">
        <v>4</v>
      </c>
      <c r="O838" s="138">
        <v>2</v>
      </c>
      <c r="U838" s="136">
        <v>45.59</v>
      </c>
      <c r="V838" s="139">
        <v>10</v>
      </c>
      <c r="W838" s="138">
        <v>50</v>
      </c>
      <c r="Y838" s="136">
        <v>45.34</v>
      </c>
      <c r="Z838" s="139">
        <v>3</v>
      </c>
      <c r="AA838" s="138">
        <v>1</v>
      </c>
      <c r="AC838" s="136">
        <v>45.59</v>
      </c>
      <c r="AD838" s="139">
        <v>13</v>
      </c>
      <c r="AE838" s="138">
        <v>85</v>
      </c>
      <c r="AG838" s="136">
        <v>45.67</v>
      </c>
      <c r="AH838" s="137">
        <v>5</v>
      </c>
      <c r="AI838" s="138">
        <v>5</v>
      </c>
      <c r="AK838" s="136">
        <v>45.47</v>
      </c>
      <c r="AL838" s="139">
        <v>13</v>
      </c>
      <c r="AM838" s="138">
        <v>85</v>
      </c>
      <c r="AS838" s="136">
        <v>45.41</v>
      </c>
      <c r="AT838" s="139">
        <v>4</v>
      </c>
      <c r="AU838" s="138">
        <v>2</v>
      </c>
      <c r="BA838" s="136">
        <v>46.22</v>
      </c>
      <c r="BB838" s="139">
        <v>3</v>
      </c>
      <c r="BC838" s="138">
        <v>1</v>
      </c>
    </row>
    <row r="839" spans="5:55" x14ac:dyDescent="0.3">
      <c r="E839" s="152">
        <v>46</v>
      </c>
      <c r="F839" s="153">
        <v>1</v>
      </c>
      <c r="G839" s="155" t="s">
        <v>862</v>
      </c>
      <c r="M839" s="136">
        <v>45.42</v>
      </c>
      <c r="N839" s="139">
        <v>5</v>
      </c>
      <c r="O839" s="138">
        <v>5</v>
      </c>
      <c r="U839" s="136">
        <v>45.61</v>
      </c>
      <c r="V839" s="139">
        <v>11</v>
      </c>
      <c r="W839" s="138">
        <v>63</v>
      </c>
      <c r="Y839" s="136">
        <v>45.35</v>
      </c>
      <c r="Z839" s="139">
        <v>4</v>
      </c>
      <c r="AA839" s="138">
        <v>2</v>
      </c>
      <c r="AC839" s="136">
        <v>45.61</v>
      </c>
      <c r="AD839" s="139">
        <v>14</v>
      </c>
      <c r="AE839" s="138">
        <v>91</v>
      </c>
      <c r="AG839" s="136">
        <v>45.69</v>
      </c>
      <c r="AH839" s="137">
        <v>6</v>
      </c>
      <c r="AI839" s="138">
        <v>9</v>
      </c>
      <c r="AK839" s="136">
        <v>45.49</v>
      </c>
      <c r="AL839" s="139">
        <v>14</v>
      </c>
      <c r="AM839" s="138">
        <v>91</v>
      </c>
      <c r="AS839" s="136">
        <v>45.42</v>
      </c>
      <c r="AT839" s="139">
        <v>5</v>
      </c>
      <c r="AU839" s="138">
        <v>5</v>
      </c>
      <c r="BA839" s="136">
        <v>46.24</v>
      </c>
      <c r="BB839" s="139">
        <v>4</v>
      </c>
      <c r="BC839" s="138">
        <v>2</v>
      </c>
    </row>
    <row r="840" spans="5:55" x14ac:dyDescent="0.3">
      <c r="E840" s="152">
        <v>46.36</v>
      </c>
      <c r="F840" s="153">
        <v>2</v>
      </c>
      <c r="G840" s="155" t="s">
        <v>862</v>
      </c>
      <c r="M840" s="136">
        <v>45.44</v>
      </c>
      <c r="N840" s="139">
        <v>6</v>
      </c>
      <c r="O840" s="138">
        <v>9</v>
      </c>
      <c r="U840" s="136">
        <v>45.63</v>
      </c>
      <c r="V840" s="139">
        <v>12</v>
      </c>
      <c r="W840" s="138">
        <v>75</v>
      </c>
      <c r="Y840" s="136">
        <v>45.37</v>
      </c>
      <c r="Z840" s="139">
        <v>5</v>
      </c>
      <c r="AA840" s="138">
        <v>5</v>
      </c>
      <c r="AC840" s="136">
        <v>45.64</v>
      </c>
      <c r="AD840" s="139">
        <v>15</v>
      </c>
      <c r="AE840" s="138">
        <v>95</v>
      </c>
      <c r="AG840" s="136">
        <v>45.7</v>
      </c>
      <c r="AH840" s="137">
        <v>7</v>
      </c>
      <c r="AI840" s="138">
        <v>16</v>
      </c>
      <c r="AK840" s="136">
        <v>45.5</v>
      </c>
      <c r="AL840" s="139">
        <v>15</v>
      </c>
      <c r="AM840" s="138">
        <v>95</v>
      </c>
      <c r="AS840" s="136">
        <v>45.43</v>
      </c>
      <c r="AT840" s="139">
        <v>6</v>
      </c>
      <c r="AU840" s="138">
        <v>9</v>
      </c>
      <c r="BA840" s="136">
        <v>46.26</v>
      </c>
      <c r="BB840" s="139">
        <v>5</v>
      </c>
      <c r="BC840" s="138">
        <v>5</v>
      </c>
    </row>
    <row r="841" spans="5:55" x14ac:dyDescent="0.3">
      <c r="E841" s="152">
        <v>46.43</v>
      </c>
      <c r="F841" s="153">
        <v>3</v>
      </c>
      <c r="G841" s="155" t="s">
        <v>876</v>
      </c>
      <c r="M841" s="136">
        <v>45.45</v>
      </c>
      <c r="N841" s="139">
        <v>7</v>
      </c>
      <c r="O841" s="138">
        <v>16</v>
      </c>
      <c r="U841" s="136">
        <v>45.65</v>
      </c>
      <c r="V841" s="139">
        <v>13</v>
      </c>
      <c r="W841" s="138">
        <v>85</v>
      </c>
      <c r="Y841" s="136">
        <v>45.4</v>
      </c>
      <c r="Z841" s="139">
        <v>6</v>
      </c>
      <c r="AA841" s="138">
        <v>9</v>
      </c>
      <c r="AC841" s="136">
        <v>45.66</v>
      </c>
      <c r="AD841" s="139">
        <v>16</v>
      </c>
      <c r="AE841" s="138">
        <v>98</v>
      </c>
      <c r="AG841" s="136">
        <v>45.71</v>
      </c>
      <c r="AH841" s="137">
        <v>8</v>
      </c>
      <c r="AI841" s="138">
        <v>25</v>
      </c>
      <c r="AK841" s="136">
        <v>45.51</v>
      </c>
      <c r="AL841" s="139">
        <v>16</v>
      </c>
      <c r="AM841" s="138">
        <v>98</v>
      </c>
      <c r="AS841" s="136">
        <v>45.44</v>
      </c>
      <c r="AT841" s="139">
        <v>7</v>
      </c>
      <c r="AU841" s="138">
        <v>16</v>
      </c>
      <c r="BA841" s="136">
        <v>46.28</v>
      </c>
      <c r="BB841" s="139">
        <v>6</v>
      </c>
      <c r="BC841" s="138">
        <v>9</v>
      </c>
    </row>
    <row r="842" spans="5:55" x14ac:dyDescent="0.3">
      <c r="E842" s="152">
        <v>46.46</v>
      </c>
      <c r="F842" s="153">
        <v>4</v>
      </c>
      <c r="G842" s="155" t="s">
        <v>863</v>
      </c>
      <c r="M842" s="136">
        <v>45.48</v>
      </c>
      <c r="N842" s="139">
        <v>8</v>
      </c>
      <c r="O842" s="138">
        <v>25</v>
      </c>
      <c r="U842" s="136">
        <v>45.67</v>
      </c>
      <c r="V842" s="139">
        <v>14</v>
      </c>
      <c r="W842" s="138">
        <v>91</v>
      </c>
      <c r="Y842" s="136">
        <v>45.42</v>
      </c>
      <c r="Z842" s="139">
        <v>7</v>
      </c>
      <c r="AA842" s="138">
        <v>16</v>
      </c>
      <c r="AC842" s="136">
        <v>45.68</v>
      </c>
      <c r="AD842" s="139">
        <v>17</v>
      </c>
      <c r="AE842" s="138">
        <v>99</v>
      </c>
      <c r="AG842" s="136">
        <v>45.73</v>
      </c>
      <c r="AH842" s="137">
        <v>9</v>
      </c>
      <c r="AI842" s="138">
        <v>37</v>
      </c>
      <c r="AK842" s="136">
        <v>45.52</v>
      </c>
      <c r="AL842" s="139">
        <v>17</v>
      </c>
      <c r="AM842" s="138">
        <v>99</v>
      </c>
      <c r="AS842" s="136">
        <v>45.45</v>
      </c>
      <c r="AT842" s="139">
        <v>8</v>
      </c>
      <c r="AU842" s="138">
        <v>25</v>
      </c>
      <c r="BA842" s="136">
        <v>46.3</v>
      </c>
      <c r="BB842" s="139">
        <v>7</v>
      </c>
      <c r="BC842" s="138">
        <v>16</v>
      </c>
    </row>
    <row r="843" spans="5:55" x14ac:dyDescent="0.3">
      <c r="E843" s="152">
        <v>46.48</v>
      </c>
      <c r="F843" s="153">
        <v>5</v>
      </c>
      <c r="G843" s="155" t="s">
        <v>877</v>
      </c>
      <c r="M843" s="136">
        <v>45.51</v>
      </c>
      <c r="N843" s="139">
        <v>9</v>
      </c>
      <c r="O843" s="138">
        <v>37</v>
      </c>
      <c r="U843" s="136">
        <v>45.7</v>
      </c>
      <c r="V843" s="139">
        <v>15</v>
      </c>
      <c r="W843" s="138">
        <v>95</v>
      </c>
      <c r="Y843" s="136">
        <v>45.44</v>
      </c>
      <c r="Z843" s="139">
        <v>8</v>
      </c>
      <c r="AA843" s="138">
        <v>25</v>
      </c>
      <c r="AC843" s="136">
        <v>45.71</v>
      </c>
      <c r="AD843" s="139">
        <v>18</v>
      </c>
      <c r="AE843" s="138" t="s">
        <v>884</v>
      </c>
      <c r="AG843" s="136">
        <v>45.74</v>
      </c>
      <c r="AH843" s="137">
        <v>10</v>
      </c>
      <c r="AI843" s="138">
        <v>50</v>
      </c>
      <c r="AK843" s="136">
        <v>45.53</v>
      </c>
      <c r="AL843" s="139">
        <v>18</v>
      </c>
      <c r="AM843" s="138" t="s">
        <v>884</v>
      </c>
      <c r="AS843" s="136">
        <v>45.46</v>
      </c>
      <c r="AT843" s="139">
        <v>9</v>
      </c>
      <c r="AU843" s="138">
        <v>37</v>
      </c>
      <c r="BA843" s="136">
        <v>46.32</v>
      </c>
      <c r="BB843" s="139">
        <v>8</v>
      </c>
      <c r="BC843" s="138">
        <v>25</v>
      </c>
    </row>
    <row r="844" spans="5:55" x14ac:dyDescent="0.3">
      <c r="E844" s="152">
        <v>46.5</v>
      </c>
      <c r="F844" s="153">
        <v>6</v>
      </c>
      <c r="G844" s="155" t="s">
        <v>864</v>
      </c>
      <c r="M844" s="136">
        <v>45.52</v>
      </c>
      <c r="N844" s="139">
        <v>10</v>
      </c>
      <c r="O844" s="138">
        <v>50</v>
      </c>
      <c r="U844" s="136">
        <v>45.72</v>
      </c>
      <c r="V844" s="139">
        <v>16</v>
      </c>
      <c r="W844" s="138">
        <v>98</v>
      </c>
      <c r="Y844" s="136">
        <v>45.46</v>
      </c>
      <c r="Z844" s="139">
        <v>9</v>
      </c>
      <c r="AA844" s="138">
        <v>37</v>
      </c>
      <c r="AC844" s="136">
        <v>45.75</v>
      </c>
      <c r="AD844" s="139">
        <v>19</v>
      </c>
      <c r="AE844" s="138" t="s">
        <v>884</v>
      </c>
      <c r="AG844" s="136">
        <v>45.75</v>
      </c>
      <c r="AH844" s="137">
        <v>11</v>
      </c>
      <c r="AI844" s="138">
        <v>63</v>
      </c>
      <c r="AK844" s="136">
        <v>45.54</v>
      </c>
      <c r="AL844" s="139">
        <v>19</v>
      </c>
      <c r="AM844" s="138" t="s">
        <v>884</v>
      </c>
      <c r="AS844" s="136">
        <v>45.47</v>
      </c>
      <c r="AT844" s="139">
        <v>10</v>
      </c>
      <c r="AU844" s="138">
        <v>50</v>
      </c>
      <c r="BA844" s="136">
        <v>46.34</v>
      </c>
      <c r="BB844" s="139">
        <v>9</v>
      </c>
      <c r="BC844" s="138">
        <v>37</v>
      </c>
    </row>
    <row r="845" spans="5:55" x14ac:dyDescent="0.3">
      <c r="E845" s="152">
        <v>46.52</v>
      </c>
      <c r="F845" s="153">
        <v>7</v>
      </c>
      <c r="G845" s="155" t="s">
        <v>878</v>
      </c>
      <c r="M845" s="136">
        <v>45.53</v>
      </c>
      <c r="N845" s="139">
        <v>11</v>
      </c>
      <c r="O845" s="138">
        <v>63</v>
      </c>
      <c r="U845" s="136">
        <v>45.74</v>
      </c>
      <c r="V845" s="139">
        <v>17</v>
      </c>
      <c r="W845" s="138">
        <v>99</v>
      </c>
      <c r="Y845" s="136">
        <v>45.47</v>
      </c>
      <c r="Z845" s="139">
        <v>10</v>
      </c>
      <c r="AA845" s="138">
        <v>50</v>
      </c>
      <c r="AC845" s="136">
        <v>46</v>
      </c>
      <c r="AD845" s="139">
        <v>1</v>
      </c>
      <c r="AE845" s="138" t="s">
        <v>883</v>
      </c>
      <c r="AG845" s="136">
        <v>45.76</v>
      </c>
      <c r="AH845" s="137">
        <v>12</v>
      </c>
      <c r="AI845" s="138">
        <v>75</v>
      </c>
      <c r="AK845" s="136">
        <v>46</v>
      </c>
      <c r="AL845" s="139">
        <v>1</v>
      </c>
      <c r="AM845" s="138" t="s">
        <v>883</v>
      </c>
      <c r="AS845" s="136">
        <v>45.48</v>
      </c>
      <c r="AT845" s="139">
        <v>11</v>
      </c>
      <c r="AU845" s="138">
        <v>63</v>
      </c>
      <c r="BA845" s="136">
        <v>46.36</v>
      </c>
      <c r="BB845" s="139">
        <v>10</v>
      </c>
      <c r="BC845" s="138">
        <v>50</v>
      </c>
    </row>
    <row r="846" spans="5:55" x14ac:dyDescent="0.3">
      <c r="E846" s="152">
        <v>46.54</v>
      </c>
      <c r="F846" s="153">
        <v>8</v>
      </c>
      <c r="G846" s="155" t="s">
        <v>865</v>
      </c>
      <c r="M846" s="136">
        <v>45.54</v>
      </c>
      <c r="N846" s="139">
        <v>12</v>
      </c>
      <c r="O846" s="138">
        <v>75</v>
      </c>
      <c r="U846" s="136">
        <v>45.76</v>
      </c>
      <c r="V846" s="139">
        <v>18</v>
      </c>
      <c r="W846" s="138" t="s">
        <v>884</v>
      </c>
      <c r="Y846" s="136">
        <v>45.49</v>
      </c>
      <c r="Z846" s="139">
        <v>11</v>
      </c>
      <c r="AA846" s="138">
        <v>63</v>
      </c>
      <c r="AC846" s="136">
        <v>46.34</v>
      </c>
      <c r="AD846" s="139">
        <v>2</v>
      </c>
      <c r="AE846" s="138" t="s">
        <v>883</v>
      </c>
      <c r="AG846" s="136">
        <v>45.78</v>
      </c>
      <c r="AH846" s="137">
        <v>13</v>
      </c>
      <c r="AI846" s="138">
        <v>85</v>
      </c>
      <c r="AK846" s="136">
        <v>46.29</v>
      </c>
      <c r="AL846" s="139">
        <v>2</v>
      </c>
      <c r="AM846" s="138" t="s">
        <v>883</v>
      </c>
      <c r="AS846" s="136">
        <v>45.49</v>
      </c>
      <c r="AT846" s="139">
        <v>12</v>
      </c>
      <c r="AU846" s="138">
        <v>75</v>
      </c>
      <c r="BA846" s="136">
        <v>46.38</v>
      </c>
      <c r="BB846" s="139">
        <v>11</v>
      </c>
      <c r="BC846" s="138">
        <v>63</v>
      </c>
    </row>
    <row r="847" spans="5:55" x14ac:dyDescent="0.3">
      <c r="E847" s="152">
        <v>46.56</v>
      </c>
      <c r="F847" s="153">
        <v>9</v>
      </c>
      <c r="G847" s="155" t="s">
        <v>879</v>
      </c>
      <c r="M847" s="136">
        <v>45.55</v>
      </c>
      <c r="N847" s="139">
        <v>13</v>
      </c>
      <c r="O847" s="138">
        <v>85</v>
      </c>
      <c r="U847" s="136">
        <v>45.78</v>
      </c>
      <c r="V847" s="139">
        <v>19</v>
      </c>
      <c r="W847" s="138" t="s">
        <v>884</v>
      </c>
      <c r="Y847" s="136">
        <v>45.5</v>
      </c>
      <c r="Z847" s="139">
        <v>12</v>
      </c>
      <c r="AA847" s="138">
        <v>75</v>
      </c>
      <c r="AC847" s="136">
        <v>46.36</v>
      </c>
      <c r="AD847" s="139">
        <v>3</v>
      </c>
      <c r="AE847" s="138">
        <v>1</v>
      </c>
      <c r="AG847" s="136">
        <v>45.79</v>
      </c>
      <c r="AH847" s="137">
        <v>14</v>
      </c>
      <c r="AI847" s="138">
        <v>91</v>
      </c>
      <c r="AK847" s="136">
        <v>46.31</v>
      </c>
      <c r="AL847" s="139">
        <v>3</v>
      </c>
      <c r="AM847" s="138">
        <v>1</v>
      </c>
      <c r="AS847" s="136">
        <v>45.5</v>
      </c>
      <c r="AT847" s="139">
        <v>13</v>
      </c>
      <c r="AU847" s="138">
        <v>85</v>
      </c>
      <c r="BA847" s="136">
        <v>46.4</v>
      </c>
      <c r="BB847" s="139">
        <v>12</v>
      </c>
      <c r="BC847" s="138">
        <v>75</v>
      </c>
    </row>
    <row r="848" spans="5:55" x14ac:dyDescent="0.3">
      <c r="E848" s="152">
        <v>46.58</v>
      </c>
      <c r="F848" s="153">
        <v>10</v>
      </c>
      <c r="G848" s="155" t="s">
        <v>866</v>
      </c>
      <c r="M848" s="136">
        <v>45.56</v>
      </c>
      <c r="N848" s="139">
        <v>14</v>
      </c>
      <c r="O848" s="138">
        <v>91</v>
      </c>
      <c r="U848" s="136">
        <v>46</v>
      </c>
      <c r="V848" s="139">
        <v>1</v>
      </c>
      <c r="W848" s="138" t="s">
        <v>883</v>
      </c>
      <c r="Y848" s="136">
        <v>45.52</v>
      </c>
      <c r="Z848" s="139">
        <v>13</v>
      </c>
      <c r="AA848" s="138">
        <v>85</v>
      </c>
      <c r="AC848" s="136">
        <v>46.39</v>
      </c>
      <c r="AD848" s="139">
        <v>4</v>
      </c>
      <c r="AE848" s="138">
        <v>2</v>
      </c>
      <c r="AG848" s="136">
        <v>45.8</v>
      </c>
      <c r="AH848" s="137">
        <v>15</v>
      </c>
      <c r="AI848" s="138">
        <v>95</v>
      </c>
      <c r="AK848" s="136">
        <v>46.32</v>
      </c>
      <c r="AL848" s="139">
        <v>4</v>
      </c>
      <c r="AM848" s="138">
        <v>2</v>
      </c>
      <c r="AS848" s="136">
        <v>45.51</v>
      </c>
      <c r="AT848" s="139">
        <v>14</v>
      </c>
      <c r="AU848" s="138">
        <v>91</v>
      </c>
      <c r="BA848" s="136">
        <v>46.43</v>
      </c>
      <c r="BB848" s="139">
        <v>13</v>
      </c>
      <c r="BC848" s="138">
        <v>85</v>
      </c>
    </row>
    <row r="849" spans="5:55" x14ac:dyDescent="0.3">
      <c r="E849" s="152">
        <v>46.59</v>
      </c>
      <c r="F849" s="153">
        <v>11</v>
      </c>
      <c r="G849" s="155" t="s">
        <v>867</v>
      </c>
      <c r="M849" s="136">
        <v>45.57</v>
      </c>
      <c r="N849" s="139">
        <v>15</v>
      </c>
      <c r="O849" s="138">
        <v>95</v>
      </c>
      <c r="U849" s="136">
        <v>46.29</v>
      </c>
      <c r="V849" s="139">
        <v>2</v>
      </c>
      <c r="W849" s="138" t="s">
        <v>883</v>
      </c>
      <c r="Y849" s="136">
        <v>45.54</v>
      </c>
      <c r="Z849" s="139">
        <v>14</v>
      </c>
      <c r="AA849" s="138">
        <v>91</v>
      </c>
      <c r="AC849" s="136">
        <v>46.41</v>
      </c>
      <c r="AD849" s="139">
        <v>5</v>
      </c>
      <c r="AE849" s="138">
        <v>5</v>
      </c>
      <c r="AG849" s="136">
        <v>45.82</v>
      </c>
      <c r="AH849" s="137">
        <v>16</v>
      </c>
      <c r="AI849" s="138">
        <v>98</v>
      </c>
      <c r="AK849" s="136">
        <v>46.34</v>
      </c>
      <c r="AL849" s="139">
        <v>5</v>
      </c>
      <c r="AM849" s="138">
        <v>5</v>
      </c>
      <c r="AS849" s="136">
        <v>45.52</v>
      </c>
      <c r="AT849" s="139">
        <v>15</v>
      </c>
      <c r="AU849" s="138">
        <v>95</v>
      </c>
      <c r="BA849" s="136">
        <v>46.45</v>
      </c>
      <c r="BB849" s="139">
        <v>14</v>
      </c>
      <c r="BC849" s="138">
        <v>91</v>
      </c>
    </row>
    <row r="850" spans="5:55" x14ac:dyDescent="0.3">
      <c r="E850" s="152">
        <v>46.6</v>
      </c>
      <c r="F850" s="153">
        <v>12</v>
      </c>
      <c r="G850" s="155" t="s">
        <v>868</v>
      </c>
      <c r="M850" s="136">
        <v>45.58</v>
      </c>
      <c r="N850" s="139">
        <v>16</v>
      </c>
      <c r="O850" s="138">
        <v>98</v>
      </c>
      <c r="U850" s="136">
        <v>46.38</v>
      </c>
      <c r="V850" s="139">
        <v>3</v>
      </c>
      <c r="W850" s="138">
        <v>1</v>
      </c>
      <c r="Y850" s="136">
        <v>45.55</v>
      </c>
      <c r="Z850" s="139">
        <v>15</v>
      </c>
      <c r="AA850" s="138">
        <v>95</v>
      </c>
      <c r="AC850" s="136">
        <v>46.43</v>
      </c>
      <c r="AD850" s="139">
        <v>6</v>
      </c>
      <c r="AE850" s="138">
        <v>9</v>
      </c>
      <c r="AG850" s="136">
        <v>45.83</v>
      </c>
      <c r="AH850" s="137">
        <v>17</v>
      </c>
      <c r="AI850" s="138">
        <v>99</v>
      </c>
      <c r="AK850" s="136">
        <v>46.37</v>
      </c>
      <c r="AL850" s="139">
        <v>6</v>
      </c>
      <c r="AM850" s="138">
        <v>9</v>
      </c>
      <c r="AS850" s="136">
        <v>45.53</v>
      </c>
      <c r="AT850" s="139">
        <v>16</v>
      </c>
      <c r="AU850" s="138">
        <v>98</v>
      </c>
      <c r="BA850" s="136">
        <v>46.48</v>
      </c>
      <c r="BB850" s="139">
        <v>15</v>
      </c>
      <c r="BC850" s="138">
        <v>95</v>
      </c>
    </row>
    <row r="851" spans="5:55" x14ac:dyDescent="0.3">
      <c r="E851" s="152">
        <v>46.61</v>
      </c>
      <c r="F851" s="153">
        <v>13</v>
      </c>
      <c r="G851" s="155" t="s">
        <v>869</v>
      </c>
      <c r="M851" s="136">
        <v>45.59</v>
      </c>
      <c r="N851" s="139">
        <v>17</v>
      </c>
      <c r="O851" s="138">
        <v>99</v>
      </c>
      <c r="U851" s="136">
        <v>46.43</v>
      </c>
      <c r="V851" s="139">
        <v>4</v>
      </c>
      <c r="W851" s="138">
        <v>2</v>
      </c>
      <c r="Y851" s="136">
        <v>45.57</v>
      </c>
      <c r="Z851" s="139">
        <v>16</v>
      </c>
      <c r="AA851" s="138">
        <v>98</v>
      </c>
      <c r="AC851" s="136">
        <v>46.45</v>
      </c>
      <c r="AD851" s="139">
        <v>7</v>
      </c>
      <c r="AE851" s="138">
        <v>16</v>
      </c>
      <c r="AG851" s="136">
        <v>45.84</v>
      </c>
      <c r="AH851" s="137">
        <v>18</v>
      </c>
      <c r="AI851" s="138" t="s">
        <v>884</v>
      </c>
      <c r="AK851" s="136">
        <v>46.39</v>
      </c>
      <c r="AL851" s="139">
        <v>7</v>
      </c>
      <c r="AM851" s="138">
        <v>16</v>
      </c>
      <c r="AS851" s="136">
        <v>45.54</v>
      </c>
      <c r="AT851" s="139">
        <v>17</v>
      </c>
      <c r="AU851" s="138">
        <v>99</v>
      </c>
      <c r="BA851" s="136">
        <v>46.51</v>
      </c>
      <c r="BB851" s="139">
        <v>16</v>
      </c>
      <c r="BC851" s="138">
        <v>98</v>
      </c>
    </row>
    <row r="852" spans="5:55" x14ac:dyDescent="0.3">
      <c r="E852" s="152">
        <v>46.62</v>
      </c>
      <c r="F852" s="153">
        <v>14</v>
      </c>
      <c r="G852" s="155" t="s">
        <v>870</v>
      </c>
      <c r="M852" s="136">
        <v>45.6</v>
      </c>
      <c r="N852" s="139">
        <v>19</v>
      </c>
      <c r="O852" s="138" t="s">
        <v>884</v>
      </c>
      <c r="U852" s="136">
        <v>46.46</v>
      </c>
      <c r="V852" s="139">
        <v>5</v>
      </c>
      <c r="W852" s="138">
        <v>5</v>
      </c>
      <c r="Y852" s="136">
        <v>45.59</v>
      </c>
      <c r="Z852" s="139">
        <v>17</v>
      </c>
      <c r="AA852" s="138">
        <v>99</v>
      </c>
      <c r="AC852" s="136">
        <v>46.48</v>
      </c>
      <c r="AD852" s="139">
        <v>8</v>
      </c>
      <c r="AE852" s="138">
        <v>25</v>
      </c>
      <c r="AG852" s="136">
        <v>45.86</v>
      </c>
      <c r="AH852" s="137">
        <v>19</v>
      </c>
      <c r="AI852" s="138" t="s">
        <v>884</v>
      </c>
      <c r="AK852" s="136">
        <v>46.41</v>
      </c>
      <c r="AL852" s="139">
        <v>8</v>
      </c>
      <c r="AM852" s="138">
        <v>25</v>
      </c>
      <c r="AS852" s="136">
        <v>45.55</v>
      </c>
      <c r="AT852" s="139">
        <v>18</v>
      </c>
      <c r="AU852" s="138" t="s">
        <v>884</v>
      </c>
      <c r="BA852" s="136">
        <v>46.53</v>
      </c>
      <c r="BB852" s="139">
        <v>17</v>
      </c>
      <c r="BC852" s="138">
        <v>99</v>
      </c>
    </row>
    <row r="853" spans="5:55" x14ac:dyDescent="0.3">
      <c r="E853" s="152">
        <v>46.63</v>
      </c>
      <c r="F853" s="153">
        <v>15</v>
      </c>
      <c r="G853" s="155" t="s">
        <v>871</v>
      </c>
      <c r="M853" s="136">
        <v>46</v>
      </c>
      <c r="N853" s="139">
        <v>1</v>
      </c>
      <c r="O853" s="138" t="s">
        <v>883</v>
      </c>
      <c r="U853" s="136">
        <v>46.49</v>
      </c>
      <c r="V853" s="139">
        <v>6</v>
      </c>
      <c r="W853" s="138">
        <v>9</v>
      </c>
      <c r="Y853" s="136">
        <v>45.6</v>
      </c>
      <c r="Z853" s="139">
        <v>18</v>
      </c>
      <c r="AA853" s="138" t="s">
        <v>884</v>
      </c>
      <c r="AC853" s="136">
        <v>46.5</v>
      </c>
      <c r="AD853" s="139">
        <v>9</v>
      </c>
      <c r="AE853" s="138">
        <v>37</v>
      </c>
      <c r="AG853" s="136">
        <v>46</v>
      </c>
      <c r="AH853" s="137">
        <v>1</v>
      </c>
      <c r="AI853" s="138" t="s">
        <v>883</v>
      </c>
      <c r="AK853" s="136">
        <v>46.42</v>
      </c>
      <c r="AL853" s="139">
        <v>9</v>
      </c>
      <c r="AM853" s="138">
        <v>37</v>
      </c>
      <c r="AS853" s="136">
        <v>45.56</v>
      </c>
      <c r="AT853" s="139">
        <v>19</v>
      </c>
      <c r="AU853" s="138" t="s">
        <v>884</v>
      </c>
      <c r="BA853" s="136">
        <v>46.55</v>
      </c>
      <c r="BB853" s="139">
        <v>18</v>
      </c>
      <c r="BC853" s="138" t="s">
        <v>884</v>
      </c>
    </row>
    <row r="854" spans="5:55" x14ac:dyDescent="0.3">
      <c r="E854" s="152">
        <v>46.64</v>
      </c>
      <c r="F854" s="153">
        <v>16</v>
      </c>
      <c r="G854" s="155" t="s">
        <v>872</v>
      </c>
      <c r="M854" s="136">
        <v>46.31</v>
      </c>
      <c r="N854" s="139">
        <v>2</v>
      </c>
      <c r="O854" s="138" t="s">
        <v>883</v>
      </c>
      <c r="U854" s="136">
        <v>46.51</v>
      </c>
      <c r="V854" s="139">
        <v>7</v>
      </c>
      <c r="W854" s="138">
        <v>16</v>
      </c>
      <c r="Y854" s="136">
        <v>45.62</v>
      </c>
      <c r="Z854" s="139">
        <v>19</v>
      </c>
      <c r="AA854" s="138" t="s">
        <v>884</v>
      </c>
      <c r="AC854" s="136">
        <v>46.52</v>
      </c>
      <c r="AD854" s="139">
        <v>10</v>
      </c>
      <c r="AE854" s="138">
        <v>50</v>
      </c>
      <c r="AG854" s="136">
        <v>46.56</v>
      </c>
      <c r="AH854" s="137">
        <v>2</v>
      </c>
      <c r="AI854" s="138" t="s">
        <v>883</v>
      </c>
      <c r="AK854" s="136">
        <v>46.43</v>
      </c>
      <c r="AL854" s="139">
        <v>10</v>
      </c>
      <c r="AM854" s="138">
        <v>50</v>
      </c>
      <c r="AS854" s="136">
        <v>46</v>
      </c>
      <c r="AT854" s="139">
        <v>1</v>
      </c>
      <c r="AU854" s="138" t="s">
        <v>883</v>
      </c>
      <c r="BA854" s="136">
        <v>46.6</v>
      </c>
      <c r="BB854" s="139">
        <v>19</v>
      </c>
      <c r="BC854" s="138" t="s">
        <v>884</v>
      </c>
    </row>
    <row r="855" spans="5:55" x14ac:dyDescent="0.3">
      <c r="E855" s="152">
        <v>46.65</v>
      </c>
      <c r="F855" s="153">
        <v>17</v>
      </c>
      <c r="G855" s="155" t="s">
        <v>873</v>
      </c>
      <c r="M855" s="136">
        <v>46.36</v>
      </c>
      <c r="N855" s="139">
        <v>3</v>
      </c>
      <c r="O855" s="138">
        <v>1</v>
      </c>
      <c r="U855" s="136">
        <v>46.54</v>
      </c>
      <c r="V855" s="139">
        <v>8</v>
      </c>
      <c r="W855" s="138">
        <v>25</v>
      </c>
      <c r="Y855" s="136">
        <v>46</v>
      </c>
      <c r="Z855" s="139">
        <v>1</v>
      </c>
      <c r="AA855" s="138" t="s">
        <v>883</v>
      </c>
      <c r="AC855" s="136">
        <v>46.55</v>
      </c>
      <c r="AD855" s="139">
        <v>11</v>
      </c>
      <c r="AE855" s="138">
        <v>63</v>
      </c>
      <c r="AG855" s="136">
        <v>46.62</v>
      </c>
      <c r="AH855" s="137">
        <v>3</v>
      </c>
      <c r="AI855" s="138">
        <v>1</v>
      </c>
      <c r="AK855" s="136">
        <v>46.44</v>
      </c>
      <c r="AL855" s="139">
        <v>11</v>
      </c>
      <c r="AM855" s="138">
        <v>63</v>
      </c>
      <c r="AS855" s="136">
        <v>46.35</v>
      </c>
      <c r="AT855" s="139">
        <v>2</v>
      </c>
      <c r="AU855" s="138" t="s">
        <v>883</v>
      </c>
      <c r="BA855" s="136">
        <v>47</v>
      </c>
      <c r="BB855" s="139">
        <v>1</v>
      </c>
      <c r="BC855" s="138" t="s">
        <v>883</v>
      </c>
    </row>
    <row r="856" spans="5:55" x14ac:dyDescent="0.3">
      <c r="E856" s="152">
        <v>46.66</v>
      </c>
      <c r="F856" s="153">
        <v>18</v>
      </c>
      <c r="G856" s="155" t="s">
        <v>874</v>
      </c>
      <c r="M856" s="136">
        <v>46.39</v>
      </c>
      <c r="N856" s="139">
        <v>4</v>
      </c>
      <c r="O856" s="138">
        <v>2</v>
      </c>
      <c r="U856" s="136">
        <v>46.56</v>
      </c>
      <c r="V856" s="139">
        <v>9</v>
      </c>
      <c r="W856" s="138">
        <v>37</v>
      </c>
      <c r="Y856" s="136">
        <v>46.32</v>
      </c>
      <c r="Z856" s="139">
        <v>2</v>
      </c>
      <c r="AA856" s="138" t="s">
        <v>883</v>
      </c>
      <c r="AC856" s="136">
        <v>46.57</v>
      </c>
      <c r="AD856" s="139">
        <v>12</v>
      </c>
      <c r="AE856" s="138">
        <v>75</v>
      </c>
      <c r="AG856" s="136">
        <v>46.65</v>
      </c>
      <c r="AH856" s="137">
        <v>4</v>
      </c>
      <c r="AI856" s="138">
        <v>2</v>
      </c>
      <c r="AK856" s="136">
        <v>46.45</v>
      </c>
      <c r="AL856" s="139">
        <v>12</v>
      </c>
      <c r="AM856" s="138">
        <v>75</v>
      </c>
      <c r="AS856" s="136">
        <v>46.39</v>
      </c>
      <c r="AT856" s="139">
        <v>3</v>
      </c>
      <c r="AU856" s="138">
        <v>1</v>
      </c>
      <c r="BA856" s="136">
        <v>47.19</v>
      </c>
      <c r="BB856" s="139">
        <v>2</v>
      </c>
      <c r="BC856" s="138" t="s">
        <v>883</v>
      </c>
    </row>
    <row r="857" spans="5:55" x14ac:dyDescent="0.3">
      <c r="E857" s="152">
        <v>46.68</v>
      </c>
      <c r="F857" s="153">
        <v>19</v>
      </c>
      <c r="G857" s="155" t="s">
        <v>874</v>
      </c>
      <c r="M857" s="136">
        <v>46.42</v>
      </c>
      <c r="N857" s="139">
        <v>5</v>
      </c>
      <c r="O857" s="138">
        <v>5</v>
      </c>
      <c r="U857" s="136">
        <v>46.59</v>
      </c>
      <c r="V857" s="139">
        <v>10</v>
      </c>
      <c r="W857" s="138">
        <v>50</v>
      </c>
      <c r="Y857" s="136">
        <v>46.34</v>
      </c>
      <c r="Z857" s="139">
        <v>3</v>
      </c>
      <c r="AA857" s="138">
        <v>1</v>
      </c>
      <c r="AC857" s="136">
        <v>46.59</v>
      </c>
      <c r="AD857" s="139">
        <v>13</v>
      </c>
      <c r="AE857" s="138">
        <v>85</v>
      </c>
      <c r="AG857" s="136">
        <v>46.67</v>
      </c>
      <c r="AH857" s="137">
        <v>5</v>
      </c>
      <c r="AI857" s="138">
        <v>5</v>
      </c>
      <c r="AK857" s="136">
        <v>46.47</v>
      </c>
      <c r="AL857" s="139">
        <v>13</v>
      </c>
      <c r="AM857" s="138">
        <v>85</v>
      </c>
      <c r="AS857" s="136">
        <v>46.41</v>
      </c>
      <c r="AT857" s="139">
        <v>4</v>
      </c>
      <c r="AU857" s="138">
        <v>2</v>
      </c>
      <c r="BA857" s="136">
        <v>47.22</v>
      </c>
      <c r="BB857" s="139">
        <v>3</v>
      </c>
      <c r="BC857" s="138">
        <v>1</v>
      </c>
    </row>
    <row r="858" spans="5:55" x14ac:dyDescent="0.3">
      <c r="E858" s="152">
        <v>47</v>
      </c>
      <c r="F858" s="153">
        <v>1</v>
      </c>
      <c r="G858" s="155" t="s">
        <v>862</v>
      </c>
      <c r="M858" s="136">
        <v>46.44</v>
      </c>
      <c r="N858" s="139">
        <v>6</v>
      </c>
      <c r="O858" s="138">
        <v>9</v>
      </c>
      <c r="U858" s="136">
        <v>46.61</v>
      </c>
      <c r="V858" s="139">
        <v>11</v>
      </c>
      <c r="W858" s="138">
        <v>63</v>
      </c>
      <c r="Y858" s="136">
        <v>46.35</v>
      </c>
      <c r="Z858" s="139">
        <v>4</v>
      </c>
      <c r="AA858" s="138">
        <v>2</v>
      </c>
      <c r="AC858" s="136">
        <v>46.61</v>
      </c>
      <c r="AD858" s="139">
        <v>14</v>
      </c>
      <c r="AE858" s="138">
        <v>91</v>
      </c>
      <c r="AG858" s="136">
        <v>46.69</v>
      </c>
      <c r="AH858" s="137">
        <v>6</v>
      </c>
      <c r="AI858" s="138">
        <v>9</v>
      </c>
      <c r="AK858" s="136">
        <v>46.49</v>
      </c>
      <c r="AL858" s="139">
        <v>14</v>
      </c>
      <c r="AM858" s="138">
        <v>91</v>
      </c>
      <c r="AS858" s="136">
        <v>46.42</v>
      </c>
      <c r="AT858" s="139">
        <v>5</v>
      </c>
      <c r="AU858" s="138">
        <v>5</v>
      </c>
      <c r="BA858" s="136">
        <v>47.24</v>
      </c>
      <c r="BB858" s="139">
        <v>4</v>
      </c>
      <c r="BC858" s="138">
        <v>2</v>
      </c>
    </row>
    <row r="859" spans="5:55" x14ac:dyDescent="0.3">
      <c r="E859" s="152">
        <v>47.36</v>
      </c>
      <c r="F859" s="153">
        <v>2</v>
      </c>
      <c r="G859" s="155" t="s">
        <v>862</v>
      </c>
      <c r="M859" s="136">
        <v>46.45</v>
      </c>
      <c r="N859" s="139">
        <v>7</v>
      </c>
      <c r="O859" s="138">
        <v>16</v>
      </c>
      <c r="U859" s="136">
        <v>46.63</v>
      </c>
      <c r="V859" s="139">
        <v>12</v>
      </c>
      <c r="W859" s="138">
        <v>75</v>
      </c>
      <c r="Y859" s="136">
        <v>46.37</v>
      </c>
      <c r="Z859" s="139">
        <v>5</v>
      </c>
      <c r="AA859" s="138">
        <v>5</v>
      </c>
      <c r="AC859" s="136">
        <v>46.64</v>
      </c>
      <c r="AD859" s="139">
        <v>15</v>
      </c>
      <c r="AE859" s="138">
        <v>95</v>
      </c>
      <c r="AG859" s="136">
        <v>46.71</v>
      </c>
      <c r="AH859" s="137">
        <v>7</v>
      </c>
      <c r="AI859" s="138">
        <v>16</v>
      </c>
      <c r="AK859" s="136">
        <v>46.5</v>
      </c>
      <c r="AL859" s="139">
        <v>15</v>
      </c>
      <c r="AM859" s="138">
        <v>95</v>
      </c>
      <c r="AS859" s="136">
        <v>46.43</v>
      </c>
      <c r="AT859" s="139">
        <v>6</v>
      </c>
      <c r="AU859" s="138">
        <v>9</v>
      </c>
      <c r="BA859" s="136">
        <v>47.26</v>
      </c>
      <c r="BB859" s="139">
        <v>5</v>
      </c>
      <c r="BC859" s="138">
        <v>5</v>
      </c>
    </row>
    <row r="860" spans="5:55" x14ac:dyDescent="0.3">
      <c r="E860" s="152">
        <v>47.43</v>
      </c>
      <c r="F860" s="153">
        <v>3</v>
      </c>
      <c r="G860" s="155" t="s">
        <v>876</v>
      </c>
      <c r="M860" s="136">
        <v>46.48</v>
      </c>
      <c r="N860" s="139">
        <v>8</v>
      </c>
      <c r="O860" s="138">
        <v>25</v>
      </c>
      <c r="U860" s="136">
        <v>46.65</v>
      </c>
      <c r="V860" s="139">
        <v>13</v>
      </c>
      <c r="W860" s="138">
        <v>85</v>
      </c>
      <c r="Y860" s="136">
        <v>46.4</v>
      </c>
      <c r="Z860" s="139">
        <v>6</v>
      </c>
      <c r="AA860" s="138">
        <v>9</v>
      </c>
      <c r="AC860" s="136">
        <v>46.66</v>
      </c>
      <c r="AD860" s="139">
        <v>16</v>
      </c>
      <c r="AE860" s="138">
        <v>98</v>
      </c>
      <c r="AG860" s="136">
        <v>46.72</v>
      </c>
      <c r="AH860" s="137">
        <v>8</v>
      </c>
      <c r="AI860" s="138">
        <v>25</v>
      </c>
      <c r="AK860" s="136">
        <v>46.51</v>
      </c>
      <c r="AL860" s="139">
        <v>16</v>
      </c>
      <c r="AM860" s="138">
        <v>98</v>
      </c>
      <c r="AS860" s="136">
        <v>46.44</v>
      </c>
      <c r="AT860" s="139">
        <v>7</v>
      </c>
      <c r="AU860" s="138">
        <v>16</v>
      </c>
      <c r="BA860" s="136">
        <v>47.28</v>
      </c>
      <c r="BB860" s="139">
        <v>6</v>
      </c>
      <c r="BC860" s="138">
        <v>9</v>
      </c>
    </row>
    <row r="861" spans="5:55" x14ac:dyDescent="0.3">
      <c r="E861" s="152">
        <v>47.46</v>
      </c>
      <c r="F861" s="153">
        <v>4</v>
      </c>
      <c r="G861" s="155" t="s">
        <v>863</v>
      </c>
      <c r="M861" s="136">
        <v>46.51</v>
      </c>
      <c r="N861" s="139">
        <v>9</v>
      </c>
      <c r="O861" s="138">
        <v>37</v>
      </c>
      <c r="U861" s="136">
        <v>46.67</v>
      </c>
      <c r="V861" s="139">
        <v>14</v>
      </c>
      <c r="W861" s="138">
        <v>91</v>
      </c>
      <c r="Y861" s="136">
        <v>46.42</v>
      </c>
      <c r="Z861" s="139">
        <v>7</v>
      </c>
      <c r="AA861" s="138">
        <v>16</v>
      </c>
      <c r="AC861" s="136">
        <v>46.68</v>
      </c>
      <c r="AD861" s="139">
        <v>17</v>
      </c>
      <c r="AE861" s="138">
        <v>99</v>
      </c>
      <c r="AG861" s="136">
        <v>46.73</v>
      </c>
      <c r="AH861" s="137">
        <v>9</v>
      </c>
      <c r="AI861" s="138">
        <v>37</v>
      </c>
      <c r="AK861" s="136">
        <v>46.52</v>
      </c>
      <c r="AL861" s="139">
        <v>17</v>
      </c>
      <c r="AM861" s="138">
        <v>99</v>
      </c>
      <c r="AS861" s="136">
        <v>46.45</v>
      </c>
      <c r="AT861" s="139">
        <v>8</v>
      </c>
      <c r="AU861" s="138">
        <v>25</v>
      </c>
      <c r="BA861" s="136">
        <v>47.3</v>
      </c>
      <c r="BB861" s="139">
        <v>7</v>
      </c>
      <c r="BC861" s="138">
        <v>16</v>
      </c>
    </row>
    <row r="862" spans="5:55" x14ac:dyDescent="0.3">
      <c r="E862" s="152">
        <v>47.48</v>
      </c>
      <c r="F862" s="153">
        <v>5</v>
      </c>
      <c r="G862" s="155" t="s">
        <v>877</v>
      </c>
      <c r="M862" s="136">
        <v>46.52</v>
      </c>
      <c r="N862" s="139">
        <v>10</v>
      </c>
      <c r="O862" s="138">
        <v>50</v>
      </c>
      <c r="U862" s="136">
        <v>46.7</v>
      </c>
      <c r="V862" s="139">
        <v>15</v>
      </c>
      <c r="W862" s="138">
        <v>95</v>
      </c>
      <c r="Y862" s="136">
        <v>46.44</v>
      </c>
      <c r="Z862" s="139">
        <v>8</v>
      </c>
      <c r="AA862" s="138">
        <v>25</v>
      </c>
      <c r="AC862" s="136">
        <v>46.71</v>
      </c>
      <c r="AD862" s="139">
        <v>18</v>
      </c>
      <c r="AE862" s="138" t="s">
        <v>884</v>
      </c>
      <c r="AG862" s="136">
        <v>46.74</v>
      </c>
      <c r="AH862" s="137">
        <v>10</v>
      </c>
      <c r="AI862" s="138">
        <v>50</v>
      </c>
      <c r="AK862" s="136">
        <v>46.53</v>
      </c>
      <c r="AL862" s="139">
        <v>18</v>
      </c>
      <c r="AM862" s="138" t="s">
        <v>884</v>
      </c>
      <c r="AS862" s="136">
        <v>46.46</v>
      </c>
      <c r="AT862" s="139">
        <v>9</v>
      </c>
      <c r="AU862" s="138">
        <v>37</v>
      </c>
      <c r="BA862" s="136">
        <v>47.32</v>
      </c>
      <c r="BB862" s="139">
        <v>8</v>
      </c>
      <c r="BC862" s="138">
        <v>25</v>
      </c>
    </row>
    <row r="863" spans="5:55" x14ac:dyDescent="0.3">
      <c r="E863" s="152">
        <v>47.5</v>
      </c>
      <c r="F863" s="153">
        <v>6</v>
      </c>
      <c r="G863" s="155" t="s">
        <v>864</v>
      </c>
      <c r="M863" s="136">
        <v>46.53</v>
      </c>
      <c r="N863" s="139">
        <v>11</v>
      </c>
      <c r="O863" s="138">
        <v>63</v>
      </c>
      <c r="U863" s="136">
        <v>46.72</v>
      </c>
      <c r="V863" s="139">
        <v>16</v>
      </c>
      <c r="W863" s="138">
        <v>98</v>
      </c>
      <c r="Y863" s="136">
        <v>46.46</v>
      </c>
      <c r="Z863" s="139">
        <v>9</v>
      </c>
      <c r="AA863" s="138">
        <v>37</v>
      </c>
      <c r="AC863" s="136">
        <v>46.75</v>
      </c>
      <c r="AD863" s="139">
        <v>19</v>
      </c>
      <c r="AE863" s="138" t="s">
        <v>884</v>
      </c>
      <c r="AG863" s="136">
        <v>46.75</v>
      </c>
      <c r="AH863" s="137">
        <v>11</v>
      </c>
      <c r="AI863" s="138">
        <v>63</v>
      </c>
      <c r="AK863" s="136">
        <v>46.54</v>
      </c>
      <c r="AL863" s="139">
        <v>19</v>
      </c>
      <c r="AM863" s="138" t="s">
        <v>884</v>
      </c>
      <c r="AS863" s="136">
        <v>46.47</v>
      </c>
      <c r="AT863" s="139">
        <v>10</v>
      </c>
      <c r="AU863" s="138">
        <v>50</v>
      </c>
      <c r="BA863" s="136">
        <v>47.34</v>
      </c>
      <c r="BB863" s="139">
        <v>9</v>
      </c>
      <c r="BC863" s="138">
        <v>37</v>
      </c>
    </row>
    <row r="864" spans="5:55" x14ac:dyDescent="0.3">
      <c r="E864" s="152">
        <v>47.52</v>
      </c>
      <c r="F864" s="153">
        <v>7</v>
      </c>
      <c r="G864" s="155" t="s">
        <v>878</v>
      </c>
      <c r="M864" s="136">
        <v>46.54</v>
      </c>
      <c r="N864" s="139">
        <v>12</v>
      </c>
      <c r="O864" s="138">
        <v>75</v>
      </c>
      <c r="U864" s="136">
        <v>46.74</v>
      </c>
      <c r="V864" s="139">
        <v>17</v>
      </c>
      <c r="W864" s="138">
        <v>99</v>
      </c>
      <c r="Y864" s="136">
        <v>46.47</v>
      </c>
      <c r="Z864" s="139">
        <v>10</v>
      </c>
      <c r="AA864" s="138">
        <v>50</v>
      </c>
      <c r="AC864" s="136">
        <v>47</v>
      </c>
      <c r="AD864" s="139">
        <v>1</v>
      </c>
      <c r="AE864" s="138" t="s">
        <v>883</v>
      </c>
      <c r="AG864" s="136">
        <v>46.76</v>
      </c>
      <c r="AH864" s="137">
        <v>12</v>
      </c>
      <c r="AI864" s="138">
        <v>75</v>
      </c>
      <c r="AK864" s="136">
        <v>47</v>
      </c>
      <c r="AL864" s="139">
        <v>1</v>
      </c>
      <c r="AM864" s="138" t="s">
        <v>883</v>
      </c>
      <c r="AS864" s="136">
        <v>46.48</v>
      </c>
      <c r="AT864" s="139">
        <v>11</v>
      </c>
      <c r="AU864" s="138">
        <v>63</v>
      </c>
      <c r="BA864" s="136">
        <v>47.36</v>
      </c>
      <c r="BB864" s="139">
        <v>10</v>
      </c>
      <c r="BC864" s="138">
        <v>50</v>
      </c>
    </row>
    <row r="865" spans="5:55" x14ac:dyDescent="0.3">
      <c r="E865" s="152">
        <v>47.54</v>
      </c>
      <c r="F865" s="153">
        <v>8</v>
      </c>
      <c r="G865" s="155" t="s">
        <v>865</v>
      </c>
      <c r="M865" s="136">
        <v>46.55</v>
      </c>
      <c r="N865" s="139">
        <v>13</v>
      </c>
      <c r="O865" s="138">
        <v>85</v>
      </c>
      <c r="U865" s="136">
        <v>46.76</v>
      </c>
      <c r="V865" s="139">
        <v>18</v>
      </c>
      <c r="W865" s="138" t="s">
        <v>884</v>
      </c>
      <c r="Y865" s="136">
        <v>46.49</v>
      </c>
      <c r="Z865" s="139">
        <v>11</v>
      </c>
      <c r="AA865" s="138">
        <v>63</v>
      </c>
      <c r="AC865" s="136">
        <v>47.34</v>
      </c>
      <c r="AD865" s="139">
        <v>2</v>
      </c>
      <c r="AE865" s="138" t="s">
        <v>883</v>
      </c>
      <c r="AG865" s="136">
        <v>46.78</v>
      </c>
      <c r="AH865" s="137">
        <v>13</v>
      </c>
      <c r="AI865" s="138">
        <v>85</v>
      </c>
      <c r="AK865" s="136">
        <v>47.29</v>
      </c>
      <c r="AL865" s="139">
        <v>2</v>
      </c>
      <c r="AM865" s="138" t="s">
        <v>883</v>
      </c>
      <c r="AS865" s="136">
        <v>46.49</v>
      </c>
      <c r="AT865" s="139">
        <v>12</v>
      </c>
      <c r="AU865" s="138">
        <v>75</v>
      </c>
      <c r="BA865" s="136">
        <v>47.38</v>
      </c>
      <c r="BB865" s="139">
        <v>11</v>
      </c>
      <c r="BC865" s="138">
        <v>63</v>
      </c>
    </row>
    <row r="866" spans="5:55" x14ac:dyDescent="0.3">
      <c r="E866" s="152">
        <v>47.56</v>
      </c>
      <c r="F866" s="153">
        <v>9</v>
      </c>
      <c r="G866" s="155" t="s">
        <v>879</v>
      </c>
      <c r="M866" s="136">
        <v>46.56</v>
      </c>
      <c r="N866" s="139">
        <v>14</v>
      </c>
      <c r="O866" s="138">
        <v>91</v>
      </c>
      <c r="U866" s="136">
        <v>46.78</v>
      </c>
      <c r="V866" s="139">
        <v>19</v>
      </c>
      <c r="W866" s="138" t="s">
        <v>884</v>
      </c>
      <c r="Y866" s="136">
        <v>46.5</v>
      </c>
      <c r="Z866" s="139">
        <v>12</v>
      </c>
      <c r="AA866" s="138">
        <v>75</v>
      </c>
      <c r="AC866" s="136">
        <v>47.36</v>
      </c>
      <c r="AD866" s="139">
        <v>3</v>
      </c>
      <c r="AE866" s="138">
        <v>1</v>
      </c>
      <c r="AG866" s="136">
        <v>46.79</v>
      </c>
      <c r="AH866" s="137">
        <v>14</v>
      </c>
      <c r="AI866" s="138">
        <v>91</v>
      </c>
      <c r="AK866" s="136">
        <v>47.31</v>
      </c>
      <c r="AL866" s="139">
        <v>3</v>
      </c>
      <c r="AM866" s="138">
        <v>1</v>
      </c>
      <c r="AS866" s="136">
        <v>46.5</v>
      </c>
      <c r="AT866" s="139">
        <v>13</v>
      </c>
      <c r="AU866" s="138">
        <v>85</v>
      </c>
      <c r="BA866" s="136">
        <v>47.4</v>
      </c>
      <c r="BB866" s="139">
        <v>12</v>
      </c>
      <c r="BC866" s="138">
        <v>75</v>
      </c>
    </row>
    <row r="867" spans="5:55" x14ac:dyDescent="0.3">
      <c r="E867" s="152">
        <v>47.58</v>
      </c>
      <c r="F867" s="153">
        <v>10</v>
      </c>
      <c r="G867" s="155" t="s">
        <v>866</v>
      </c>
      <c r="M867" s="136">
        <v>46.57</v>
      </c>
      <c r="N867" s="139">
        <v>15</v>
      </c>
      <c r="O867" s="138">
        <v>95</v>
      </c>
      <c r="U867" s="136">
        <v>47</v>
      </c>
      <c r="V867" s="139">
        <v>1</v>
      </c>
      <c r="W867" s="138" t="s">
        <v>883</v>
      </c>
      <c r="Y867" s="136">
        <v>46.52</v>
      </c>
      <c r="Z867" s="139">
        <v>13</v>
      </c>
      <c r="AA867" s="138">
        <v>85</v>
      </c>
      <c r="AC867" s="136">
        <v>47.39</v>
      </c>
      <c r="AD867" s="139">
        <v>4</v>
      </c>
      <c r="AE867" s="138">
        <v>2</v>
      </c>
      <c r="AG867" s="136">
        <v>46.8</v>
      </c>
      <c r="AH867" s="137">
        <v>15</v>
      </c>
      <c r="AI867" s="138">
        <v>95</v>
      </c>
      <c r="AK867" s="136">
        <v>47.32</v>
      </c>
      <c r="AL867" s="139">
        <v>4</v>
      </c>
      <c r="AM867" s="138">
        <v>2</v>
      </c>
      <c r="AS867" s="136">
        <v>46.51</v>
      </c>
      <c r="AT867" s="139">
        <v>14</v>
      </c>
      <c r="AU867" s="138">
        <v>91</v>
      </c>
      <c r="BA867" s="136">
        <v>47.43</v>
      </c>
      <c r="BB867" s="139">
        <v>13</v>
      </c>
      <c r="BC867" s="138">
        <v>85</v>
      </c>
    </row>
    <row r="868" spans="5:55" x14ac:dyDescent="0.3">
      <c r="E868" s="152">
        <v>47.59</v>
      </c>
      <c r="F868" s="153">
        <v>11</v>
      </c>
      <c r="G868" s="155" t="s">
        <v>867</v>
      </c>
      <c r="M868" s="136">
        <v>46.58</v>
      </c>
      <c r="N868" s="139">
        <v>16</v>
      </c>
      <c r="O868" s="138">
        <v>98</v>
      </c>
      <c r="U868" s="136">
        <v>47.29</v>
      </c>
      <c r="V868" s="139">
        <v>2</v>
      </c>
      <c r="W868" s="138" t="s">
        <v>883</v>
      </c>
      <c r="Y868" s="136">
        <v>46.54</v>
      </c>
      <c r="Z868" s="139">
        <v>14</v>
      </c>
      <c r="AA868" s="138">
        <v>91</v>
      </c>
      <c r="AC868" s="136">
        <v>47.41</v>
      </c>
      <c r="AD868" s="139">
        <v>5</v>
      </c>
      <c r="AE868" s="138">
        <v>5</v>
      </c>
      <c r="AG868" s="136">
        <v>46.82</v>
      </c>
      <c r="AH868" s="137">
        <v>16</v>
      </c>
      <c r="AI868" s="138">
        <v>98</v>
      </c>
      <c r="AK868" s="136">
        <v>47.34</v>
      </c>
      <c r="AL868" s="139">
        <v>5</v>
      </c>
      <c r="AM868" s="138">
        <v>5</v>
      </c>
      <c r="AS868" s="136">
        <v>46.52</v>
      </c>
      <c r="AT868" s="139">
        <v>15</v>
      </c>
      <c r="AU868" s="138">
        <v>95</v>
      </c>
      <c r="BA868" s="136">
        <v>47.45</v>
      </c>
      <c r="BB868" s="139">
        <v>14</v>
      </c>
      <c r="BC868" s="138">
        <v>91</v>
      </c>
    </row>
    <row r="869" spans="5:55" x14ac:dyDescent="0.3">
      <c r="E869" s="152">
        <v>47.6</v>
      </c>
      <c r="F869" s="153">
        <v>12</v>
      </c>
      <c r="G869" s="155" t="s">
        <v>868</v>
      </c>
      <c r="M869" s="136">
        <v>46.59</v>
      </c>
      <c r="N869" s="139">
        <v>17</v>
      </c>
      <c r="O869" s="138">
        <v>99</v>
      </c>
      <c r="U869" s="136">
        <v>47.38</v>
      </c>
      <c r="V869" s="139">
        <v>3</v>
      </c>
      <c r="W869" s="138">
        <v>1</v>
      </c>
      <c r="Y869" s="136">
        <v>46.55</v>
      </c>
      <c r="Z869" s="139">
        <v>15</v>
      </c>
      <c r="AA869" s="138">
        <v>95</v>
      </c>
      <c r="AC869" s="136">
        <v>47.43</v>
      </c>
      <c r="AD869" s="139">
        <v>6</v>
      </c>
      <c r="AE869" s="138">
        <v>9</v>
      </c>
      <c r="AG869" s="136">
        <v>46.83</v>
      </c>
      <c r="AH869" s="137">
        <v>17</v>
      </c>
      <c r="AI869" s="138">
        <v>99</v>
      </c>
      <c r="AK869" s="136">
        <v>47.37</v>
      </c>
      <c r="AL869" s="139">
        <v>6</v>
      </c>
      <c r="AM869" s="138">
        <v>9</v>
      </c>
      <c r="AS869" s="136">
        <v>46.53</v>
      </c>
      <c r="AT869" s="139">
        <v>16</v>
      </c>
      <c r="AU869" s="138">
        <v>98</v>
      </c>
      <c r="BA869" s="136">
        <v>47.48</v>
      </c>
      <c r="BB869" s="139">
        <v>15</v>
      </c>
      <c r="BC869" s="138">
        <v>95</v>
      </c>
    </row>
    <row r="870" spans="5:55" x14ac:dyDescent="0.3">
      <c r="E870" s="152">
        <v>47.61</v>
      </c>
      <c r="F870" s="153">
        <v>13</v>
      </c>
      <c r="G870" s="155" t="s">
        <v>869</v>
      </c>
      <c r="M870" s="136">
        <v>46.6</v>
      </c>
      <c r="N870" s="139">
        <v>19</v>
      </c>
      <c r="O870" s="138" t="s">
        <v>884</v>
      </c>
      <c r="U870" s="136">
        <v>47.43</v>
      </c>
      <c r="V870" s="139">
        <v>4</v>
      </c>
      <c r="W870" s="138">
        <v>2</v>
      </c>
      <c r="Y870" s="136">
        <v>46.57</v>
      </c>
      <c r="Z870" s="139">
        <v>16</v>
      </c>
      <c r="AA870" s="138">
        <v>98</v>
      </c>
      <c r="AC870" s="136">
        <v>47.45</v>
      </c>
      <c r="AD870" s="139">
        <v>7</v>
      </c>
      <c r="AE870" s="138">
        <v>16</v>
      </c>
      <c r="AG870" s="136">
        <v>46.84</v>
      </c>
      <c r="AH870" s="137">
        <v>18</v>
      </c>
      <c r="AI870" s="138" t="s">
        <v>884</v>
      </c>
      <c r="AK870" s="136">
        <v>47.39</v>
      </c>
      <c r="AL870" s="139">
        <v>7</v>
      </c>
      <c r="AM870" s="138">
        <v>16</v>
      </c>
      <c r="AS870" s="136">
        <v>46.54</v>
      </c>
      <c r="AT870" s="139">
        <v>17</v>
      </c>
      <c r="AU870" s="138">
        <v>99</v>
      </c>
      <c r="BA870" s="136">
        <v>47.51</v>
      </c>
      <c r="BB870" s="139">
        <v>16</v>
      </c>
      <c r="BC870" s="138">
        <v>98</v>
      </c>
    </row>
    <row r="871" spans="5:55" x14ac:dyDescent="0.3">
      <c r="E871" s="152">
        <v>47.62</v>
      </c>
      <c r="F871" s="153">
        <v>14</v>
      </c>
      <c r="G871" s="155" t="s">
        <v>870</v>
      </c>
      <c r="M871" s="136">
        <v>47</v>
      </c>
      <c r="N871" s="139">
        <v>1</v>
      </c>
      <c r="O871" s="138" t="s">
        <v>883</v>
      </c>
      <c r="U871" s="136">
        <v>47.46</v>
      </c>
      <c r="V871" s="139">
        <v>5</v>
      </c>
      <c r="W871" s="138">
        <v>5</v>
      </c>
      <c r="Y871" s="136">
        <v>46.59</v>
      </c>
      <c r="Z871" s="139">
        <v>17</v>
      </c>
      <c r="AA871" s="138">
        <v>99</v>
      </c>
      <c r="AC871" s="136">
        <v>47.48</v>
      </c>
      <c r="AD871" s="139">
        <v>8</v>
      </c>
      <c r="AE871" s="138">
        <v>25</v>
      </c>
      <c r="AG871" s="136">
        <v>46.86</v>
      </c>
      <c r="AH871" s="137">
        <v>19</v>
      </c>
      <c r="AI871" s="138" t="s">
        <v>884</v>
      </c>
      <c r="AK871" s="136">
        <v>47.41</v>
      </c>
      <c r="AL871" s="139">
        <v>8</v>
      </c>
      <c r="AM871" s="138">
        <v>25</v>
      </c>
      <c r="AS871" s="136">
        <v>46.55</v>
      </c>
      <c r="AT871" s="139">
        <v>18</v>
      </c>
      <c r="AU871" s="138" t="s">
        <v>884</v>
      </c>
      <c r="BA871" s="136">
        <v>47.53</v>
      </c>
      <c r="BB871" s="139">
        <v>17</v>
      </c>
      <c r="BC871" s="138">
        <v>99</v>
      </c>
    </row>
    <row r="872" spans="5:55" x14ac:dyDescent="0.3">
      <c r="E872" s="152">
        <v>47.63</v>
      </c>
      <c r="F872" s="153">
        <v>15</v>
      </c>
      <c r="G872" s="155" t="s">
        <v>871</v>
      </c>
      <c r="M872" s="136">
        <v>47.31</v>
      </c>
      <c r="N872" s="139">
        <v>2</v>
      </c>
      <c r="O872" s="138" t="s">
        <v>883</v>
      </c>
      <c r="U872" s="136">
        <v>47.49</v>
      </c>
      <c r="V872" s="139">
        <v>6</v>
      </c>
      <c r="W872" s="138">
        <v>9</v>
      </c>
      <c r="Y872" s="136">
        <v>46.6</v>
      </c>
      <c r="Z872" s="139">
        <v>18</v>
      </c>
      <c r="AA872" s="138" t="s">
        <v>884</v>
      </c>
      <c r="AC872" s="136">
        <v>47.5</v>
      </c>
      <c r="AD872" s="139">
        <v>9</v>
      </c>
      <c r="AE872" s="138">
        <v>37</v>
      </c>
      <c r="AG872" s="136">
        <v>47</v>
      </c>
      <c r="AH872" s="137">
        <v>1</v>
      </c>
      <c r="AI872" s="138" t="s">
        <v>883</v>
      </c>
      <c r="AK872" s="136">
        <v>47.42</v>
      </c>
      <c r="AL872" s="139">
        <v>9</v>
      </c>
      <c r="AM872" s="138">
        <v>37</v>
      </c>
      <c r="AS872" s="136">
        <v>46.56</v>
      </c>
      <c r="AT872" s="139">
        <v>19</v>
      </c>
      <c r="AU872" s="138" t="s">
        <v>884</v>
      </c>
      <c r="BA872" s="136">
        <v>47.55</v>
      </c>
      <c r="BB872" s="139">
        <v>18</v>
      </c>
      <c r="BC872" s="138" t="s">
        <v>884</v>
      </c>
    </row>
    <row r="873" spans="5:55" x14ac:dyDescent="0.3">
      <c r="E873" s="152">
        <v>47.64</v>
      </c>
      <c r="F873" s="153">
        <v>16</v>
      </c>
      <c r="G873" s="155" t="s">
        <v>872</v>
      </c>
      <c r="M873" s="136">
        <v>47.36</v>
      </c>
      <c r="N873" s="139">
        <v>3</v>
      </c>
      <c r="O873" s="138">
        <v>1</v>
      </c>
      <c r="U873" s="136">
        <v>47.51</v>
      </c>
      <c r="V873" s="139">
        <v>7</v>
      </c>
      <c r="W873" s="138">
        <v>16</v>
      </c>
      <c r="Y873" s="136">
        <v>46.62</v>
      </c>
      <c r="Z873" s="139">
        <v>19</v>
      </c>
      <c r="AA873" s="138" t="s">
        <v>884</v>
      </c>
      <c r="AC873" s="136">
        <v>47.52</v>
      </c>
      <c r="AD873" s="139">
        <v>10</v>
      </c>
      <c r="AE873" s="138">
        <v>50</v>
      </c>
      <c r="AG873" s="136">
        <v>47.56</v>
      </c>
      <c r="AH873" s="137">
        <v>2</v>
      </c>
      <c r="AI873" s="138" t="s">
        <v>883</v>
      </c>
      <c r="AK873" s="136">
        <v>47.43</v>
      </c>
      <c r="AL873" s="139">
        <v>10</v>
      </c>
      <c r="AM873" s="138">
        <v>50</v>
      </c>
      <c r="AS873" s="136">
        <v>47</v>
      </c>
      <c r="AT873" s="139">
        <v>1</v>
      </c>
      <c r="AU873" s="138" t="s">
        <v>883</v>
      </c>
      <c r="BA873" s="136">
        <v>47.6</v>
      </c>
      <c r="BB873" s="139">
        <v>19</v>
      </c>
      <c r="BC873" s="138" t="s">
        <v>884</v>
      </c>
    </row>
    <row r="874" spans="5:55" x14ac:dyDescent="0.3">
      <c r="E874" s="152">
        <v>47.65</v>
      </c>
      <c r="F874" s="153">
        <v>17</v>
      </c>
      <c r="G874" s="155" t="s">
        <v>873</v>
      </c>
      <c r="M874" s="136">
        <v>47.39</v>
      </c>
      <c r="N874" s="139">
        <v>4</v>
      </c>
      <c r="O874" s="138">
        <v>2</v>
      </c>
      <c r="U874" s="136">
        <v>47.54</v>
      </c>
      <c r="V874" s="139">
        <v>8</v>
      </c>
      <c r="W874" s="138">
        <v>25</v>
      </c>
      <c r="Y874" s="136">
        <v>47</v>
      </c>
      <c r="Z874" s="139">
        <v>1</v>
      </c>
      <c r="AA874" s="138" t="s">
        <v>883</v>
      </c>
      <c r="AC874" s="136">
        <v>47.55</v>
      </c>
      <c r="AD874" s="139">
        <v>11</v>
      </c>
      <c r="AE874" s="138">
        <v>63</v>
      </c>
      <c r="AG874" s="136">
        <v>47.62</v>
      </c>
      <c r="AH874" s="137">
        <v>3</v>
      </c>
      <c r="AI874" s="138">
        <v>1</v>
      </c>
      <c r="AK874" s="136">
        <v>47.44</v>
      </c>
      <c r="AL874" s="139">
        <v>11</v>
      </c>
      <c r="AM874" s="138">
        <v>63</v>
      </c>
      <c r="AS874" s="136">
        <v>47.36</v>
      </c>
      <c r="AT874" s="139">
        <v>2</v>
      </c>
      <c r="AU874" s="138" t="s">
        <v>883</v>
      </c>
      <c r="BA874" s="136">
        <v>48</v>
      </c>
      <c r="BB874" s="139">
        <v>1</v>
      </c>
      <c r="BC874" s="138" t="s">
        <v>883</v>
      </c>
    </row>
    <row r="875" spans="5:55" x14ac:dyDescent="0.3">
      <c r="E875" s="152">
        <v>47.66</v>
      </c>
      <c r="F875" s="153">
        <v>18</v>
      </c>
      <c r="G875" s="155" t="s">
        <v>874</v>
      </c>
      <c r="M875" s="136">
        <v>47.42</v>
      </c>
      <c r="N875" s="139">
        <v>5</v>
      </c>
      <c r="O875" s="138">
        <v>5</v>
      </c>
      <c r="U875" s="136">
        <v>47.56</v>
      </c>
      <c r="V875" s="139">
        <v>9</v>
      </c>
      <c r="W875" s="138">
        <v>37</v>
      </c>
      <c r="Y875" s="136">
        <v>47.32</v>
      </c>
      <c r="Z875" s="139">
        <v>2</v>
      </c>
      <c r="AA875" s="138" t="s">
        <v>883</v>
      </c>
      <c r="AC875" s="136">
        <v>47.57</v>
      </c>
      <c r="AD875" s="139">
        <v>12</v>
      </c>
      <c r="AE875" s="138">
        <v>75</v>
      </c>
      <c r="AG875" s="136">
        <v>47.65</v>
      </c>
      <c r="AH875" s="137">
        <v>4</v>
      </c>
      <c r="AI875" s="138">
        <v>2</v>
      </c>
      <c r="AK875" s="136">
        <v>47.45</v>
      </c>
      <c r="AL875" s="139">
        <v>12</v>
      </c>
      <c r="AM875" s="138">
        <v>75</v>
      </c>
      <c r="AS875" s="136">
        <v>47.39</v>
      </c>
      <c r="AT875" s="139">
        <v>3</v>
      </c>
      <c r="AU875" s="138">
        <v>1</v>
      </c>
      <c r="BA875" s="136">
        <v>48.22</v>
      </c>
      <c r="BB875" s="139">
        <v>2</v>
      </c>
      <c r="BC875" s="138" t="s">
        <v>883</v>
      </c>
    </row>
    <row r="876" spans="5:55" x14ac:dyDescent="0.3">
      <c r="E876" s="152">
        <v>47.68</v>
      </c>
      <c r="F876" s="153">
        <v>19</v>
      </c>
      <c r="G876" s="155" t="s">
        <v>874</v>
      </c>
      <c r="M876" s="136">
        <v>47.44</v>
      </c>
      <c r="N876" s="139">
        <v>6</v>
      </c>
      <c r="O876" s="138">
        <v>9</v>
      </c>
      <c r="U876" s="136">
        <v>47.59</v>
      </c>
      <c r="V876" s="139">
        <v>10</v>
      </c>
      <c r="W876" s="138">
        <v>50</v>
      </c>
      <c r="Y876" s="136">
        <v>47.34</v>
      </c>
      <c r="Z876" s="139">
        <v>3</v>
      </c>
      <c r="AA876" s="138">
        <v>1</v>
      </c>
      <c r="AC876" s="136">
        <v>47.59</v>
      </c>
      <c r="AD876" s="139">
        <v>13</v>
      </c>
      <c r="AE876" s="138">
        <v>85</v>
      </c>
      <c r="AG876" s="136">
        <v>47.67</v>
      </c>
      <c r="AH876" s="137">
        <v>5</v>
      </c>
      <c r="AI876" s="138">
        <v>5</v>
      </c>
      <c r="AK876" s="136">
        <v>47.47</v>
      </c>
      <c r="AL876" s="139">
        <v>13</v>
      </c>
      <c r="AM876" s="138">
        <v>85</v>
      </c>
      <c r="AS876" s="136">
        <v>47.41</v>
      </c>
      <c r="AT876" s="139">
        <v>4</v>
      </c>
      <c r="AU876" s="138">
        <v>2</v>
      </c>
      <c r="BA876" s="136">
        <v>48.24</v>
      </c>
      <c r="BB876" s="139">
        <v>3</v>
      </c>
      <c r="BC876" s="138">
        <v>1</v>
      </c>
    </row>
    <row r="877" spans="5:55" x14ac:dyDescent="0.3">
      <c r="E877" s="152">
        <v>48</v>
      </c>
      <c r="F877" s="153">
        <v>1</v>
      </c>
      <c r="G877" s="155" t="s">
        <v>862</v>
      </c>
      <c r="M877" s="136">
        <v>47.45</v>
      </c>
      <c r="N877" s="139">
        <v>7</v>
      </c>
      <c r="O877" s="138">
        <v>16</v>
      </c>
      <c r="U877" s="136">
        <v>47.61</v>
      </c>
      <c r="V877" s="139">
        <v>11</v>
      </c>
      <c r="W877" s="138">
        <v>63</v>
      </c>
      <c r="Y877" s="136">
        <v>47.35</v>
      </c>
      <c r="Z877" s="139">
        <v>4</v>
      </c>
      <c r="AA877" s="138">
        <v>2</v>
      </c>
      <c r="AC877" s="136">
        <v>47.61</v>
      </c>
      <c r="AD877" s="139">
        <v>14</v>
      </c>
      <c r="AE877" s="138">
        <v>91</v>
      </c>
      <c r="AG877" s="136">
        <v>47.69</v>
      </c>
      <c r="AH877" s="137">
        <v>6</v>
      </c>
      <c r="AI877" s="138">
        <v>9</v>
      </c>
      <c r="AK877" s="136">
        <v>47.49</v>
      </c>
      <c r="AL877" s="139">
        <v>14</v>
      </c>
      <c r="AM877" s="138">
        <v>91</v>
      </c>
      <c r="AS877" s="136">
        <v>47.42</v>
      </c>
      <c r="AT877" s="139">
        <v>5</v>
      </c>
      <c r="AU877" s="138">
        <v>5</v>
      </c>
      <c r="BA877" s="136">
        <v>48.26</v>
      </c>
      <c r="BB877" s="139">
        <v>4</v>
      </c>
      <c r="BC877" s="138">
        <v>2</v>
      </c>
    </row>
    <row r="878" spans="5:55" x14ac:dyDescent="0.3">
      <c r="E878" s="152">
        <v>48.39</v>
      </c>
      <c r="F878" s="153">
        <v>2</v>
      </c>
      <c r="G878" s="155" t="s">
        <v>862</v>
      </c>
      <c r="M878" s="136">
        <v>47.48</v>
      </c>
      <c r="N878" s="139">
        <v>8</v>
      </c>
      <c r="O878" s="138">
        <v>25</v>
      </c>
      <c r="U878" s="136">
        <v>47.63</v>
      </c>
      <c r="V878" s="139">
        <v>12</v>
      </c>
      <c r="W878" s="138">
        <v>75</v>
      </c>
      <c r="Y878" s="136">
        <v>47.37</v>
      </c>
      <c r="Z878" s="139">
        <v>5</v>
      </c>
      <c r="AA878" s="138">
        <v>5</v>
      </c>
      <c r="AC878" s="136">
        <v>47.64</v>
      </c>
      <c r="AD878" s="139">
        <v>15</v>
      </c>
      <c r="AE878" s="138">
        <v>95</v>
      </c>
      <c r="AG878" s="136">
        <v>47.7</v>
      </c>
      <c r="AH878" s="137">
        <v>7</v>
      </c>
      <c r="AI878" s="138">
        <v>16</v>
      </c>
      <c r="AK878" s="136">
        <v>47.5</v>
      </c>
      <c r="AL878" s="139">
        <v>15</v>
      </c>
      <c r="AM878" s="138">
        <v>95</v>
      </c>
      <c r="AS878" s="136">
        <v>47.43</v>
      </c>
      <c r="AT878" s="139">
        <v>6</v>
      </c>
      <c r="AU878" s="138">
        <v>9</v>
      </c>
      <c r="BA878" s="136">
        <v>48.28</v>
      </c>
      <c r="BB878" s="139">
        <v>5</v>
      </c>
      <c r="BC878" s="138">
        <v>5</v>
      </c>
    </row>
    <row r="879" spans="5:55" x14ac:dyDescent="0.3">
      <c r="E879" s="152">
        <v>48.45</v>
      </c>
      <c r="F879" s="153">
        <v>3</v>
      </c>
      <c r="G879" s="155" t="s">
        <v>876</v>
      </c>
      <c r="M879" s="136">
        <v>47.51</v>
      </c>
      <c r="N879" s="139">
        <v>9</v>
      </c>
      <c r="O879" s="138">
        <v>37</v>
      </c>
      <c r="U879" s="136">
        <v>47.65</v>
      </c>
      <c r="V879" s="139">
        <v>13</v>
      </c>
      <c r="W879" s="138">
        <v>85</v>
      </c>
      <c r="Y879" s="136">
        <v>47.4</v>
      </c>
      <c r="Z879" s="139">
        <v>6</v>
      </c>
      <c r="AA879" s="138">
        <v>9</v>
      </c>
      <c r="AC879" s="136">
        <v>47.66</v>
      </c>
      <c r="AD879" s="139">
        <v>16</v>
      </c>
      <c r="AE879" s="138">
        <v>98</v>
      </c>
      <c r="AG879" s="136">
        <v>47.71</v>
      </c>
      <c r="AH879" s="137">
        <v>8</v>
      </c>
      <c r="AI879" s="138">
        <v>25</v>
      </c>
      <c r="AK879" s="136">
        <v>47.51</v>
      </c>
      <c r="AL879" s="139">
        <v>16</v>
      </c>
      <c r="AM879" s="138">
        <v>98</v>
      </c>
      <c r="AS879" s="136">
        <v>47.44</v>
      </c>
      <c r="AT879" s="139">
        <v>7</v>
      </c>
      <c r="AU879" s="138">
        <v>16</v>
      </c>
      <c r="BA879" s="136">
        <v>48.3</v>
      </c>
      <c r="BB879" s="139">
        <v>6</v>
      </c>
      <c r="BC879" s="138">
        <v>9</v>
      </c>
    </row>
    <row r="880" spans="5:55" x14ac:dyDescent="0.3">
      <c r="E880" s="152">
        <v>48.47</v>
      </c>
      <c r="F880" s="153">
        <v>4</v>
      </c>
      <c r="G880" s="155" t="s">
        <v>863</v>
      </c>
      <c r="M880" s="136">
        <v>47.52</v>
      </c>
      <c r="N880" s="139">
        <v>10</v>
      </c>
      <c r="O880" s="138">
        <v>50</v>
      </c>
      <c r="U880" s="136">
        <v>47.67</v>
      </c>
      <c r="V880" s="139">
        <v>14</v>
      </c>
      <c r="W880" s="138">
        <v>91</v>
      </c>
      <c r="Y880" s="136">
        <v>47.42</v>
      </c>
      <c r="Z880" s="139">
        <v>7</v>
      </c>
      <c r="AA880" s="138">
        <v>16</v>
      </c>
      <c r="AC880" s="136">
        <v>47.68</v>
      </c>
      <c r="AD880" s="139">
        <v>17</v>
      </c>
      <c r="AE880" s="138">
        <v>99</v>
      </c>
      <c r="AG880" s="136">
        <v>47.73</v>
      </c>
      <c r="AH880" s="137">
        <v>9</v>
      </c>
      <c r="AI880" s="138">
        <v>37</v>
      </c>
      <c r="AK880" s="136">
        <v>47.52</v>
      </c>
      <c r="AL880" s="139">
        <v>17</v>
      </c>
      <c r="AM880" s="138">
        <v>99</v>
      </c>
      <c r="AS880" s="136">
        <v>47.45</v>
      </c>
      <c r="AT880" s="139">
        <v>8</v>
      </c>
      <c r="AU880" s="138">
        <v>25</v>
      </c>
      <c r="BA880" s="136">
        <v>48.33</v>
      </c>
      <c r="BB880" s="139">
        <v>7</v>
      </c>
      <c r="BC880" s="138">
        <v>16</v>
      </c>
    </row>
    <row r="881" spans="5:55" x14ac:dyDescent="0.3">
      <c r="E881" s="152">
        <v>48.5</v>
      </c>
      <c r="F881" s="153">
        <v>5</v>
      </c>
      <c r="G881" s="155" t="s">
        <v>877</v>
      </c>
      <c r="M881" s="136">
        <v>47.53</v>
      </c>
      <c r="N881" s="139">
        <v>11</v>
      </c>
      <c r="O881" s="138">
        <v>63</v>
      </c>
      <c r="U881" s="136">
        <v>47.7</v>
      </c>
      <c r="V881" s="139">
        <v>15</v>
      </c>
      <c r="W881" s="138">
        <v>95</v>
      </c>
      <c r="Y881" s="136">
        <v>47.44</v>
      </c>
      <c r="Z881" s="139">
        <v>8</v>
      </c>
      <c r="AA881" s="138">
        <v>25</v>
      </c>
      <c r="AC881" s="136">
        <v>47.71</v>
      </c>
      <c r="AD881" s="139">
        <v>18</v>
      </c>
      <c r="AE881" s="138" t="s">
        <v>884</v>
      </c>
      <c r="AG881" s="136">
        <v>47.74</v>
      </c>
      <c r="AH881" s="137">
        <v>10</v>
      </c>
      <c r="AI881" s="138">
        <v>50</v>
      </c>
      <c r="AK881" s="136">
        <v>47.53</v>
      </c>
      <c r="AL881" s="139">
        <v>18</v>
      </c>
      <c r="AM881" s="138" t="s">
        <v>884</v>
      </c>
      <c r="AS881" s="136">
        <v>47.46</v>
      </c>
      <c r="AT881" s="139">
        <v>9</v>
      </c>
      <c r="AU881" s="138">
        <v>37</v>
      </c>
      <c r="BA881" s="136">
        <v>48.35</v>
      </c>
      <c r="BB881" s="139">
        <v>8</v>
      </c>
      <c r="BC881" s="138">
        <v>25</v>
      </c>
    </row>
    <row r="882" spans="5:55" x14ac:dyDescent="0.3">
      <c r="E882" s="152">
        <v>48.52</v>
      </c>
      <c r="F882" s="153">
        <v>6</v>
      </c>
      <c r="G882" s="155" t="s">
        <v>864</v>
      </c>
      <c r="M882" s="136">
        <v>47.54</v>
      </c>
      <c r="N882" s="139">
        <v>12</v>
      </c>
      <c r="O882" s="138">
        <v>75</v>
      </c>
      <c r="U882" s="136">
        <v>47.72</v>
      </c>
      <c r="V882" s="139">
        <v>16</v>
      </c>
      <c r="W882" s="138">
        <v>98</v>
      </c>
      <c r="Y882" s="136">
        <v>47.46</v>
      </c>
      <c r="Z882" s="139">
        <v>9</v>
      </c>
      <c r="AA882" s="138">
        <v>37</v>
      </c>
      <c r="AC882" s="136">
        <v>47.75</v>
      </c>
      <c r="AD882" s="139">
        <v>19</v>
      </c>
      <c r="AE882" s="138" t="s">
        <v>884</v>
      </c>
      <c r="AG882" s="136">
        <v>47.75</v>
      </c>
      <c r="AH882" s="137">
        <v>11</v>
      </c>
      <c r="AI882" s="138">
        <v>63</v>
      </c>
      <c r="AK882" s="136">
        <v>47.54</v>
      </c>
      <c r="AL882" s="139">
        <v>19</v>
      </c>
      <c r="AM882" s="138" t="s">
        <v>884</v>
      </c>
      <c r="AS882" s="136">
        <v>47.47</v>
      </c>
      <c r="AT882" s="139">
        <v>10</v>
      </c>
      <c r="AU882" s="138">
        <v>50</v>
      </c>
      <c r="BA882" s="136">
        <v>48.38</v>
      </c>
      <c r="BB882" s="139">
        <v>9</v>
      </c>
      <c r="BC882" s="138">
        <v>37</v>
      </c>
    </row>
    <row r="883" spans="5:55" x14ac:dyDescent="0.3">
      <c r="E883" s="152">
        <v>48.54</v>
      </c>
      <c r="F883" s="153">
        <v>7</v>
      </c>
      <c r="G883" s="155" t="s">
        <v>878</v>
      </c>
      <c r="M883" s="136">
        <v>47.55</v>
      </c>
      <c r="N883" s="139">
        <v>13</v>
      </c>
      <c r="O883" s="138">
        <v>85</v>
      </c>
      <c r="U883" s="136">
        <v>47.74</v>
      </c>
      <c r="V883" s="139">
        <v>17</v>
      </c>
      <c r="W883" s="138">
        <v>99</v>
      </c>
      <c r="Y883" s="136">
        <v>47.47</v>
      </c>
      <c r="Z883" s="139">
        <v>10</v>
      </c>
      <c r="AA883" s="138">
        <v>50</v>
      </c>
      <c r="AC883" s="136">
        <v>48</v>
      </c>
      <c r="AD883" s="139">
        <v>1</v>
      </c>
      <c r="AE883" s="138" t="s">
        <v>883</v>
      </c>
      <c r="AG883" s="136">
        <v>47.76</v>
      </c>
      <c r="AH883" s="137">
        <v>12</v>
      </c>
      <c r="AI883" s="138">
        <v>75</v>
      </c>
      <c r="AK883" s="136">
        <v>48</v>
      </c>
      <c r="AL883" s="139">
        <v>1</v>
      </c>
      <c r="AM883" s="138" t="s">
        <v>883</v>
      </c>
      <c r="AS883" s="136">
        <v>47.48</v>
      </c>
      <c r="AT883" s="139">
        <v>11</v>
      </c>
      <c r="AU883" s="138">
        <v>63</v>
      </c>
      <c r="BA883" s="136">
        <v>48.4</v>
      </c>
      <c r="BB883" s="139">
        <v>10</v>
      </c>
      <c r="BC883" s="138">
        <v>50</v>
      </c>
    </row>
    <row r="884" spans="5:55" x14ac:dyDescent="0.3">
      <c r="E884" s="152">
        <v>48.56</v>
      </c>
      <c r="F884" s="153">
        <v>8</v>
      </c>
      <c r="G884" s="155" t="s">
        <v>865</v>
      </c>
      <c r="M884" s="136">
        <v>47.56</v>
      </c>
      <c r="N884" s="139">
        <v>14</v>
      </c>
      <c r="O884" s="138">
        <v>91</v>
      </c>
      <c r="U884" s="136">
        <v>47.76</v>
      </c>
      <c r="V884" s="139">
        <v>18</v>
      </c>
      <c r="W884" s="138" t="s">
        <v>884</v>
      </c>
      <c r="Y884" s="136">
        <v>47.49</v>
      </c>
      <c r="Z884" s="139">
        <v>11</v>
      </c>
      <c r="AA884" s="138">
        <v>63</v>
      </c>
      <c r="AC884" s="136">
        <v>48.36</v>
      </c>
      <c r="AD884" s="139">
        <v>2</v>
      </c>
      <c r="AE884" s="138" t="s">
        <v>883</v>
      </c>
      <c r="AG884" s="136">
        <v>47.78</v>
      </c>
      <c r="AH884" s="137">
        <v>13</v>
      </c>
      <c r="AI884" s="138">
        <v>85</v>
      </c>
      <c r="AK884" s="136">
        <v>48.31</v>
      </c>
      <c r="AL884" s="139">
        <v>2</v>
      </c>
      <c r="AM884" s="138" t="s">
        <v>883</v>
      </c>
      <c r="AS884" s="136">
        <v>47.49</v>
      </c>
      <c r="AT884" s="139">
        <v>12</v>
      </c>
      <c r="AU884" s="138">
        <v>75</v>
      </c>
      <c r="BA884" s="136">
        <v>48.43</v>
      </c>
      <c r="BB884" s="139">
        <v>11</v>
      </c>
      <c r="BC884" s="138">
        <v>63</v>
      </c>
    </row>
    <row r="885" spans="5:55" x14ac:dyDescent="0.3">
      <c r="E885" s="152">
        <v>48.58</v>
      </c>
      <c r="F885" s="153">
        <v>9</v>
      </c>
      <c r="G885" s="155" t="s">
        <v>879</v>
      </c>
      <c r="M885" s="136">
        <v>47.57</v>
      </c>
      <c r="N885" s="139">
        <v>15</v>
      </c>
      <c r="O885" s="138">
        <v>95</v>
      </c>
      <c r="U885" s="136">
        <v>47.78</v>
      </c>
      <c r="V885" s="139">
        <v>19</v>
      </c>
      <c r="W885" s="138" t="s">
        <v>884</v>
      </c>
      <c r="Y885" s="136">
        <v>47.5</v>
      </c>
      <c r="Z885" s="139">
        <v>12</v>
      </c>
      <c r="AA885" s="138">
        <v>75</v>
      </c>
      <c r="AC885" s="136">
        <v>48.39</v>
      </c>
      <c r="AD885" s="139">
        <v>3</v>
      </c>
      <c r="AE885" s="138">
        <v>1</v>
      </c>
      <c r="AG885" s="136">
        <v>47.79</v>
      </c>
      <c r="AH885" s="137">
        <v>14</v>
      </c>
      <c r="AI885" s="138">
        <v>91</v>
      </c>
      <c r="AK885" s="136">
        <v>48.32</v>
      </c>
      <c r="AL885" s="139">
        <v>3</v>
      </c>
      <c r="AM885" s="138">
        <v>1</v>
      </c>
      <c r="AS885" s="136">
        <v>47.5</v>
      </c>
      <c r="AT885" s="139">
        <v>13</v>
      </c>
      <c r="AU885" s="138">
        <v>85</v>
      </c>
      <c r="BA885" s="136">
        <v>48.45</v>
      </c>
      <c r="BB885" s="139">
        <v>12</v>
      </c>
      <c r="BC885" s="138">
        <v>75</v>
      </c>
    </row>
    <row r="886" spans="5:55" x14ac:dyDescent="0.3">
      <c r="E886" s="152">
        <v>48.59</v>
      </c>
      <c r="F886" s="153">
        <v>10</v>
      </c>
      <c r="G886" s="155" t="s">
        <v>866</v>
      </c>
      <c r="M886" s="136">
        <v>47.58</v>
      </c>
      <c r="N886" s="139">
        <v>16</v>
      </c>
      <c r="O886" s="138">
        <v>98</v>
      </c>
      <c r="U886" s="136">
        <v>48</v>
      </c>
      <c r="V886" s="139">
        <v>1</v>
      </c>
      <c r="W886" s="138" t="s">
        <v>883</v>
      </c>
      <c r="Y886" s="136">
        <v>47.52</v>
      </c>
      <c r="Z886" s="139">
        <v>13</v>
      </c>
      <c r="AA886" s="138">
        <v>85</v>
      </c>
      <c r="AC886" s="136">
        <v>48.42</v>
      </c>
      <c r="AD886" s="139">
        <v>4</v>
      </c>
      <c r="AE886" s="138">
        <v>2</v>
      </c>
      <c r="AG886" s="136">
        <v>47.8</v>
      </c>
      <c r="AH886" s="137">
        <v>15</v>
      </c>
      <c r="AI886" s="138">
        <v>95</v>
      </c>
      <c r="AK886" s="136">
        <v>48.37</v>
      </c>
      <c r="AL886" s="139">
        <v>4</v>
      </c>
      <c r="AM886" s="138">
        <v>2</v>
      </c>
      <c r="AS886" s="136">
        <v>47.51</v>
      </c>
      <c r="AT886" s="139">
        <v>14</v>
      </c>
      <c r="AU886" s="138">
        <v>91</v>
      </c>
      <c r="BA886" s="136">
        <v>48.48</v>
      </c>
      <c r="BB886" s="139">
        <v>13</v>
      </c>
      <c r="BC886" s="138">
        <v>85</v>
      </c>
    </row>
    <row r="887" spans="5:55" x14ac:dyDescent="0.3">
      <c r="E887" s="152">
        <v>48.6</v>
      </c>
      <c r="F887" s="153">
        <v>11</v>
      </c>
      <c r="G887" s="155" t="s">
        <v>867</v>
      </c>
      <c r="M887" s="136">
        <v>47.59</v>
      </c>
      <c r="N887" s="139">
        <v>17</v>
      </c>
      <c r="O887" s="138">
        <v>99</v>
      </c>
      <c r="U887" s="136">
        <v>48.32</v>
      </c>
      <c r="V887" s="139">
        <v>2</v>
      </c>
      <c r="W887" s="138" t="s">
        <v>883</v>
      </c>
      <c r="Y887" s="136">
        <v>47.54</v>
      </c>
      <c r="Z887" s="139">
        <v>14</v>
      </c>
      <c r="AA887" s="138">
        <v>91</v>
      </c>
      <c r="AC887" s="136">
        <v>48.44</v>
      </c>
      <c r="AD887" s="139">
        <v>5</v>
      </c>
      <c r="AE887" s="138">
        <v>5</v>
      </c>
      <c r="AG887" s="136">
        <v>47.82</v>
      </c>
      <c r="AH887" s="137">
        <v>16</v>
      </c>
      <c r="AI887" s="138">
        <v>98</v>
      </c>
      <c r="AK887" s="136">
        <v>48.39</v>
      </c>
      <c r="AL887" s="139">
        <v>5</v>
      </c>
      <c r="AM887" s="138">
        <v>5</v>
      </c>
      <c r="AS887" s="136">
        <v>47.52</v>
      </c>
      <c r="AT887" s="139">
        <v>15</v>
      </c>
      <c r="AU887" s="138">
        <v>95</v>
      </c>
      <c r="BA887" s="136">
        <v>48.51</v>
      </c>
      <c r="BB887" s="139">
        <v>14</v>
      </c>
      <c r="BC887" s="138">
        <v>91</v>
      </c>
    </row>
    <row r="888" spans="5:55" x14ac:dyDescent="0.3">
      <c r="E888" s="152">
        <v>48.61</v>
      </c>
      <c r="F888" s="153">
        <v>12</v>
      </c>
      <c r="G888" s="155" t="s">
        <v>868</v>
      </c>
      <c r="M888" s="136">
        <v>47.6</v>
      </c>
      <c r="N888" s="139">
        <v>19</v>
      </c>
      <c r="O888" s="138" t="s">
        <v>884</v>
      </c>
      <c r="U888" s="136">
        <v>48.42</v>
      </c>
      <c r="V888" s="139">
        <v>3</v>
      </c>
      <c r="W888" s="138">
        <v>1</v>
      </c>
      <c r="Y888" s="136">
        <v>47.55</v>
      </c>
      <c r="Z888" s="139">
        <v>15</v>
      </c>
      <c r="AA888" s="138">
        <v>95</v>
      </c>
      <c r="AC888" s="136">
        <v>48.47</v>
      </c>
      <c r="AD888" s="139">
        <v>6</v>
      </c>
      <c r="AE888" s="138">
        <v>9</v>
      </c>
      <c r="AG888" s="136">
        <v>47.83</v>
      </c>
      <c r="AH888" s="137">
        <v>17</v>
      </c>
      <c r="AI888" s="138">
        <v>99</v>
      </c>
      <c r="AK888" s="136">
        <v>48.41</v>
      </c>
      <c r="AL888" s="139">
        <v>6</v>
      </c>
      <c r="AM888" s="138">
        <v>9</v>
      </c>
      <c r="AS888" s="136">
        <v>47.53</v>
      </c>
      <c r="AT888" s="139">
        <v>16</v>
      </c>
      <c r="AU888" s="138">
        <v>98</v>
      </c>
      <c r="BA888" s="136">
        <v>48.53</v>
      </c>
      <c r="BB888" s="139">
        <v>15</v>
      </c>
      <c r="BC888" s="138">
        <v>95</v>
      </c>
    </row>
    <row r="889" spans="5:55" x14ac:dyDescent="0.3">
      <c r="E889" s="152">
        <v>48.62</v>
      </c>
      <c r="F889" s="153">
        <v>13</v>
      </c>
      <c r="G889" s="155" t="s">
        <v>869</v>
      </c>
      <c r="M889" s="136">
        <v>48</v>
      </c>
      <c r="N889" s="139">
        <v>1</v>
      </c>
      <c r="O889" s="138" t="s">
        <v>883</v>
      </c>
      <c r="U889" s="136">
        <v>48.46</v>
      </c>
      <c r="V889" s="139">
        <v>4</v>
      </c>
      <c r="W889" s="138">
        <v>2</v>
      </c>
      <c r="Y889" s="136">
        <v>47.57</v>
      </c>
      <c r="Z889" s="139">
        <v>16</v>
      </c>
      <c r="AA889" s="138">
        <v>98</v>
      </c>
      <c r="AC889" s="136">
        <v>48.49</v>
      </c>
      <c r="AD889" s="139">
        <v>7</v>
      </c>
      <c r="AE889" s="138">
        <v>16</v>
      </c>
      <c r="AG889" s="136">
        <v>47.84</v>
      </c>
      <c r="AH889" s="137">
        <v>18</v>
      </c>
      <c r="AI889" s="138" t="s">
        <v>884</v>
      </c>
      <c r="AK889" s="136">
        <v>48.42</v>
      </c>
      <c r="AL889" s="139">
        <v>7</v>
      </c>
      <c r="AM889" s="138">
        <v>16</v>
      </c>
      <c r="AS889" s="136">
        <v>47.54</v>
      </c>
      <c r="AT889" s="139">
        <v>17</v>
      </c>
      <c r="AU889" s="138">
        <v>99</v>
      </c>
      <c r="BA889" s="136">
        <v>48.55</v>
      </c>
      <c r="BB889" s="139">
        <v>16</v>
      </c>
      <c r="BC889" s="138">
        <v>98</v>
      </c>
    </row>
    <row r="890" spans="5:55" x14ac:dyDescent="0.3">
      <c r="E890" s="152">
        <v>48.63</v>
      </c>
      <c r="F890" s="153">
        <v>14</v>
      </c>
      <c r="G890" s="155" t="s">
        <v>870</v>
      </c>
      <c r="M890" s="136">
        <v>48.33</v>
      </c>
      <c r="N890" s="139">
        <v>2</v>
      </c>
      <c r="O890" s="138" t="s">
        <v>883</v>
      </c>
      <c r="U890" s="136">
        <v>48.49</v>
      </c>
      <c r="V890" s="139">
        <v>5</v>
      </c>
      <c r="W890" s="138">
        <v>5</v>
      </c>
      <c r="Y890" s="136">
        <v>47.59</v>
      </c>
      <c r="Z890" s="139">
        <v>17</v>
      </c>
      <c r="AA890" s="138">
        <v>99</v>
      </c>
      <c r="AC890" s="136">
        <v>48.51</v>
      </c>
      <c r="AD890" s="139">
        <v>8</v>
      </c>
      <c r="AE890" s="138">
        <v>25</v>
      </c>
      <c r="AG890" s="136">
        <v>47.86</v>
      </c>
      <c r="AH890" s="137">
        <v>19</v>
      </c>
      <c r="AI890" s="138" t="s">
        <v>884</v>
      </c>
      <c r="AK890" s="136">
        <v>48.43</v>
      </c>
      <c r="AL890" s="139">
        <v>8</v>
      </c>
      <c r="AM890" s="138">
        <v>25</v>
      </c>
      <c r="AS890" s="136">
        <v>47.55</v>
      </c>
      <c r="AT890" s="139">
        <v>18</v>
      </c>
      <c r="AU890" s="138" t="s">
        <v>884</v>
      </c>
      <c r="BA890" s="136">
        <v>48.58</v>
      </c>
      <c r="BB890" s="139">
        <v>17</v>
      </c>
      <c r="BC890" s="138">
        <v>99</v>
      </c>
    </row>
    <row r="891" spans="5:55" x14ac:dyDescent="0.3">
      <c r="E891" s="152">
        <v>48.64</v>
      </c>
      <c r="F891" s="153">
        <v>15</v>
      </c>
      <c r="G891" s="155" t="s">
        <v>871</v>
      </c>
      <c r="M891" s="136">
        <v>48.39</v>
      </c>
      <c r="N891" s="139">
        <v>3</v>
      </c>
      <c r="O891" s="138">
        <v>1</v>
      </c>
      <c r="U891" s="136">
        <v>48.51</v>
      </c>
      <c r="V891" s="139">
        <v>6</v>
      </c>
      <c r="W891" s="138">
        <v>9</v>
      </c>
      <c r="Y891" s="136">
        <v>47.6</v>
      </c>
      <c r="Z891" s="139">
        <v>18</v>
      </c>
      <c r="AA891" s="138" t="s">
        <v>884</v>
      </c>
      <c r="AC891" s="136">
        <v>48.54</v>
      </c>
      <c r="AD891" s="139">
        <v>9</v>
      </c>
      <c r="AE891" s="138">
        <v>37</v>
      </c>
      <c r="AG891" s="136">
        <v>48</v>
      </c>
      <c r="AH891" s="137">
        <v>1</v>
      </c>
      <c r="AI891" s="138" t="s">
        <v>883</v>
      </c>
      <c r="AK891" s="136">
        <v>48.44</v>
      </c>
      <c r="AL891" s="139">
        <v>9</v>
      </c>
      <c r="AM891" s="138">
        <v>37</v>
      </c>
      <c r="AS891" s="136">
        <v>47.56</v>
      </c>
      <c r="AT891" s="139">
        <v>19</v>
      </c>
      <c r="AU891" s="138" t="s">
        <v>884</v>
      </c>
      <c r="BA891" s="136">
        <v>48.61</v>
      </c>
      <c r="BB891" s="139">
        <v>18</v>
      </c>
      <c r="BC891" s="138" t="s">
        <v>884</v>
      </c>
    </row>
    <row r="892" spans="5:55" x14ac:dyDescent="0.3">
      <c r="E892" s="152">
        <v>48.65</v>
      </c>
      <c r="F892" s="153">
        <v>16</v>
      </c>
      <c r="G892" s="155" t="s">
        <v>872</v>
      </c>
      <c r="M892" s="136">
        <v>48.41</v>
      </c>
      <c r="N892" s="139">
        <v>4</v>
      </c>
      <c r="O892" s="138">
        <v>2</v>
      </c>
      <c r="U892" s="136">
        <v>48.54</v>
      </c>
      <c r="V892" s="139">
        <v>7</v>
      </c>
      <c r="W892" s="138">
        <v>16</v>
      </c>
      <c r="Y892" s="136">
        <v>47.62</v>
      </c>
      <c r="Z892" s="139">
        <v>19</v>
      </c>
      <c r="AA892" s="138" t="s">
        <v>884</v>
      </c>
      <c r="AC892" s="136">
        <v>48.56</v>
      </c>
      <c r="AD892" s="139">
        <v>10</v>
      </c>
      <c r="AE892" s="138">
        <v>50</v>
      </c>
      <c r="AG892" s="136">
        <v>48.58</v>
      </c>
      <c r="AH892" s="137">
        <v>2</v>
      </c>
      <c r="AI892" s="138" t="s">
        <v>883</v>
      </c>
      <c r="AK892" s="136">
        <v>48.45</v>
      </c>
      <c r="AL892" s="139">
        <v>10</v>
      </c>
      <c r="AM892" s="138">
        <v>50</v>
      </c>
      <c r="AS892" s="136">
        <v>48</v>
      </c>
      <c r="AT892" s="139">
        <v>1</v>
      </c>
      <c r="AU892" s="138" t="s">
        <v>883</v>
      </c>
      <c r="BA892" s="136">
        <v>48.64</v>
      </c>
      <c r="BB892" s="139">
        <v>19</v>
      </c>
      <c r="BC892" s="138" t="s">
        <v>884</v>
      </c>
    </row>
    <row r="893" spans="5:55" x14ac:dyDescent="0.3">
      <c r="E893" s="152">
        <v>48.66</v>
      </c>
      <c r="F893" s="153">
        <v>17</v>
      </c>
      <c r="G893" s="155" t="s">
        <v>873</v>
      </c>
      <c r="M893" s="136">
        <v>48.44</v>
      </c>
      <c r="N893" s="139">
        <v>5</v>
      </c>
      <c r="O893" s="138">
        <v>5</v>
      </c>
      <c r="U893" s="136">
        <v>48.56</v>
      </c>
      <c r="V893" s="139">
        <v>8</v>
      </c>
      <c r="W893" s="138">
        <v>25</v>
      </c>
      <c r="Y893" s="136">
        <v>48</v>
      </c>
      <c r="Z893" s="139">
        <v>1</v>
      </c>
      <c r="AA893" s="138" t="s">
        <v>883</v>
      </c>
      <c r="AC893" s="136">
        <v>48.59</v>
      </c>
      <c r="AD893" s="139">
        <v>11</v>
      </c>
      <c r="AE893" s="138">
        <v>63</v>
      </c>
      <c r="AG893" s="136">
        <v>48.65</v>
      </c>
      <c r="AH893" s="137">
        <v>3</v>
      </c>
      <c r="AI893" s="138">
        <v>1</v>
      </c>
      <c r="AK893" s="136">
        <v>48.47</v>
      </c>
      <c r="AL893" s="139">
        <v>11</v>
      </c>
      <c r="AM893" s="138">
        <v>63</v>
      </c>
      <c r="AS893" s="136">
        <v>48.39</v>
      </c>
      <c r="AT893" s="139">
        <v>2</v>
      </c>
      <c r="AU893" s="138" t="s">
        <v>883</v>
      </c>
      <c r="BA893" s="136">
        <v>49</v>
      </c>
      <c r="BB893" s="139">
        <v>1</v>
      </c>
      <c r="BC893" s="138" t="s">
        <v>883</v>
      </c>
    </row>
    <row r="894" spans="5:55" x14ac:dyDescent="0.3">
      <c r="E894" s="152">
        <v>48.67</v>
      </c>
      <c r="F894" s="153">
        <v>18</v>
      </c>
      <c r="G894" s="155" t="s">
        <v>874</v>
      </c>
      <c r="M894" s="136">
        <v>48.45</v>
      </c>
      <c r="N894" s="139">
        <v>6</v>
      </c>
      <c r="O894" s="138">
        <v>9</v>
      </c>
      <c r="U894" s="136">
        <v>48.59</v>
      </c>
      <c r="V894" s="139">
        <v>9</v>
      </c>
      <c r="W894" s="138">
        <v>37</v>
      </c>
      <c r="Y894" s="136">
        <v>48.34</v>
      </c>
      <c r="Z894" s="139">
        <v>2</v>
      </c>
      <c r="AA894" s="138" t="s">
        <v>883</v>
      </c>
      <c r="AC894" s="136">
        <v>48.61</v>
      </c>
      <c r="AD894" s="139">
        <v>12</v>
      </c>
      <c r="AE894" s="138">
        <v>75</v>
      </c>
      <c r="AG894" s="136">
        <v>48.67</v>
      </c>
      <c r="AH894" s="137">
        <v>4</v>
      </c>
      <c r="AI894" s="138">
        <v>2</v>
      </c>
      <c r="AK894" s="136">
        <v>48.49</v>
      </c>
      <c r="AL894" s="139">
        <v>12</v>
      </c>
      <c r="AM894" s="138">
        <v>75</v>
      </c>
      <c r="AS894" s="136">
        <v>48.41</v>
      </c>
      <c r="AT894" s="139">
        <v>3</v>
      </c>
      <c r="AU894" s="138">
        <v>1</v>
      </c>
      <c r="BA894" s="136">
        <v>49.22</v>
      </c>
      <c r="BB894" s="139">
        <v>2</v>
      </c>
      <c r="BC894" s="138" t="s">
        <v>883</v>
      </c>
    </row>
    <row r="895" spans="5:55" x14ac:dyDescent="0.3">
      <c r="E895" s="152">
        <v>48.69</v>
      </c>
      <c r="F895" s="153">
        <v>19</v>
      </c>
      <c r="G895" s="155" t="s">
        <v>874</v>
      </c>
      <c r="M895" s="136">
        <v>48.48</v>
      </c>
      <c r="N895" s="139">
        <v>7</v>
      </c>
      <c r="O895" s="138">
        <v>16</v>
      </c>
      <c r="U895" s="136">
        <v>48.61</v>
      </c>
      <c r="V895" s="139">
        <v>10</v>
      </c>
      <c r="W895" s="138">
        <v>50</v>
      </c>
      <c r="Y895" s="136">
        <v>48.37</v>
      </c>
      <c r="Z895" s="139">
        <v>3</v>
      </c>
      <c r="AA895" s="138">
        <v>1</v>
      </c>
      <c r="AC895" s="136">
        <v>48.63</v>
      </c>
      <c r="AD895" s="139">
        <v>13</v>
      </c>
      <c r="AE895" s="138">
        <v>85</v>
      </c>
      <c r="AG895" s="136">
        <v>48.69</v>
      </c>
      <c r="AH895" s="137">
        <v>5</v>
      </c>
      <c r="AI895" s="138">
        <v>5</v>
      </c>
      <c r="AK895" s="136">
        <v>48.5</v>
      </c>
      <c r="AL895" s="139">
        <v>13</v>
      </c>
      <c r="AM895" s="138">
        <v>85</v>
      </c>
      <c r="AS895" s="136">
        <v>48.43</v>
      </c>
      <c r="AT895" s="139">
        <v>4</v>
      </c>
      <c r="AU895" s="138">
        <v>2</v>
      </c>
      <c r="BA895" s="136">
        <v>49.24</v>
      </c>
      <c r="BB895" s="139">
        <v>3</v>
      </c>
      <c r="BC895" s="138">
        <v>1</v>
      </c>
    </row>
    <row r="896" spans="5:55" x14ac:dyDescent="0.3">
      <c r="E896" s="152">
        <v>49</v>
      </c>
      <c r="F896" s="153">
        <v>1</v>
      </c>
      <c r="G896" s="155" t="s">
        <v>862</v>
      </c>
      <c r="M896" s="136">
        <v>48.5</v>
      </c>
      <c r="N896" s="139">
        <v>8</v>
      </c>
      <c r="O896" s="138">
        <v>25</v>
      </c>
      <c r="U896" s="136">
        <v>48.63</v>
      </c>
      <c r="V896" s="139">
        <v>11</v>
      </c>
      <c r="W896" s="138">
        <v>63</v>
      </c>
      <c r="Y896" s="136">
        <v>48.4</v>
      </c>
      <c r="Z896" s="139">
        <v>4</v>
      </c>
      <c r="AA896" s="138">
        <v>2</v>
      </c>
      <c r="AC896" s="136">
        <v>48.66</v>
      </c>
      <c r="AD896" s="139">
        <v>14</v>
      </c>
      <c r="AE896" s="138">
        <v>91</v>
      </c>
      <c r="AG896" s="136">
        <v>48.7</v>
      </c>
      <c r="AH896" s="137">
        <v>6</v>
      </c>
      <c r="AI896" s="138">
        <v>9</v>
      </c>
      <c r="AK896" s="136">
        <v>48.51</v>
      </c>
      <c r="AL896" s="139">
        <v>14</v>
      </c>
      <c r="AM896" s="138">
        <v>91</v>
      </c>
      <c r="AS896" s="136">
        <v>48.44</v>
      </c>
      <c r="AT896" s="139">
        <v>5</v>
      </c>
      <c r="AU896" s="138">
        <v>5</v>
      </c>
      <c r="BA896" s="136">
        <v>49.26</v>
      </c>
      <c r="BB896" s="139">
        <v>4</v>
      </c>
      <c r="BC896" s="138">
        <v>2</v>
      </c>
    </row>
    <row r="897" spans="5:55" x14ac:dyDescent="0.3">
      <c r="E897" s="152">
        <v>49.39</v>
      </c>
      <c r="F897" s="153">
        <v>2</v>
      </c>
      <c r="G897" s="155" t="s">
        <v>862</v>
      </c>
      <c r="M897" s="136">
        <v>48.52</v>
      </c>
      <c r="N897" s="139">
        <v>9</v>
      </c>
      <c r="O897" s="138">
        <v>37</v>
      </c>
      <c r="U897" s="136">
        <v>48.65</v>
      </c>
      <c r="V897" s="139">
        <v>12</v>
      </c>
      <c r="W897" s="138">
        <v>75</v>
      </c>
      <c r="Y897" s="136">
        <v>48.42</v>
      </c>
      <c r="Z897" s="139">
        <v>5</v>
      </c>
      <c r="AA897" s="138">
        <v>5</v>
      </c>
      <c r="AC897" s="136">
        <v>48.68</v>
      </c>
      <c r="AD897" s="139">
        <v>15</v>
      </c>
      <c r="AE897" s="138">
        <v>95</v>
      </c>
      <c r="AG897" s="136">
        <v>48.72</v>
      </c>
      <c r="AH897" s="137">
        <v>7</v>
      </c>
      <c r="AI897" s="138">
        <v>16</v>
      </c>
      <c r="AK897" s="136">
        <v>48.52</v>
      </c>
      <c r="AL897" s="139">
        <v>15</v>
      </c>
      <c r="AM897" s="138">
        <v>95</v>
      </c>
      <c r="AS897" s="136">
        <v>48.45</v>
      </c>
      <c r="AT897" s="139">
        <v>6</v>
      </c>
      <c r="AU897" s="138">
        <v>9</v>
      </c>
      <c r="BA897" s="136">
        <v>49.28</v>
      </c>
      <c r="BB897" s="139">
        <v>5</v>
      </c>
      <c r="BC897" s="138">
        <v>5</v>
      </c>
    </row>
    <row r="898" spans="5:55" x14ac:dyDescent="0.3">
      <c r="E898" s="152">
        <v>49.45</v>
      </c>
      <c r="F898" s="153">
        <v>3</v>
      </c>
      <c r="G898" s="155" t="s">
        <v>876</v>
      </c>
      <c r="M898" s="136">
        <v>48.53</v>
      </c>
      <c r="N898" s="139">
        <v>10</v>
      </c>
      <c r="O898" s="138">
        <v>50</v>
      </c>
      <c r="U898" s="136">
        <v>48.67</v>
      </c>
      <c r="V898" s="139">
        <v>13</v>
      </c>
      <c r="W898" s="138">
        <v>85</v>
      </c>
      <c r="Y898" s="136">
        <v>48.44</v>
      </c>
      <c r="Z898" s="139">
        <v>6</v>
      </c>
      <c r="AA898" s="138">
        <v>9</v>
      </c>
      <c r="AC898" s="136">
        <v>48.71</v>
      </c>
      <c r="AD898" s="139">
        <v>16</v>
      </c>
      <c r="AE898" s="138">
        <v>98</v>
      </c>
      <c r="AG898" s="136">
        <v>48.73</v>
      </c>
      <c r="AH898" s="137">
        <v>8</v>
      </c>
      <c r="AI898" s="138">
        <v>25</v>
      </c>
      <c r="AK898" s="136">
        <v>48.53</v>
      </c>
      <c r="AL898" s="139">
        <v>16</v>
      </c>
      <c r="AM898" s="138">
        <v>98</v>
      </c>
      <c r="AS898" s="136">
        <v>48.46</v>
      </c>
      <c r="AT898" s="139">
        <v>7</v>
      </c>
      <c r="AU898" s="138">
        <v>16</v>
      </c>
      <c r="BA898" s="136">
        <v>49.3</v>
      </c>
      <c r="BB898" s="139">
        <v>6</v>
      </c>
      <c r="BC898" s="138">
        <v>9</v>
      </c>
    </row>
    <row r="899" spans="5:55" x14ac:dyDescent="0.3">
      <c r="E899" s="152">
        <v>49.47</v>
      </c>
      <c r="F899" s="153">
        <v>4</v>
      </c>
      <c r="G899" s="155" t="s">
        <v>863</v>
      </c>
      <c r="M899" s="136">
        <v>48.54</v>
      </c>
      <c r="N899" s="139">
        <v>11</v>
      </c>
      <c r="O899" s="138">
        <v>63</v>
      </c>
      <c r="U899" s="136">
        <v>48.7</v>
      </c>
      <c r="V899" s="139">
        <v>14</v>
      </c>
      <c r="W899" s="138">
        <v>91</v>
      </c>
      <c r="Y899" s="136">
        <v>48.46</v>
      </c>
      <c r="Z899" s="139">
        <v>7</v>
      </c>
      <c r="AA899" s="138">
        <v>16</v>
      </c>
      <c r="AC899" s="136">
        <v>48.73</v>
      </c>
      <c r="AD899" s="139">
        <v>17</v>
      </c>
      <c r="AE899" s="138">
        <v>99</v>
      </c>
      <c r="AG899" s="136">
        <v>48.75</v>
      </c>
      <c r="AH899" s="137">
        <v>9</v>
      </c>
      <c r="AI899" s="138">
        <v>37</v>
      </c>
      <c r="AK899" s="136">
        <v>48.54</v>
      </c>
      <c r="AL899" s="139">
        <v>17</v>
      </c>
      <c r="AM899" s="138">
        <v>99</v>
      </c>
      <c r="AS899" s="136">
        <v>48.47</v>
      </c>
      <c r="AT899" s="139">
        <v>8</v>
      </c>
      <c r="AU899" s="138">
        <v>25</v>
      </c>
      <c r="BA899" s="136">
        <v>49.33</v>
      </c>
      <c r="BB899" s="139">
        <v>7</v>
      </c>
      <c r="BC899" s="138">
        <v>16</v>
      </c>
    </row>
    <row r="900" spans="5:55" x14ac:dyDescent="0.3">
      <c r="E900" s="152">
        <v>49.5</v>
      </c>
      <c r="F900" s="153">
        <v>5</v>
      </c>
      <c r="G900" s="155" t="s">
        <v>877</v>
      </c>
      <c r="M900" s="136">
        <v>48.55</v>
      </c>
      <c r="N900" s="139">
        <v>12</v>
      </c>
      <c r="O900" s="138">
        <v>75</v>
      </c>
      <c r="U900" s="136">
        <v>48.72</v>
      </c>
      <c r="V900" s="139">
        <v>15</v>
      </c>
      <c r="W900" s="138">
        <v>95</v>
      </c>
      <c r="Y900" s="136">
        <v>48.47</v>
      </c>
      <c r="Z900" s="139">
        <v>8</v>
      </c>
      <c r="AA900" s="138">
        <v>25</v>
      </c>
      <c r="AC900" s="136">
        <v>48.76</v>
      </c>
      <c r="AD900" s="139">
        <v>18</v>
      </c>
      <c r="AE900" s="138" t="s">
        <v>884</v>
      </c>
      <c r="AG900" s="136">
        <v>48.76</v>
      </c>
      <c r="AH900" s="137">
        <v>10</v>
      </c>
      <c r="AI900" s="138">
        <v>50</v>
      </c>
      <c r="AK900" s="136">
        <v>48.55</v>
      </c>
      <c r="AL900" s="139">
        <v>18</v>
      </c>
      <c r="AM900" s="138" t="s">
        <v>884</v>
      </c>
      <c r="AS900" s="136">
        <v>48.48</v>
      </c>
      <c r="AT900" s="139">
        <v>9</v>
      </c>
      <c r="AU900" s="138">
        <v>37</v>
      </c>
      <c r="BA900" s="136">
        <v>49.35</v>
      </c>
      <c r="BB900" s="139">
        <v>8</v>
      </c>
      <c r="BC900" s="138">
        <v>25</v>
      </c>
    </row>
    <row r="901" spans="5:55" x14ac:dyDescent="0.3">
      <c r="E901" s="152">
        <v>49.52</v>
      </c>
      <c r="F901" s="153">
        <v>6</v>
      </c>
      <c r="G901" s="155" t="s">
        <v>864</v>
      </c>
      <c r="M901" s="136">
        <v>48.56</v>
      </c>
      <c r="N901" s="139">
        <v>13</v>
      </c>
      <c r="O901" s="138">
        <v>85</v>
      </c>
      <c r="U901" s="136">
        <v>48.74</v>
      </c>
      <c r="V901" s="139">
        <v>16</v>
      </c>
      <c r="W901" s="138">
        <v>98</v>
      </c>
      <c r="Y901" s="136">
        <v>48.49</v>
      </c>
      <c r="Z901" s="139">
        <v>9</v>
      </c>
      <c r="AA901" s="138">
        <v>37</v>
      </c>
      <c r="AC901" s="136">
        <v>48.78</v>
      </c>
      <c r="AD901" s="139">
        <v>19</v>
      </c>
      <c r="AE901" s="138" t="s">
        <v>884</v>
      </c>
      <c r="AG901" s="136">
        <v>48.77</v>
      </c>
      <c r="AH901" s="137">
        <v>11</v>
      </c>
      <c r="AI901" s="138">
        <v>63</v>
      </c>
      <c r="AK901" s="136">
        <v>48.56</v>
      </c>
      <c r="AL901" s="139">
        <v>19</v>
      </c>
      <c r="AM901" s="138" t="s">
        <v>884</v>
      </c>
      <c r="AS901" s="136">
        <v>48.49</v>
      </c>
      <c r="AT901" s="139">
        <v>10</v>
      </c>
      <c r="AU901" s="138">
        <v>50</v>
      </c>
      <c r="BA901" s="136">
        <v>49.38</v>
      </c>
      <c r="BB901" s="139">
        <v>9</v>
      </c>
      <c r="BC901" s="138">
        <v>37</v>
      </c>
    </row>
    <row r="902" spans="5:55" x14ac:dyDescent="0.3">
      <c r="E902" s="152">
        <v>49.54</v>
      </c>
      <c r="F902" s="153">
        <v>7</v>
      </c>
      <c r="G902" s="155" t="s">
        <v>878</v>
      </c>
      <c r="M902" s="136">
        <v>48.57</v>
      </c>
      <c r="N902" s="139">
        <v>14</v>
      </c>
      <c r="O902" s="138">
        <v>91</v>
      </c>
      <c r="U902" s="136">
        <v>48.76</v>
      </c>
      <c r="V902" s="139">
        <v>17</v>
      </c>
      <c r="W902" s="138">
        <v>99</v>
      </c>
      <c r="Y902" s="136">
        <v>48.5</v>
      </c>
      <c r="Z902" s="139">
        <v>10</v>
      </c>
      <c r="AA902" s="138">
        <v>50</v>
      </c>
      <c r="AC902" s="136">
        <v>49</v>
      </c>
      <c r="AD902" s="139">
        <v>1</v>
      </c>
      <c r="AE902" s="138" t="s">
        <v>883</v>
      </c>
      <c r="AG902" s="136">
        <v>48.78</v>
      </c>
      <c r="AH902" s="137">
        <v>12</v>
      </c>
      <c r="AI902" s="138">
        <v>75</v>
      </c>
      <c r="AK902" s="136">
        <v>49</v>
      </c>
      <c r="AL902" s="139">
        <v>1</v>
      </c>
      <c r="AM902" s="138" t="s">
        <v>883</v>
      </c>
      <c r="AS902" s="136">
        <v>48.5</v>
      </c>
      <c r="AT902" s="139">
        <v>11</v>
      </c>
      <c r="AU902" s="138">
        <v>63</v>
      </c>
      <c r="BA902" s="136">
        <v>49.4</v>
      </c>
      <c r="BB902" s="139">
        <v>10</v>
      </c>
      <c r="BC902" s="138">
        <v>50</v>
      </c>
    </row>
    <row r="903" spans="5:55" x14ac:dyDescent="0.3">
      <c r="E903" s="152">
        <v>49.56</v>
      </c>
      <c r="F903" s="153">
        <v>8</v>
      </c>
      <c r="G903" s="155" t="s">
        <v>865</v>
      </c>
      <c r="M903" s="136">
        <v>48.58</v>
      </c>
      <c r="N903" s="139">
        <v>15</v>
      </c>
      <c r="O903" s="138">
        <v>95</v>
      </c>
      <c r="U903" s="136">
        <v>48.78</v>
      </c>
      <c r="V903" s="139">
        <v>18</v>
      </c>
      <c r="W903" s="138" t="s">
        <v>884</v>
      </c>
      <c r="Y903" s="136">
        <v>48.52</v>
      </c>
      <c r="Z903" s="139">
        <v>11</v>
      </c>
      <c r="AA903" s="138">
        <v>63</v>
      </c>
      <c r="AC903" s="136">
        <v>49.36</v>
      </c>
      <c r="AD903" s="139">
        <v>2</v>
      </c>
      <c r="AE903" s="138" t="s">
        <v>883</v>
      </c>
      <c r="AG903" s="136">
        <v>48.79</v>
      </c>
      <c r="AH903" s="137">
        <v>13</v>
      </c>
      <c r="AI903" s="138">
        <v>85</v>
      </c>
      <c r="AK903" s="136">
        <v>49.31</v>
      </c>
      <c r="AL903" s="139">
        <v>2</v>
      </c>
      <c r="AM903" s="138" t="s">
        <v>883</v>
      </c>
      <c r="AS903" s="136">
        <v>48.51</v>
      </c>
      <c r="AT903" s="139">
        <v>12</v>
      </c>
      <c r="AU903" s="138">
        <v>75</v>
      </c>
      <c r="BA903" s="136">
        <v>49.43</v>
      </c>
      <c r="BB903" s="139">
        <v>11</v>
      </c>
      <c r="BC903" s="138">
        <v>63</v>
      </c>
    </row>
    <row r="904" spans="5:55" x14ac:dyDescent="0.3">
      <c r="E904" s="152">
        <v>49.58</v>
      </c>
      <c r="F904" s="153">
        <v>9</v>
      </c>
      <c r="G904" s="155" t="s">
        <v>879</v>
      </c>
      <c r="M904" s="136">
        <v>48.59</v>
      </c>
      <c r="N904" s="139">
        <v>17</v>
      </c>
      <c r="O904" s="138">
        <v>99</v>
      </c>
      <c r="U904" s="136">
        <v>48.79</v>
      </c>
      <c r="V904" s="139">
        <v>19</v>
      </c>
      <c r="W904" s="138" t="s">
        <v>884</v>
      </c>
      <c r="Y904" s="136">
        <v>48.54</v>
      </c>
      <c r="Z904" s="139">
        <v>12</v>
      </c>
      <c r="AA904" s="138">
        <v>75</v>
      </c>
      <c r="AC904" s="136">
        <v>49.39</v>
      </c>
      <c r="AD904" s="139">
        <v>3</v>
      </c>
      <c r="AE904" s="138">
        <v>1</v>
      </c>
      <c r="AG904" s="136">
        <v>48.81</v>
      </c>
      <c r="AH904" s="137">
        <v>14</v>
      </c>
      <c r="AI904" s="138">
        <v>91</v>
      </c>
      <c r="AK904" s="136">
        <v>49.32</v>
      </c>
      <c r="AL904" s="139">
        <v>3</v>
      </c>
      <c r="AM904" s="138">
        <v>1</v>
      </c>
      <c r="AS904" s="136">
        <v>48.52</v>
      </c>
      <c r="AT904" s="139">
        <v>13</v>
      </c>
      <c r="AU904" s="138">
        <v>85</v>
      </c>
      <c r="BA904" s="136">
        <v>49.45</v>
      </c>
      <c r="BB904" s="139">
        <v>12</v>
      </c>
      <c r="BC904" s="138">
        <v>75</v>
      </c>
    </row>
    <row r="905" spans="5:55" x14ac:dyDescent="0.3">
      <c r="E905" s="152">
        <v>49.59</v>
      </c>
      <c r="F905" s="153">
        <v>10</v>
      </c>
      <c r="G905" s="155" t="s">
        <v>866</v>
      </c>
      <c r="M905" s="136">
        <v>48.6</v>
      </c>
      <c r="N905" s="139">
        <v>19</v>
      </c>
      <c r="O905" s="138" t="s">
        <v>884</v>
      </c>
      <c r="U905" s="136">
        <v>49</v>
      </c>
      <c r="V905" s="139">
        <v>1</v>
      </c>
      <c r="W905" s="138" t="s">
        <v>883</v>
      </c>
      <c r="Y905" s="136">
        <v>48.55</v>
      </c>
      <c r="Z905" s="139">
        <v>13</v>
      </c>
      <c r="AA905" s="138">
        <v>85</v>
      </c>
      <c r="AC905" s="136">
        <v>49.42</v>
      </c>
      <c r="AD905" s="139">
        <v>4</v>
      </c>
      <c r="AE905" s="138">
        <v>2</v>
      </c>
      <c r="AG905" s="136">
        <v>48.82</v>
      </c>
      <c r="AH905" s="137">
        <v>15</v>
      </c>
      <c r="AI905" s="138">
        <v>95</v>
      </c>
      <c r="AK905" s="136">
        <v>49.37</v>
      </c>
      <c r="AL905" s="139">
        <v>4</v>
      </c>
      <c r="AM905" s="138">
        <v>2</v>
      </c>
      <c r="AS905" s="136">
        <v>48.53</v>
      </c>
      <c r="AT905" s="139">
        <v>14</v>
      </c>
      <c r="AU905" s="138">
        <v>91</v>
      </c>
      <c r="BA905" s="136">
        <v>49.48</v>
      </c>
      <c r="BB905" s="139">
        <v>13</v>
      </c>
      <c r="BC905" s="138">
        <v>85</v>
      </c>
    </row>
    <row r="906" spans="5:55" x14ac:dyDescent="0.3">
      <c r="E906" s="152">
        <v>49.6</v>
      </c>
      <c r="F906" s="153">
        <v>11</v>
      </c>
      <c r="G906" s="155" t="s">
        <v>867</v>
      </c>
      <c r="M906" s="136">
        <v>49</v>
      </c>
      <c r="N906" s="139">
        <v>1</v>
      </c>
      <c r="O906" s="138" t="s">
        <v>883</v>
      </c>
      <c r="U906" s="136">
        <v>49.32</v>
      </c>
      <c r="V906" s="139">
        <v>2</v>
      </c>
      <c r="W906" s="138" t="s">
        <v>883</v>
      </c>
      <c r="Y906" s="136">
        <v>48.57</v>
      </c>
      <c r="Z906" s="139">
        <v>14</v>
      </c>
      <c r="AA906" s="138">
        <v>91</v>
      </c>
      <c r="AC906" s="136">
        <v>49.44</v>
      </c>
      <c r="AD906" s="139">
        <v>5</v>
      </c>
      <c r="AE906" s="138">
        <v>5</v>
      </c>
      <c r="AG906" s="136">
        <v>48.83</v>
      </c>
      <c r="AH906" s="137">
        <v>16</v>
      </c>
      <c r="AI906" s="138">
        <v>98</v>
      </c>
      <c r="AK906" s="136">
        <v>49.39</v>
      </c>
      <c r="AL906" s="139">
        <v>5</v>
      </c>
      <c r="AM906" s="138">
        <v>5</v>
      </c>
      <c r="AS906" s="136">
        <v>48.54</v>
      </c>
      <c r="AT906" s="139">
        <v>15</v>
      </c>
      <c r="AU906" s="138">
        <v>95</v>
      </c>
      <c r="BA906" s="136">
        <v>49.51</v>
      </c>
      <c r="BB906" s="139">
        <v>14</v>
      </c>
      <c r="BC906" s="138">
        <v>91</v>
      </c>
    </row>
    <row r="907" spans="5:55" x14ac:dyDescent="0.3">
      <c r="E907" s="152">
        <v>49.61</v>
      </c>
      <c r="F907" s="153">
        <v>12</v>
      </c>
      <c r="G907" s="155" t="s">
        <v>868</v>
      </c>
      <c r="M907" s="136">
        <v>49.33</v>
      </c>
      <c r="N907" s="139">
        <v>2</v>
      </c>
      <c r="O907" s="138" t="s">
        <v>883</v>
      </c>
      <c r="U907" s="136">
        <v>49.42</v>
      </c>
      <c r="V907" s="139">
        <v>3</v>
      </c>
      <c r="W907" s="138">
        <v>1</v>
      </c>
      <c r="Y907" s="136">
        <v>48.59</v>
      </c>
      <c r="Z907" s="139">
        <v>15</v>
      </c>
      <c r="AA907" s="138">
        <v>95</v>
      </c>
      <c r="AC907" s="136">
        <v>49.47</v>
      </c>
      <c r="AD907" s="139">
        <v>6</v>
      </c>
      <c r="AE907" s="138">
        <v>9</v>
      </c>
      <c r="AG907" s="136">
        <v>48.84</v>
      </c>
      <c r="AH907" s="137">
        <v>17</v>
      </c>
      <c r="AI907" s="138">
        <v>99</v>
      </c>
      <c r="AK907" s="136">
        <v>49.41</v>
      </c>
      <c r="AL907" s="139">
        <v>6</v>
      </c>
      <c r="AM907" s="138">
        <v>9</v>
      </c>
      <c r="AS907" s="136">
        <v>48.55</v>
      </c>
      <c r="AT907" s="139">
        <v>16</v>
      </c>
      <c r="AU907" s="138">
        <v>98</v>
      </c>
      <c r="BA907" s="136">
        <v>49.53</v>
      </c>
      <c r="BB907" s="139">
        <v>15</v>
      </c>
      <c r="BC907" s="138">
        <v>95</v>
      </c>
    </row>
    <row r="908" spans="5:55" x14ac:dyDescent="0.3">
      <c r="E908" s="152">
        <v>49.62</v>
      </c>
      <c r="F908" s="153">
        <v>13</v>
      </c>
      <c r="G908" s="155" t="s">
        <v>869</v>
      </c>
      <c r="M908" s="136">
        <v>49.39</v>
      </c>
      <c r="N908" s="139">
        <v>3</v>
      </c>
      <c r="O908" s="138">
        <v>1</v>
      </c>
      <c r="U908" s="136">
        <v>49.46</v>
      </c>
      <c r="V908" s="139">
        <v>4</v>
      </c>
      <c r="W908" s="138">
        <v>2</v>
      </c>
      <c r="Y908" s="136">
        <v>48.6</v>
      </c>
      <c r="Z908" s="139">
        <v>16</v>
      </c>
      <c r="AA908" s="138">
        <v>98</v>
      </c>
      <c r="AC908" s="136">
        <v>49.49</v>
      </c>
      <c r="AD908" s="139">
        <v>7</v>
      </c>
      <c r="AE908" s="138">
        <v>16</v>
      </c>
      <c r="AG908" s="136">
        <v>48.86</v>
      </c>
      <c r="AH908" s="137">
        <v>18</v>
      </c>
      <c r="AI908" s="138" t="s">
        <v>884</v>
      </c>
      <c r="AK908" s="136">
        <v>49.42</v>
      </c>
      <c r="AL908" s="139">
        <v>7</v>
      </c>
      <c r="AM908" s="138">
        <v>16</v>
      </c>
      <c r="AS908" s="136">
        <v>48.56</v>
      </c>
      <c r="AT908" s="139">
        <v>17</v>
      </c>
      <c r="AU908" s="138">
        <v>99</v>
      </c>
      <c r="BA908" s="136">
        <v>49.55</v>
      </c>
      <c r="BB908" s="139">
        <v>16</v>
      </c>
      <c r="BC908" s="138">
        <v>98</v>
      </c>
    </row>
    <row r="909" spans="5:55" x14ac:dyDescent="0.3">
      <c r="E909" s="152">
        <v>49.63</v>
      </c>
      <c r="F909" s="153">
        <v>14</v>
      </c>
      <c r="G909" s="155" t="s">
        <v>870</v>
      </c>
      <c r="M909" s="136">
        <v>49.41</v>
      </c>
      <c r="N909" s="139">
        <v>4</v>
      </c>
      <c r="O909" s="138">
        <v>2</v>
      </c>
      <c r="U909" s="136">
        <v>49.49</v>
      </c>
      <c r="V909" s="139">
        <v>5</v>
      </c>
      <c r="W909" s="138">
        <v>5</v>
      </c>
      <c r="Y909" s="136">
        <v>48.62</v>
      </c>
      <c r="Z909" s="139">
        <v>17</v>
      </c>
      <c r="AA909" s="138">
        <v>99</v>
      </c>
      <c r="AC909" s="136">
        <v>49.51</v>
      </c>
      <c r="AD909" s="139">
        <v>8</v>
      </c>
      <c r="AE909" s="138">
        <v>25</v>
      </c>
      <c r="AG909" s="136">
        <v>48.87</v>
      </c>
      <c r="AH909" s="137">
        <v>19</v>
      </c>
      <c r="AI909" s="138" t="s">
        <v>884</v>
      </c>
      <c r="AK909" s="136">
        <v>49.43</v>
      </c>
      <c r="AL909" s="139">
        <v>8</v>
      </c>
      <c r="AM909" s="138">
        <v>25</v>
      </c>
      <c r="AS909" s="136">
        <v>48.57</v>
      </c>
      <c r="AT909" s="139">
        <v>18</v>
      </c>
      <c r="AU909" s="138" t="s">
        <v>884</v>
      </c>
      <c r="BA909" s="136">
        <v>49.58</v>
      </c>
      <c r="BB909" s="139">
        <v>17</v>
      </c>
      <c r="BC909" s="138">
        <v>99</v>
      </c>
    </row>
    <row r="910" spans="5:55" x14ac:dyDescent="0.3">
      <c r="E910" s="152">
        <v>49.64</v>
      </c>
      <c r="F910" s="153">
        <v>15</v>
      </c>
      <c r="G910" s="155" t="s">
        <v>871</v>
      </c>
      <c r="M910" s="136">
        <v>49.44</v>
      </c>
      <c r="N910" s="139">
        <v>5</v>
      </c>
      <c r="O910" s="138">
        <v>5</v>
      </c>
      <c r="U910" s="136">
        <v>49.51</v>
      </c>
      <c r="V910" s="139">
        <v>6</v>
      </c>
      <c r="W910" s="138">
        <v>9</v>
      </c>
      <c r="Y910" s="136">
        <v>48.64</v>
      </c>
      <c r="Z910" s="139">
        <v>18</v>
      </c>
      <c r="AA910" s="138" t="s">
        <v>884</v>
      </c>
      <c r="AC910" s="136">
        <v>49.54</v>
      </c>
      <c r="AD910" s="139">
        <v>9</v>
      </c>
      <c r="AE910" s="138">
        <v>37</v>
      </c>
      <c r="AG910" s="136">
        <v>49</v>
      </c>
      <c r="AH910" s="137">
        <v>1</v>
      </c>
      <c r="AI910" s="138" t="s">
        <v>883</v>
      </c>
      <c r="AK910" s="136">
        <v>49.44</v>
      </c>
      <c r="AL910" s="139">
        <v>9</v>
      </c>
      <c r="AM910" s="138">
        <v>37</v>
      </c>
      <c r="AS910" s="136">
        <v>48.58</v>
      </c>
      <c r="AT910" s="139">
        <v>19</v>
      </c>
      <c r="AU910" s="138" t="s">
        <v>884</v>
      </c>
      <c r="BA910" s="136">
        <v>49.61</v>
      </c>
      <c r="BB910" s="139">
        <v>18</v>
      </c>
      <c r="BC910" s="138" t="s">
        <v>884</v>
      </c>
    </row>
    <row r="911" spans="5:55" x14ac:dyDescent="0.3">
      <c r="E911" s="152">
        <v>49.65</v>
      </c>
      <c r="F911" s="153">
        <v>16</v>
      </c>
      <c r="G911" s="155" t="s">
        <v>872</v>
      </c>
      <c r="M911" s="136">
        <v>49.45</v>
      </c>
      <c r="N911" s="139">
        <v>6</v>
      </c>
      <c r="O911" s="138">
        <v>9</v>
      </c>
      <c r="U911" s="136">
        <v>49.54</v>
      </c>
      <c r="V911" s="139">
        <v>7</v>
      </c>
      <c r="W911" s="138">
        <v>16</v>
      </c>
      <c r="Y911" s="136">
        <v>48.66</v>
      </c>
      <c r="Z911" s="139">
        <v>19</v>
      </c>
      <c r="AA911" s="138" t="s">
        <v>884</v>
      </c>
      <c r="AC911" s="136">
        <v>49.56</v>
      </c>
      <c r="AD911" s="139">
        <v>10</v>
      </c>
      <c r="AE911" s="138">
        <v>50</v>
      </c>
      <c r="AG911" s="136">
        <v>49.58</v>
      </c>
      <c r="AH911" s="137">
        <v>2</v>
      </c>
      <c r="AI911" s="138" t="s">
        <v>883</v>
      </c>
      <c r="AK911" s="136">
        <v>49.45</v>
      </c>
      <c r="AL911" s="139">
        <v>10</v>
      </c>
      <c r="AM911" s="138">
        <v>50</v>
      </c>
      <c r="AS911" s="136">
        <v>49</v>
      </c>
      <c r="AT911" s="139">
        <v>1</v>
      </c>
      <c r="AU911" s="138" t="s">
        <v>883</v>
      </c>
      <c r="BA911" s="136">
        <v>49.64</v>
      </c>
      <c r="BB911" s="139">
        <v>19</v>
      </c>
      <c r="BC911" s="138" t="s">
        <v>884</v>
      </c>
    </row>
    <row r="912" spans="5:55" x14ac:dyDescent="0.3">
      <c r="E912" s="152">
        <v>49.66</v>
      </c>
      <c r="F912" s="153">
        <v>17</v>
      </c>
      <c r="G912" s="155" t="s">
        <v>873</v>
      </c>
      <c r="M912" s="136">
        <v>49.48</v>
      </c>
      <c r="N912" s="139">
        <v>7</v>
      </c>
      <c r="O912" s="138">
        <v>16</v>
      </c>
      <c r="U912" s="136">
        <v>49.56</v>
      </c>
      <c r="V912" s="139">
        <v>8</v>
      </c>
      <c r="W912" s="138">
        <v>25</v>
      </c>
      <c r="Y912" s="136">
        <v>49</v>
      </c>
      <c r="Z912" s="139">
        <v>1</v>
      </c>
      <c r="AA912" s="138" t="s">
        <v>883</v>
      </c>
      <c r="AC912" s="136">
        <v>49.59</v>
      </c>
      <c r="AD912" s="139">
        <v>11</v>
      </c>
      <c r="AE912" s="138">
        <v>63</v>
      </c>
      <c r="AG912" s="136">
        <v>49.65</v>
      </c>
      <c r="AH912" s="137">
        <v>3</v>
      </c>
      <c r="AI912" s="138">
        <v>1</v>
      </c>
      <c r="AK912" s="136">
        <v>49.47</v>
      </c>
      <c r="AL912" s="139">
        <v>11</v>
      </c>
      <c r="AM912" s="138">
        <v>63</v>
      </c>
      <c r="AS912" s="136">
        <v>49.39</v>
      </c>
      <c r="AT912" s="139">
        <v>2</v>
      </c>
      <c r="AU912" s="138" t="s">
        <v>883</v>
      </c>
      <c r="BA912" s="136">
        <v>50</v>
      </c>
      <c r="BB912" s="139">
        <v>1</v>
      </c>
      <c r="BC912" s="138" t="s">
        <v>883</v>
      </c>
    </row>
    <row r="913" spans="5:55" x14ac:dyDescent="0.3">
      <c r="E913" s="152">
        <v>49.67</v>
      </c>
      <c r="F913" s="153">
        <v>18</v>
      </c>
      <c r="G913" s="155" t="s">
        <v>874</v>
      </c>
      <c r="M913" s="136">
        <v>49.5</v>
      </c>
      <c r="N913" s="139">
        <v>8</v>
      </c>
      <c r="O913" s="138">
        <v>25</v>
      </c>
      <c r="U913" s="136">
        <v>49.59</v>
      </c>
      <c r="V913" s="139">
        <v>9</v>
      </c>
      <c r="W913" s="138">
        <v>37</v>
      </c>
      <c r="Y913" s="136">
        <v>49.34</v>
      </c>
      <c r="Z913" s="139">
        <v>2</v>
      </c>
      <c r="AA913" s="138" t="s">
        <v>883</v>
      </c>
      <c r="AC913" s="136">
        <v>49.61</v>
      </c>
      <c r="AD913" s="139">
        <v>12</v>
      </c>
      <c r="AE913" s="138">
        <v>75</v>
      </c>
      <c r="AG913" s="136">
        <v>49.67</v>
      </c>
      <c r="AH913" s="137">
        <v>4</v>
      </c>
      <c r="AI913" s="138">
        <v>2</v>
      </c>
      <c r="AK913" s="136">
        <v>49.49</v>
      </c>
      <c r="AL913" s="139">
        <v>12</v>
      </c>
      <c r="AM913" s="138">
        <v>75</v>
      </c>
      <c r="AS913" s="136">
        <v>49.41</v>
      </c>
      <c r="AT913" s="139">
        <v>3</v>
      </c>
      <c r="AU913" s="138">
        <v>1</v>
      </c>
      <c r="BA913" s="136">
        <v>50.22</v>
      </c>
      <c r="BB913" s="139">
        <v>2</v>
      </c>
      <c r="BC913" s="138" t="s">
        <v>883</v>
      </c>
    </row>
    <row r="914" spans="5:55" x14ac:dyDescent="0.3">
      <c r="E914" s="152">
        <v>49.69</v>
      </c>
      <c r="F914" s="153">
        <v>19</v>
      </c>
      <c r="G914" s="155" t="s">
        <v>874</v>
      </c>
      <c r="M914" s="136">
        <v>49.52</v>
      </c>
      <c r="N914" s="139">
        <v>9</v>
      </c>
      <c r="O914" s="138">
        <v>37</v>
      </c>
      <c r="U914" s="136">
        <v>49.61</v>
      </c>
      <c r="V914" s="139">
        <v>10</v>
      </c>
      <c r="W914" s="138">
        <v>50</v>
      </c>
      <c r="Y914" s="136">
        <v>49.37</v>
      </c>
      <c r="Z914" s="139">
        <v>3</v>
      </c>
      <c r="AA914" s="138">
        <v>1</v>
      </c>
      <c r="AC914" s="136">
        <v>49.63</v>
      </c>
      <c r="AD914" s="139">
        <v>13</v>
      </c>
      <c r="AE914" s="138">
        <v>85</v>
      </c>
      <c r="AG914" s="136">
        <v>49.69</v>
      </c>
      <c r="AH914" s="137">
        <v>5</v>
      </c>
      <c r="AI914" s="138">
        <v>5</v>
      </c>
      <c r="AK914" s="136">
        <v>49.5</v>
      </c>
      <c r="AL914" s="139">
        <v>13</v>
      </c>
      <c r="AM914" s="138">
        <v>85</v>
      </c>
      <c r="AS914" s="136">
        <v>49.43</v>
      </c>
      <c r="AT914" s="139">
        <v>4</v>
      </c>
      <c r="AU914" s="138">
        <v>2</v>
      </c>
      <c r="BA914" s="136">
        <v>50.24</v>
      </c>
      <c r="BB914" s="139">
        <v>3</v>
      </c>
      <c r="BC914" s="138">
        <v>1</v>
      </c>
    </row>
    <row r="915" spans="5:55" x14ac:dyDescent="0.3">
      <c r="E915" s="152">
        <v>50</v>
      </c>
      <c r="F915" s="153">
        <v>1</v>
      </c>
      <c r="G915" s="155" t="s">
        <v>862</v>
      </c>
      <c r="M915" s="136">
        <v>49.53</v>
      </c>
      <c r="N915" s="139">
        <v>10</v>
      </c>
      <c r="O915" s="138">
        <v>50</v>
      </c>
      <c r="U915" s="136">
        <v>49.63</v>
      </c>
      <c r="V915" s="139">
        <v>11</v>
      </c>
      <c r="W915" s="138">
        <v>63</v>
      </c>
      <c r="Y915" s="136">
        <v>49.4</v>
      </c>
      <c r="Z915" s="139">
        <v>4</v>
      </c>
      <c r="AA915" s="138">
        <v>2</v>
      </c>
      <c r="AC915" s="136">
        <v>49.66</v>
      </c>
      <c r="AD915" s="139">
        <v>14</v>
      </c>
      <c r="AE915" s="138">
        <v>91</v>
      </c>
      <c r="AG915" s="136">
        <v>49.7</v>
      </c>
      <c r="AH915" s="137">
        <v>6</v>
      </c>
      <c r="AI915" s="138">
        <v>9</v>
      </c>
      <c r="AK915" s="136">
        <v>49.51</v>
      </c>
      <c r="AL915" s="139">
        <v>14</v>
      </c>
      <c r="AM915" s="138">
        <v>91</v>
      </c>
      <c r="AS915" s="136">
        <v>49.44</v>
      </c>
      <c r="AT915" s="139">
        <v>5</v>
      </c>
      <c r="AU915" s="138">
        <v>5</v>
      </c>
      <c r="BA915" s="136">
        <v>50.26</v>
      </c>
      <c r="BB915" s="139">
        <v>4</v>
      </c>
      <c r="BC915" s="138">
        <v>2</v>
      </c>
    </row>
    <row r="916" spans="5:55" x14ac:dyDescent="0.3">
      <c r="E916" s="152">
        <v>50.39</v>
      </c>
      <c r="F916" s="153">
        <v>2</v>
      </c>
      <c r="G916" s="155" t="s">
        <v>862</v>
      </c>
      <c r="M916" s="136">
        <v>49.54</v>
      </c>
      <c r="N916" s="139">
        <v>11</v>
      </c>
      <c r="O916" s="138">
        <v>63</v>
      </c>
      <c r="U916" s="136">
        <v>49.65</v>
      </c>
      <c r="V916" s="139">
        <v>12</v>
      </c>
      <c r="W916" s="138">
        <v>75</v>
      </c>
      <c r="Y916" s="136">
        <v>49.42</v>
      </c>
      <c r="Z916" s="139">
        <v>5</v>
      </c>
      <c r="AA916" s="138">
        <v>5</v>
      </c>
      <c r="AC916" s="136">
        <v>49.68</v>
      </c>
      <c r="AD916" s="139">
        <v>15</v>
      </c>
      <c r="AE916" s="138">
        <v>95</v>
      </c>
      <c r="AG916" s="136">
        <v>49.72</v>
      </c>
      <c r="AH916" s="137">
        <v>7</v>
      </c>
      <c r="AI916" s="138">
        <v>16</v>
      </c>
      <c r="AK916" s="136">
        <v>49.52</v>
      </c>
      <c r="AL916" s="139">
        <v>15</v>
      </c>
      <c r="AM916" s="138">
        <v>95</v>
      </c>
      <c r="AS916" s="136">
        <v>49.45</v>
      </c>
      <c r="AT916" s="139">
        <v>6</v>
      </c>
      <c r="AU916" s="138">
        <v>9</v>
      </c>
      <c r="BA916" s="136">
        <v>50.28</v>
      </c>
      <c r="BB916" s="139">
        <v>5</v>
      </c>
      <c r="BC916" s="138">
        <v>5</v>
      </c>
    </row>
    <row r="917" spans="5:55" x14ac:dyDescent="0.3">
      <c r="E917" s="152">
        <v>50.45</v>
      </c>
      <c r="F917" s="153">
        <v>3</v>
      </c>
      <c r="G917" s="155" t="s">
        <v>876</v>
      </c>
      <c r="M917" s="136">
        <v>49.55</v>
      </c>
      <c r="N917" s="139">
        <v>12</v>
      </c>
      <c r="O917" s="138">
        <v>75</v>
      </c>
      <c r="U917" s="136">
        <v>49.67</v>
      </c>
      <c r="V917" s="139">
        <v>13</v>
      </c>
      <c r="W917" s="138">
        <v>85</v>
      </c>
      <c r="Y917" s="136">
        <v>49.44</v>
      </c>
      <c r="Z917" s="139">
        <v>6</v>
      </c>
      <c r="AA917" s="138">
        <v>9</v>
      </c>
      <c r="AC917" s="136">
        <v>49.71</v>
      </c>
      <c r="AD917" s="139">
        <v>16</v>
      </c>
      <c r="AE917" s="138">
        <v>98</v>
      </c>
      <c r="AG917" s="136">
        <v>49.73</v>
      </c>
      <c r="AH917" s="137">
        <v>8</v>
      </c>
      <c r="AI917" s="138">
        <v>25</v>
      </c>
      <c r="AK917" s="136">
        <v>49.53</v>
      </c>
      <c r="AL917" s="139">
        <v>16</v>
      </c>
      <c r="AM917" s="138">
        <v>98</v>
      </c>
      <c r="AS917" s="136">
        <v>49.46</v>
      </c>
      <c r="AT917" s="139">
        <v>7</v>
      </c>
      <c r="AU917" s="138">
        <v>16</v>
      </c>
      <c r="BA917" s="136">
        <v>50.3</v>
      </c>
      <c r="BB917" s="139">
        <v>6</v>
      </c>
      <c r="BC917" s="138">
        <v>9</v>
      </c>
    </row>
    <row r="918" spans="5:55" x14ac:dyDescent="0.3">
      <c r="E918" s="152">
        <v>50.47</v>
      </c>
      <c r="F918" s="153">
        <v>4</v>
      </c>
      <c r="G918" s="155" t="s">
        <v>863</v>
      </c>
      <c r="M918" s="136">
        <v>49.56</v>
      </c>
      <c r="N918" s="139">
        <v>13</v>
      </c>
      <c r="O918" s="138">
        <v>85</v>
      </c>
      <c r="U918" s="136">
        <v>49.7</v>
      </c>
      <c r="V918" s="139">
        <v>14</v>
      </c>
      <c r="W918" s="138">
        <v>91</v>
      </c>
      <c r="Y918" s="136">
        <v>49.46</v>
      </c>
      <c r="Z918" s="139">
        <v>7</v>
      </c>
      <c r="AA918" s="138">
        <v>16</v>
      </c>
      <c r="AC918" s="136">
        <v>49.73</v>
      </c>
      <c r="AD918" s="139">
        <v>17</v>
      </c>
      <c r="AE918" s="138">
        <v>99</v>
      </c>
      <c r="AG918" s="136">
        <v>49.75</v>
      </c>
      <c r="AH918" s="137">
        <v>9</v>
      </c>
      <c r="AI918" s="138">
        <v>37</v>
      </c>
      <c r="AK918" s="136">
        <v>49.54</v>
      </c>
      <c r="AL918" s="139">
        <v>17</v>
      </c>
      <c r="AM918" s="138">
        <v>99</v>
      </c>
      <c r="AS918" s="136">
        <v>49.47</v>
      </c>
      <c r="AT918" s="139">
        <v>8</v>
      </c>
      <c r="AU918" s="138">
        <v>25</v>
      </c>
      <c r="BA918" s="136">
        <v>50.33</v>
      </c>
      <c r="BB918" s="139">
        <v>7</v>
      </c>
      <c r="BC918" s="138">
        <v>16</v>
      </c>
    </row>
    <row r="919" spans="5:55" x14ac:dyDescent="0.3">
      <c r="E919" s="152">
        <v>50.5</v>
      </c>
      <c r="F919" s="153">
        <v>5</v>
      </c>
      <c r="G919" s="155" t="s">
        <v>877</v>
      </c>
      <c r="M919" s="136">
        <v>49.57</v>
      </c>
      <c r="N919" s="139">
        <v>14</v>
      </c>
      <c r="O919" s="138">
        <v>91</v>
      </c>
      <c r="U919" s="136">
        <v>49.72</v>
      </c>
      <c r="V919" s="139">
        <v>15</v>
      </c>
      <c r="W919" s="138">
        <v>95</v>
      </c>
      <c r="Y919" s="136">
        <v>49.47</v>
      </c>
      <c r="Z919" s="139">
        <v>8</v>
      </c>
      <c r="AA919" s="138">
        <v>25</v>
      </c>
      <c r="AC919" s="136">
        <v>49.76</v>
      </c>
      <c r="AD919" s="139">
        <v>18</v>
      </c>
      <c r="AE919" s="138" t="s">
        <v>884</v>
      </c>
      <c r="AG919" s="136">
        <v>49.76</v>
      </c>
      <c r="AH919" s="137">
        <v>10</v>
      </c>
      <c r="AI919" s="138">
        <v>50</v>
      </c>
      <c r="AK919" s="136">
        <v>49.55</v>
      </c>
      <c r="AL919" s="139">
        <v>18</v>
      </c>
      <c r="AM919" s="138" t="s">
        <v>884</v>
      </c>
      <c r="AS919" s="136">
        <v>49.48</v>
      </c>
      <c r="AT919" s="139">
        <v>9</v>
      </c>
      <c r="AU919" s="138">
        <v>37</v>
      </c>
      <c r="BA919" s="136">
        <v>50.35</v>
      </c>
      <c r="BB919" s="139">
        <v>8</v>
      </c>
      <c r="BC919" s="138">
        <v>25</v>
      </c>
    </row>
    <row r="920" spans="5:55" x14ac:dyDescent="0.3">
      <c r="E920" s="152">
        <v>50.52</v>
      </c>
      <c r="F920" s="153">
        <v>6</v>
      </c>
      <c r="G920" s="155" t="s">
        <v>864</v>
      </c>
      <c r="M920" s="136">
        <v>49.58</v>
      </c>
      <c r="N920" s="139">
        <v>15</v>
      </c>
      <c r="O920" s="138">
        <v>95</v>
      </c>
      <c r="U920" s="136">
        <v>49.74</v>
      </c>
      <c r="V920" s="139">
        <v>16</v>
      </c>
      <c r="W920" s="138">
        <v>98</v>
      </c>
      <c r="Y920" s="136">
        <v>49.49</v>
      </c>
      <c r="Z920" s="139">
        <v>9</v>
      </c>
      <c r="AA920" s="138">
        <v>37</v>
      </c>
      <c r="AC920" s="136">
        <v>49.78</v>
      </c>
      <c r="AD920" s="139">
        <v>19</v>
      </c>
      <c r="AE920" s="138" t="s">
        <v>884</v>
      </c>
      <c r="AG920" s="136">
        <v>49.77</v>
      </c>
      <c r="AH920" s="137">
        <v>11</v>
      </c>
      <c r="AI920" s="138">
        <v>63</v>
      </c>
      <c r="AK920" s="136">
        <v>49.56</v>
      </c>
      <c r="AL920" s="139">
        <v>19</v>
      </c>
      <c r="AM920" s="138" t="s">
        <v>884</v>
      </c>
      <c r="AS920" s="136">
        <v>49.49</v>
      </c>
      <c r="AT920" s="139">
        <v>10</v>
      </c>
      <c r="AU920" s="138">
        <v>50</v>
      </c>
      <c r="BA920" s="136">
        <v>50.38</v>
      </c>
      <c r="BB920" s="139">
        <v>9</v>
      </c>
      <c r="BC920" s="138">
        <v>37</v>
      </c>
    </row>
    <row r="921" spans="5:55" x14ac:dyDescent="0.3">
      <c r="E921" s="152">
        <v>50.54</v>
      </c>
      <c r="F921" s="153">
        <v>7</v>
      </c>
      <c r="G921" s="155" t="s">
        <v>878</v>
      </c>
      <c r="M921" s="136">
        <v>49.59</v>
      </c>
      <c r="N921" s="139">
        <v>17</v>
      </c>
      <c r="O921" s="138">
        <v>99</v>
      </c>
      <c r="U921" s="136">
        <v>49.76</v>
      </c>
      <c r="V921" s="139">
        <v>17</v>
      </c>
      <c r="W921" s="138">
        <v>99</v>
      </c>
      <c r="Y921" s="136">
        <v>49.5</v>
      </c>
      <c r="Z921" s="139">
        <v>10</v>
      </c>
      <c r="AA921" s="138">
        <v>50</v>
      </c>
      <c r="AC921" s="136">
        <v>50</v>
      </c>
      <c r="AD921" s="139">
        <v>1</v>
      </c>
      <c r="AE921" s="138" t="s">
        <v>883</v>
      </c>
      <c r="AG921" s="136">
        <v>49.78</v>
      </c>
      <c r="AH921" s="137">
        <v>12</v>
      </c>
      <c r="AI921" s="138">
        <v>75</v>
      </c>
      <c r="AK921" s="136">
        <v>50</v>
      </c>
      <c r="AL921" s="139">
        <v>1</v>
      </c>
      <c r="AM921" s="138" t="s">
        <v>883</v>
      </c>
      <c r="AS921" s="136">
        <v>49.5</v>
      </c>
      <c r="AT921" s="139">
        <v>11</v>
      </c>
      <c r="AU921" s="138">
        <v>63</v>
      </c>
      <c r="BA921" s="136">
        <v>50.4</v>
      </c>
      <c r="BB921" s="139">
        <v>10</v>
      </c>
      <c r="BC921" s="138">
        <v>50</v>
      </c>
    </row>
    <row r="922" spans="5:55" x14ac:dyDescent="0.3">
      <c r="E922" s="152">
        <v>50.56</v>
      </c>
      <c r="F922" s="153">
        <v>8</v>
      </c>
      <c r="G922" s="155" t="s">
        <v>865</v>
      </c>
      <c r="M922" s="136">
        <v>49.6</v>
      </c>
      <c r="N922" s="139">
        <v>19</v>
      </c>
      <c r="O922" s="138" t="s">
        <v>884</v>
      </c>
      <c r="U922" s="136">
        <v>49.78</v>
      </c>
      <c r="V922" s="139">
        <v>18</v>
      </c>
      <c r="W922" s="138" t="s">
        <v>884</v>
      </c>
      <c r="Y922" s="136">
        <v>49.52</v>
      </c>
      <c r="Z922" s="139">
        <v>11</v>
      </c>
      <c r="AA922" s="138">
        <v>63</v>
      </c>
      <c r="AC922" s="136">
        <v>50.36</v>
      </c>
      <c r="AD922" s="139">
        <v>2</v>
      </c>
      <c r="AE922" s="138" t="s">
        <v>883</v>
      </c>
      <c r="AG922" s="136">
        <v>49.79</v>
      </c>
      <c r="AH922" s="137">
        <v>13</v>
      </c>
      <c r="AI922" s="138">
        <v>85</v>
      </c>
      <c r="AK922" s="136">
        <v>50.31</v>
      </c>
      <c r="AL922" s="139">
        <v>2</v>
      </c>
      <c r="AM922" s="138" t="s">
        <v>883</v>
      </c>
      <c r="AS922" s="136">
        <v>49.51</v>
      </c>
      <c r="AT922" s="139">
        <v>12</v>
      </c>
      <c r="AU922" s="138">
        <v>75</v>
      </c>
      <c r="BA922" s="136">
        <v>50.43</v>
      </c>
      <c r="BB922" s="139">
        <v>11</v>
      </c>
      <c r="BC922" s="138">
        <v>63</v>
      </c>
    </row>
    <row r="923" spans="5:55" x14ac:dyDescent="0.3">
      <c r="E923" s="152">
        <v>50.58</v>
      </c>
      <c r="F923" s="153">
        <v>9</v>
      </c>
      <c r="G923" s="155" t="s">
        <v>879</v>
      </c>
      <c r="M923" s="136">
        <v>50</v>
      </c>
      <c r="N923" s="139">
        <v>1</v>
      </c>
      <c r="O923" s="138" t="s">
        <v>883</v>
      </c>
      <c r="U923" s="136">
        <v>49.79</v>
      </c>
      <c r="V923" s="139">
        <v>19</v>
      </c>
      <c r="W923" s="138" t="s">
        <v>884</v>
      </c>
      <c r="Y923" s="136">
        <v>49.54</v>
      </c>
      <c r="Z923" s="139">
        <v>12</v>
      </c>
      <c r="AA923" s="138">
        <v>75</v>
      </c>
      <c r="AC923" s="136">
        <v>50.39</v>
      </c>
      <c r="AD923" s="139">
        <v>3</v>
      </c>
      <c r="AE923" s="138">
        <v>1</v>
      </c>
      <c r="AG923" s="136">
        <v>49.81</v>
      </c>
      <c r="AH923" s="137">
        <v>14</v>
      </c>
      <c r="AI923" s="138">
        <v>91</v>
      </c>
      <c r="AK923" s="136">
        <v>50.32</v>
      </c>
      <c r="AL923" s="139">
        <v>3</v>
      </c>
      <c r="AM923" s="138">
        <v>1</v>
      </c>
      <c r="AS923" s="136">
        <v>49.52</v>
      </c>
      <c r="AT923" s="139">
        <v>13</v>
      </c>
      <c r="AU923" s="138">
        <v>85</v>
      </c>
      <c r="BA923" s="136">
        <v>50.45</v>
      </c>
      <c r="BB923" s="139">
        <v>12</v>
      </c>
      <c r="BC923" s="138">
        <v>75</v>
      </c>
    </row>
    <row r="924" spans="5:55" x14ac:dyDescent="0.3">
      <c r="E924" s="152">
        <v>50.59</v>
      </c>
      <c r="F924" s="153">
        <v>10</v>
      </c>
      <c r="G924" s="155" t="s">
        <v>866</v>
      </c>
      <c r="M924" s="136">
        <v>50.33</v>
      </c>
      <c r="N924" s="139">
        <v>2</v>
      </c>
      <c r="O924" s="138" t="s">
        <v>883</v>
      </c>
      <c r="U924" s="136">
        <v>50</v>
      </c>
      <c r="V924" s="139">
        <v>1</v>
      </c>
      <c r="W924" s="138" t="s">
        <v>883</v>
      </c>
      <c r="Y924" s="136">
        <v>49.55</v>
      </c>
      <c r="Z924" s="139">
        <v>13</v>
      </c>
      <c r="AA924" s="138">
        <v>85</v>
      </c>
      <c r="AC924" s="136">
        <v>50.42</v>
      </c>
      <c r="AD924" s="139">
        <v>4</v>
      </c>
      <c r="AE924" s="138">
        <v>2</v>
      </c>
      <c r="AG924" s="136">
        <v>49.82</v>
      </c>
      <c r="AH924" s="137">
        <v>15</v>
      </c>
      <c r="AI924" s="138">
        <v>95</v>
      </c>
      <c r="AK924" s="136">
        <v>50.37</v>
      </c>
      <c r="AL924" s="139">
        <v>4</v>
      </c>
      <c r="AM924" s="138">
        <v>2</v>
      </c>
      <c r="AS924" s="136">
        <v>49.53</v>
      </c>
      <c r="AT924" s="139">
        <v>14</v>
      </c>
      <c r="AU924" s="138">
        <v>91</v>
      </c>
      <c r="BA924" s="136">
        <v>50.48</v>
      </c>
      <c r="BB924" s="139">
        <v>13</v>
      </c>
      <c r="BC924" s="138">
        <v>85</v>
      </c>
    </row>
    <row r="925" spans="5:55" x14ac:dyDescent="0.3">
      <c r="E925" s="152">
        <v>50.6</v>
      </c>
      <c r="F925" s="153">
        <v>11</v>
      </c>
      <c r="G925" s="155" t="s">
        <v>867</v>
      </c>
      <c r="M925" s="136">
        <v>50.39</v>
      </c>
      <c r="N925" s="139">
        <v>3</v>
      </c>
      <c r="O925" s="138">
        <v>1</v>
      </c>
      <c r="U925" s="136">
        <v>50.32</v>
      </c>
      <c r="V925" s="139">
        <v>2</v>
      </c>
      <c r="W925" s="138" t="s">
        <v>883</v>
      </c>
      <c r="Y925" s="136">
        <v>49.57</v>
      </c>
      <c r="Z925" s="139">
        <v>14</v>
      </c>
      <c r="AA925" s="138">
        <v>91</v>
      </c>
      <c r="AC925" s="136">
        <v>50.44</v>
      </c>
      <c r="AD925" s="139">
        <v>5</v>
      </c>
      <c r="AE925" s="138">
        <v>5</v>
      </c>
      <c r="AG925" s="136">
        <v>49.83</v>
      </c>
      <c r="AH925" s="137">
        <v>16</v>
      </c>
      <c r="AI925" s="138">
        <v>98</v>
      </c>
      <c r="AK925" s="136">
        <v>50.39</v>
      </c>
      <c r="AL925" s="139">
        <v>5</v>
      </c>
      <c r="AM925" s="138">
        <v>5</v>
      </c>
      <c r="AS925" s="136">
        <v>49.54</v>
      </c>
      <c r="AT925" s="139">
        <v>15</v>
      </c>
      <c r="AU925" s="138">
        <v>95</v>
      </c>
      <c r="BA925" s="136">
        <v>50.51</v>
      </c>
      <c r="BB925" s="139">
        <v>14</v>
      </c>
      <c r="BC925" s="138">
        <v>91</v>
      </c>
    </row>
    <row r="926" spans="5:55" x14ac:dyDescent="0.3">
      <c r="E926" s="152">
        <v>50.61</v>
      </c>
      <c r="F926" s="153">
        <v>12</v>
      </c>
      <c r="G926" s="155" t="s">
        <v>868</v>
      </c>
      <c r="M926" s="136">
        <v>50.41</v>
      </c>
      <c r="N926" s="139">
        <v>4</v>
      </c>
      <c r="O926" s="138">
        <v>2</v>
      </c>
      <c r="U926" s="136">
        <v>50.42</v>
      </c>
      <c r="V926" s="139">
        <v>3</v>
      </c>
      <c r="W926" s="138">
        <v>1</v>
      </c>
      <c r="Y926" s="136">
        <v>49.59</v>
      </c>
      <c r="Z926" s="139">
        <v>15</v>
      </c>
      <c r="AA926" s="138">
        <v>95</v>
      </c>
      <c r="AC926" s="136">
        <v>50.47</v>
      </c>
      <c r="AD926" s="139">
        <v>6</v>
      </c>
      <c r="AE926" s="138">
        <v>9</v>
      </c>
      <c r="AG926" s="136">
        <v>49.84</v>
      </c>
      <c r="AH926" s="137">
        <v>17</v>
      </c>
      <c r="AI926" s="138">
        <v>99</v>
      </c>
      <c r="AK926" s="136">
        <v>50.41</v>
      </c>
      <c r="AL926" s="139">
        <v>6</v>
      </c>
      <c r="AM926" s="138">
        <v>9</v>
      </c>
      <c r="AS926" s="136">
        <v>49.55</v>
      </c>
      <c r="AT926" s="139">
        <v>16</v>
      </c>
      <c r="AU926" s="138">
        <v>98</v>
      </c>
      <c r="BA926" s="136">
        <v>50.53</v>
      </c>
      <c r="BB926" s="139">
        <v>15</v>
      </c>
      <c r="BC926" s="138">
        <v>95</v>
      </c>
    </row>
    <row r="927" spans="5:55" x14ac:dyDescent="0.3">
      <c r="E927" s="152">
        <v>50.62</v>
      </c>
      <c r="F927" s="153">
        <v>13</v>
      </c>
      <c r="G927" s="155" t="s">
        <v>869</v>
      </c>
      <c r="M927" s="136">
        <v>50.44</v>
      </c>
      <c r="N927" s="139">
        <v>5</v>
      </c>
      <c r="O927" s="138">
        <v>5</v>
      </c>
      <c r="U927" s="136">
        <v>50.46</v>
      </c>
      <c r="V927" s="139">
        <v>4</v>
      </c>
      <c r="W927" s="138">
        <v>2</v>
      </c>
      <c r="Y927" s="136">
        <v>49.6</v>
      </c>
      <c r="Z927" s="139">
        <v>16</v>
      </c>
      <c r="AA927" s="138">
        <v>98</v>
      </c>
      <c r="AC927" s="136">
        <v>50.49</v>
      </c>
      <c r="AD927" s="139">
        <v>7</v>
      </c>
      <c r="AE927" s="138">
        <v>16</v>
      </c>
      <c r="AG927" s="136">
        <v>49.86</v>
      </c>
      <c r="AH927" s="137">
        <v>18</v>
      </c>
      <c r="AI927" s="138" t="s">
        <v>884</v>
      </c>
      <c r="AK927" s="136">
        <v>50.42</v>
      </c>
      <c r="AL927" s="139">
        <v>7</v>
      </c>
      <c r="AM927" s="138">
        <v>16</v>
      </c>
      <c r="AS927" s="136">
        <v>49.56</v>
      </c>
      <c r="AT927" s="139">
        <v>17</v>
      </c>
      <c r="AU927" s="138">
        <v>99</v>
      </c>
      <c r="BA927" s="136">
        <v>50.55</v>
      </c>
      <c r="BB927" s="139">
        <v>16</v>
      </c>
      <c r="BC927" s="138">
        <v>98</v>
      </c>
    </row>
    <row r="928" spans="5:55" x14ac:dyDescent="0.3">
      <c r="E928" s="152">
        <v>50.63</v>
      </c>
      <c r="F928" s="153">
        <v>14</v>
      </c>
      <c r="G928" s="155" t="s">
        <v>870</v>
      </c>
      <c r="M928" s="136">
        <v>50.45</v>
      </c>
      <c r="N928" s="139">
        <v>6</v>
      </c>
      <c r="O928" s="138">
        <v>9</v>
      </c>
      <c r="U928" s="136">
        <v>50.49</v>
      </c>
      <c r="V928" s="139">
        <v>5</v>
      </c>
      <c r="W928" s="138">
        <v>5</v>
      </c>
      <c r="Y928" s="136">
        <v>49.62</v>
      </c>
      <c r="Z928" s="139">
        <v>17</v>
      </c>
      <c r="AA928" s="138">
        <v>99</v>
      </c>
      <c r="AC928" s="136">
        <v>50.51</v>
      </c>
      <c r="AD928" s="139">
        <v>8</v>
      </c>
      <c r="AE928" s="138">
        <v>25</v>
      </c>
      <c r="AG928" s="136">
        <v>49.87</v>
      </c>
      <c r="AH928" s="137">
        <v>19</v>
      </c>
      <c r="AI928" s="138" t="s">
        <v>884</v>
      </c>
      <c r="AK928" s="136">
        <v>50.43</v>
      </c>
      <c r="AL928" s="139">
        <v>8</v>
      </c>
      <c r="AM928" s="138">
        <v>25</v>
      </c>
      <c r="AS928" s="136">
        <v>49.57</v>
      </c>
      <c r="AT928" s="139">
        <v>18</v>
      </c>
      <c r="AU928" s="138" t="s">
        <v>884</v>
      </c>
      <c r="BA928" s="136">
        <v>50.58</v>
      </c>
      <c r="BB928" s="139">
        <v>17</v>
      </c>
      <c r="BC928" s="138">
        <v>99</v>
      </c>
    </row>
    <row r="929" spans="5:55" x14ac:dyDescent="0.3">
      <c r="E929" s="152">
        <v>50.64</v>
      </c>
      <c r="F929" s="153">
        <v>15</v>
      </c>
      <c r="G929" s="155" t="s">
        <v>871</v>
      </c>
      <c r="M929" s="136">
        <v>50.48</v>
      </c>
      <c r="N929" s="139">
        <v>7</v>
      </c>
      <c r="O929" s="138">
        <v>16</v>
      </c>
      <c r="U929" s="136">
        <v>50.51</v>
      </c>
      <c r="V929" s="139">
        <v>6</v>
      </c>
      <c r="W929" s="138">
        <v>9</v>
      </c>
      <c r="Y929" s="136">
        <v>49.64</v>
      </c>
      <c r="Z929" s="139">
        <v>18</v>
      </c>
      <c r="AA929" s="138" t="s">
        <v>884</v>
      </c>
      <c r="AC929" s="136">
        <v>50.54</v>
      </c>
      <c r="AD929" s="139">
        <v>9</v>
      </c>
      <c r="AE929" s="138">
        <v>37</v>
      </c>
      <c r="AG929" s="136">
        <v>50</v>
      </c>
      <c r="AH929" s="137">
        <v>1</v>
      </c>
      <c r="AI929" s="138" t="s">
        <v>883</v>
      </c>
      <c r="AK929" s="136">
        <v>50.44</v>
      </c>
      <c r="AL929" s="139">
        <v>9</v>
      </c>
      <c r="AM929" s="138">
        <v>37</v>
      </c>
      <c r="AS929" s="136">
        <v>49.58</v>
      </c>
      <c r="AT929" s="139">
        <v>19</v>
      </c>
      <c r="AU929" s="138" t="s">
        <v>884</v>
      </c>
      <c r="BA929" s="136">
        <v>50.61</v>
      </c>
      <c r="BB929" s="139">
        <v>18</v>
      </c>
      <c r="BC929" s="138" t="s">
        <v>884</v>
      </c>
    </row>
    <row r="930" spans="5:55" x14ac:dyDescent="0.3">
      <c r="E930" s="152">
        <v>50.65</v>
      </c>
      <c r="F930" s="153">
        <v>16</v>
      </c>
      <c r="G930" s="155" t="s">
        <v>872</v>
      </c>
      <c r="M930" s="136">
        <v>50.5</v>
      </c>
      <c r="N930" s="139">
        <v>8</v>
      </c>
      <c r="O930" s="138">
        <v>25</v>
      </c>
      <c r="U930" s="136">
        <v>50.54</v>
      </c>
      <c r="V930" s="139">
        <v>7</v>
      </c>
      <c r="W930" s="138">
        <v>16</v>
      </c>
      <c r="Y930" s="136">
        <v>49.66</v>
      </c>
      <c r="Z930" s="139">
        <v>19</v>
      </c>
      <c r="AA930" s="138" t="s">
        <v>884</v>
      </c>
      <c r="AC930" s="136">
        <v>50.56</v>
      </c>
      <c r="AD930" s="139">
        <v>10</v>
      </c>
      <c r="AE930" s="138">
        <v>50</v>
      </c>
      <c r="AG930" s="136">
        <v>50.58</v>
      </c>
      <c r="AH930" s="137">
        <v>2</v>
      </c>
      <c r="AI930" s="138" t="s">
        <v>883</v>
      </c>
      <c r="AK930" s="136">
        <v>50.45</v>
      </c>
      <c r="AL930" s="139">
        <v>10</v>
      </c>
      <c r="AM930" s="138">
        <v>50</v>
      </c>
      <c r="AS930" s="136">
        <v>50</v>
      </c>
      <c r="AT930" s="139">
        <v>1</v>
      </c>
      <c r="AU930" s="138" t="s">
        <v>883</v>
      </c>
      <c r="BA930" s="136">
        <v>50.64</v>
      </c>
      <c r="BB930" s="139">
        <v>19</v>
      </c>
      <c r="BC930" s="138" t="s">
        <v>884</v>
      </c>
    </row>
    <row r="931" spans="5:55" x14ac:dyDescent="0.3">
      <c r="E931" s="152">
        <v>50.66</v>
      </c>
      <c r="F931" s="153">
        <v>17</v>
      </c>
      <c r="G931" s="155" t="s">
        <v>873</v>
      </c>
      <c r="M931" s="136">
        <v>50.52</v>
      </c>
      <c r="N931" s="139">
        <v>9</v>
      </c>
      <c r="O931" s="138">
        <v>37</v>
      </c>
      <c r="U931" s="136">
        <v>50.56</v>
      </c>
      <c r="V931" s="139">
        <v>8</v>
      </c>
      <c r="W931" s="138">
        <v>25</v>
      </c>
      <c r="Y931" s="136">
        <v>50</v>
      </c>
      <c r="Z931" s="139">
        <v>1</v>
      </c>
      <c r="AA931" s="138" t="s">
        <v>883</v>
      </c>
      <c r="AC931" s="136">
        <v>50.59</v>
      </c>
      <c r="AD931" s="139">
        <v>11</v>
      </c>
      <c r="AE931" s="138">
        <v>63</v>
      </c>
      <c r="AG931" s="136">
        <v>50.65</v>
      </c>
      <c r="AH931" s="137">
        <v>3</v>
      </c>
      <c r="AI931" s="138">
        <v>1</v>
      </c>
      <c r="AK931" s="136">
        <v>50.47</v>
      </c>
      <c r="AL931" s="139">
        <v>11</v>
      </c>
      <c r="AM931" s="138">
        <v>63</v>
      </c>
      <c r="AS931" s="136">
        <v>50.39</v>
      </c>
      <c r="AT931" s="139">
        <v>2</v>
      </c>
      <c r="AU931" s="138" t="s">
        <v>883</v>
      </c>
      <c r="BA931" s="136">
        <v>51</v>
      </c>
      <c r="BB931" s="139">
        <v>1</v>
      </c>
      <c r="BC931" s="138" t="s">
        <v>883</v>
      </c>
    </row>
    <row r="932" spans="5:55" x14ac:dyDescent="0.3">
      <c r="E932" s="152">
        <v>50.67</v>
      </c>
      <c r="F932" s="153">
        <v>18</v>
      </c>
      <c r="G932" s="155" t="s">
        <v>874</v>
      </c>
      <c r="M932" s="136">
        <v>50.53</v>
      </c>
      <c r="N932" s="139">
        <v>10</v>
      </c>
      <c r="O932" s="138">
        <v>50</v>
      </c>
      <c r="U932" s="136">
        <v>50.59</v>
      </c>
      <c r="V932" s="139">
        <v>9</v>
      </c>
      <c r="W932" s="138">
        <v>37</v>
      </c>
      <c r="Y932" s="136">
        <v>50.34</v>
      </c>
      <c r="Z932" s="139">
        <v>2</v>
      </c>
      <c r="AA932" s="138" t="s">
        <v>883</v>
      </c>
      <c r="AC932" s="136">
        <v>50.61</v>
      </c>
      <c r="AD932" s="139">
        <v>12</v>
      </c>
      <c r="AE932" s="138">
        <v>75</v>
      </c>
      <c r="AG932" s="136">
        <v>50.67</v>
      </c>
      <c r="AH932" s="137">
        <v>4</v>
      </c>
      <c r="AI932" s="138">
        <v>2</v>
      </c>
      <c r="AK932" s="136">
        <v>50.49</v>
      </c>
      <c r="AL932" s="139">
        <v>12</v>
      </c>
      <c r="AM932" s="138">
        <v>75</v>
      </c>
      <c r="AS932" s="136">
        <v>50.41</v>
      </c>
      <c r="AT932" s="139">
        <v>3</v>
      </c>
      <c r="AU932" s="138">
        <v>1</v>
      </c>
      <c r="BA932" s="136">
        <v>51.23</v>
      </c>
      <c r="BB932" s="139">
        <v>2</v>
      </c>
      <c r="BC932" s="138" t="s">
        <v>883</v>
      </c>
    </row>
    <row r="933" spans="5:55" x14ac:dyDescent="0.3">
      <c r="E933" s="152">
        <v>50.69</v>
      </c>
      <c r="F933" s="153">
        <v>19</v>
      </c>
      <c r="G933" s="155" t="s">
        <v>874</v>
      </c>
      <c r="M933" s="136">
        <v>50.54</v>
      </c>
      <c r="N933" s="139">
        <v>11</v>
      </c>
      <c r="O933" s="138">
        <v>63</v>
      </c>
      <c r="U933" s="136">
        <v>50.61</v>
      </c>
      <c r="V933" s="139">
        <v>10</v>
      </c>
      <c r="W933" s="138">
        <v>50</v>
      </c>
      <c r="Y933" s="136">
        <v>50.37</v>
      </c>
      <c r="Z933" s="139">
        <v>3</v>
      </c>
      <c r="AA933" s="138">
        <v>1</v>
      </c>
      <c r="AC933" s="136">
        <v>50.63</v>
      </c>
      <c r="AD933" s="139">
        <v>13</v>
      </c>
      <c r="AE933" s="138">
        <v>85</v>
      </c>
      <c r="AG933" s="136">
        <v>50.69</v>
      </c>
      <c r="AH933" s="137">
        <v>5</v>
      </c>
      <c r="AI933" s="138">
        <v>5</v>
      </c>
      <c r="AK933" s="136">
        <v>50.5</v>
      </c>
      <c r="AL933" s="139">
        <v>13</v>
      </c>
      <c r="AM933" s="138">
        <v>85</v>
      </c>
      <c r="AS933" s="136">
        <v>50.43</v>
      </c>
      <c r="AT933" s="139">
        <v>4</v>
      </c>
      <c r="AU933" s="138">
        <v>2</v>
      </c>
      <c r="BA933" s="136">
        <v>51.25</v>
      </c>
      <c r="BB933" s="139">
        <v>3</v>
      </c>
      <c r="BC933" s="138">
        <v>1</v>
      </c>
    </row>
    <row r="934" spans="5:55" x14ac:dyDescent="0.3">
      <c r="E934" s="152">
        <v>51</v>
      </c>
      <c r="F934" s="153">
        <v>1</v>
      </c>
      <c r="G934" s="155" t="s">
        <v>862</v>
      </c>
      <c r="M934" s="136">
        <v>50.55</v>
      </c>
      <c r="N934" s="139">
        <v>12</v>
      </c>
      <c r="O934" s="138">
        <v>75</v>
      </c>
      <c r="U934" s="136">
        <v>50.63</v>
      </c>
      <c r="V934" s="139">
        <v>11</v>
      </c>
      <c r="W934" s="138">
        <v>63</v>
      </c>
      <c r="Y934" s="136">
        <v>50.4</v>
      </c>
      <c r="Z934" s="139">
        <v>4</v>
      </c>
      <c r="AA934" s="138">
        <v>2</v>
      </c>
      <c r="AC934" s="136">
        <v>50.66</v>
      </c>
      <c r="AD934" s="139">
        <v>14</v>
      </c>
      <c r="AE934" s="138">
        <v>91</v>
      </c>
      <c r="AG934" s="136">
        <v>50.7</v>
      </c>
      <c r="AH934" s="137">
        <v>6</v>
      </c>
      <c r="AI934" s="138">
        <v>9</v>
      </c>
      <c r="AK934" s="136">
        <v>50.51</v>
      </c>
      <c r="AL934" s="139">
        <v>14</v>
      </c>
      <c r="AM934" s="138">
        <v>91</v>
      </c>
      <c r="AS934" s="136">
        <v>50.44</v>
      </c>
      <c r="AT934" s="139">
        <v>5</v>
      </c>
      <c r="AU934" s="138">
        <v>5</v>
      </c>
      <c r="BA934" s="136">
        <v>51.28</v>
      </c>
      <c r="BB934" s="139">
        <v>4</v>
      </c>
      <c r="BC934" s="138">
        <v>2</v>
      </c>
    </row>
    <row r="935" spans="5:55" x14ac:dyDescent="0.3">
      <c r="E935" s="152">
        <v>51.4</v>
      </c>
      <c r="F935" s="153">
        <v>2</v>
      </c>
      <c r="G935" s="155" t="s">
        <v>862</v>
      </c>
      <c r="M935" s="136">
        <v>50.56</v>
      </c>
      <c r="N935" s="139">
        <v>13</v>
      </c>
      <c r="O935" s="138">
        <v>85</v>
      </c>
      <c r="U935" s="136">
        <v>50.65</v>
      </c>
      <c r="V935" s="139">
        <v>12</v>
      </c>
      <c r="W935" s="138">
        <v>75</v>
      </c>
      <c r="Y935" s="136">
        <v>50.42</v>
      </c>
      <c r="Z935" s="139">
        <v>5</v>
      </c>
      <c r="AA935" s="138">
        <v>5</v>
      </c>
      <c r="AC935" s="136">
        <v>50.68</v>
      </c>
      <c r="AD935" s="139">
        <v>15</v>
      </c>
      <c r="AE935" s="138">
        <v>95</v>
      </c>
      <c r="AG935" s="136">
        <v>50.72</v>
      </c>
      <c r="AH935" s="137">
        <v>7</v>
      </c>
      <c r="AI935" s="138">
        <v>16</v>
      </c>
      <c r="AK935" s="136">
        <v>50.52</v>
      </c>
      <c r="AL935" s="139">
        <v>15</v>
      </c>
      <c r="AM935" s="138">
        <v>95</v>
      </c>
      <c r="AS935" s="136">
        <v>50.45</v>
      </c>
      <c r="AT935" s="139">
        <v>6</v>
      </c>
      <c r="AU935" s="138">
        <v>9</v>
      </c>
      <c r="BA935" s="136">
        <v>51.31</v>
      </c>
      <c r="BB935" s="139">
        <v>5</v>
      </c>
      <c r="BC935" s="138">
        <v>5</v>
      </c>
    </row>
    <row r="936" spans="5:55" x14ac:dyDescent="0.3">
      <c r="E936" s="152">
        <v>51.45</v>
      </c>
      <c r="F936" s="153">
        <v>3</v>
      </c>
      <c r="G936" s="155" t="s">
        <v>876</v>
      </c>
      <c r="M936" s="136">
        <v>50.57</v>
      </c>
      <c r="N936" s="139">
        <v>14</v>
      </c>
      <c r="O936" s="138">
        <v>91</v>
      </c>
      <c r="U936" s="136">
        <v>50.67</v>
      </c>
      <c r="V936" s="139">
        <v>13</v>
      </c>
      <c r="W936" s="138">
        <v>85</v>
      </c>
      <c r="Y936" s="136">
        <v>50.44</v>
      </c>
      <c r="Z936" s="139">
        <v>6</v>
      </c>
      <c r="AA936" s="138">
        <v>9</v>
      </c>
      <c r="AC936" s="136">
        <v>50.71</v>
      </c>
      <c r="AD936" s="139">
        <v>16</v>
      </c>
      <c r="AE936" s="138">
        <v>98</v>
      </c>
      <c r="AG936" s="136">
        <v>50.73</v>
      </c>
      <c r="AH936" s="137">
        <v>8</v>
      </c>
      <c r="AI936" s="138">
        <v>25</v>
      </c>
      <c r="AK936" s="136">
        <v>50.53</v>
      </c>
      <c r="AL936" s="139">
        <v>16</v>
      </c>
      <c r="AM936" s="138">
        <v>98</v>
      </c>
      <c r="AS936" s="136">
        <v>50.46</v>
      </c>
      <c r="AT936" s="139">
        <v>7</v>
      </c>
      <c r="AU936" s="138">
        <v>16</v>
      </c>
      <c r="BA936" s="136">
        <v>51.33</v>
      </c>
      <c r="BB936" s="139">
        <v>6</v>
      </c>
      <c r="BC936" s="138">
        <v>9</v>
      </c>
    </row>
    <row r="937" spans="5:55" x14ac:dyDescent="0.3">
      <c r="E937" s="152">
        <v>51.47</v>
      </c>
      <c r="F937" s="153">
        <v>4</v>
      </c>
      <c r="G937" s="155" t="s">
        <v>863</v>
      </c>
      <c r="M937" s="136">
        <v>50.58</v>
      </c>
      <c r="N937" s="139">
        <v>15</v>
      </c>
      <c r="O937" s="138">
        <v>95</v>
      </c>
      <c r="U937" s="136">
        <v>50.7</v>
      </c>
      <c r="V937" s="139">
        <v>14</v>
      </c>
      <c r="W937" s="138">
        <v>91</v>
      </c>
      <c r="Y937" s="136">
        <v>50.46</v>
      </c>
      <c r="Z937" s="139">
        <v>7</v>
      </c>
      <c r="AA937" s="138">
        <v>16</v>
      </c>
      <c r="AC937" s="136">
        <v>50.73</v>
      </c>
      <c r="AD937" s="139">
        <v>17</v>
      </c>
      <c r="AE937" s="138">
        <v>99</v>
      </c>
      <c r="AG937" s="136">
        <v>50.75</v>
      </c>
      <c r="AH937" s="137">
        <v>9</v>
      </c>
      <c r="AI937" s="138">
        <v>37</v>
      </c>
      <c r="AK937" s="136">
        <v>50.54</v>
      </c>
      <c r="AL937" s="139">
        <v>17</v>
      </c>
      <c r="AM937" s="138">
        <v>99</v>
      </c>
      <c r="AS937" s="136">
        <v>50.47</v>
      </c>
      <c r="AT937" s="139">
        <v>8</v>
      </c>
      <c r="AU937" s="138">
        <v>25</v>
      </c>
      <c r="BA937" s="136">
        <v>51.36</v>
      </c>
      <c r="BB937" s="139">
        <v>7</v>
      </c>
      <c r="BC937" s="138">
        <v>16</v>
      </c>
    </row>
    <row r="938" spans="5:55" x14ac:dyDescent="0.3">
      <c r="E938" s="152">
        <v>51.5</v>
      </c>
      <c r="F938" s="153">
        <v>5</v>
      </c>
      <c r="G938" s="155" t="s">
        <v>877</v>
      </c>
      <c r="M938" s="136">
        <v>50.59</v>
      </c>
      <c r="N938" s="139">
        <v>17</v>
      </c>
      <c r="O938" s="138">
        <v>99</v>
      </c>
      <c r="U938" s="136">
        <v>50.72</v>
      </c>
      <c r="V938" s="139">
        <v>15</v>
      </c>
      <c r="W938" s="138">
        <v>95</v>
      </c>
      <c r="Y938" s="136">
        <v>50.47</v>
      </c>
      <c r="Z938" s="139">
        <v>8</v>
      </c>
      <c r="AA938" s="138">
        <v>25</v>
      </c>
      <c r="AC938" s="136">
        <v>50.76</v>
      </c>
      <c r="AD938" s="139">
        <v>18</v>
      </c>
      <c r="AE938" s="138" t="s">
        <v>884</v>
      </c>
      <c r="AG938" s="136">
        <v>50.76</v>
      </c>
      <c r="AH938" s="137">
        <v>10</v>
      </c>
      <c r="AI938" s="138">
        <v>50</v>
      </c>
      <c r="AK938" s="136">
        <v>50.55</v>
      </c>
      <c r="AL938" s="139">
        <v>18</v>
      </c>
      <c r="AM938" s="138" t="s">
        <v>884</v>
      </c>
      <c r="AS938" s="136">
        <v>50.48</v>
      </c>
      <c r="AT938" s="139">
        <v>9</v>
      </c>
      <c r="AU938" s="138">
        <v>37</v>
      </c>
      <c r="BA938" s="136">
        <v>51.38</v>
      </c>
      <c r="BB938" s="139">
        <v>8</v>
      </c>
      <c r="BC938" s="138">
        <v>25</v>
      </c>
    </row>
    <row r="939" spans="5:55" x14ac:dyDescent="0.3">
      <c r="E939" s="152">
        <v>51.52</v>
      </c>
      <c r="F939" s="153">
        <v>6</v>
      </c>
      <c r="G939" s="155" t="s">
        <v>864</v>
      </c>
      <c r="M939" s="136">
        <v>50.6</v>
      </c>
      <c r="N939" s="139">
        <v>19</v>
      </c>
      <c r="O939" s="138" t="s">
        <v>884</v>
      </c>
      <c r="U939" s="136">
        <v>50.74</v>
      </c>
      <c r="V939" s="139">
        <v>16</v>
      </c>
      <c r="W939" s="138">
        <v>98</v>
      </c>
      <c r="Y939" s="136">
        <v>50.49</v>
      </c>
      <c r="Z939" s="139">
        <v>9</v>
      </c>
      <c r="AA939" s="138">
        <v>37</v>
      </c>
      <c r="AC939" s="136">
        <v>50.78</v>
      </c>
      <c r="AD939" s="139">
        <v>19</v>
      </c>
      <c r="AE939" s="138" t="s">
        <v>884</v>
      </c>
      <c r="AG939" s="136">
        <v>50.77</v>
      </c>
      <c r="AH939" s="137">
        <v>11</v>
      </c>
      <c r="AI939" s="138">
        <v>63</v>
      </c>
      <c r="AK939" s="136">
        <v>50.56</v>
      </c>
      <c r="AL939" s="139">
        <v>19</v>
      </c>
      <c r="AM939" s="138" t="s">
        <v>884</v>
      </c>
      <c r="AS939" s="136">
        <v>50.49</v>
      </c>
      <c r="AT939" s="139">
        <v>10</v>
      </c>
      <c r="AU939" s="138">
        <v>50</v>
      </c>
      <c r="BA939" s="136">
        <v>51.41</v>
      </c>
      <c r="BB939" s="139">
        <v>9</v>
      </c>
      <c r="BC939" s="138">
        <v>37</v>
      </c>
    </row>
    <row r="940" spans="5:55" x14ac:dyDescent="0.3">
      <c r="E940" s="152">
        <v>51.54</v>
      </c>
      <c r="F940" s="153">
        <v>7</v>
      </c>
      <c r="G940" s="155" t="s">
        <v>878</v>
      </c>
      <c r="M940" s="136">
        <v>51</v>
      </c>
      <c r="N940" s="139">
        <v>1</v>
      </c>
      <c r="O940" s="138" t="s">
        <v>883</v>
      </c>
      <c r="U940" s="136">
        <v>50.76</v>
      </c>
      <c r="V940" s="139">
        <v>17</v>
      </c>
      <c r="W940" s="138">
        <v>99</v>
      </c>
      <c r="Y940" s="136">
        <v>50.5</v>
      </c>
      <c r="Z940" s="139">
        <v>10</v>
      </c>
      <c r="AA940" s="138">
        <v>50</v>
      </c>
      <c r="AC940" s="136">
        <v>51</v>
      </c>
      <c r="AD940" s="139">
        <v>1</v>
      </c>
      <c r="AE940" s="138" t="s">
        <v>883</v>
      </c>
      <c r="AG940" s="136">
        <v>50.78</v>
      </c>
      <c r="AH940" s="137">
        <v>12</v>
      </c>
      <c r="AI940" s="138">
        <v>75</v>
      </c>
      <c r="AK940" s="136">
        <v>51</v>
      </c>
      <c r="AL940" s="139">
        <v>1</v>
      </c>
      <c r="AM940" s="138" t="s">
        <v>883</v>
      </c>
      <c r="AS940" s="136">
        <v>50.5</v>
      </c>
      <c r="AT940" s="139">
        <v>11</v>
      </c>
      <c r="AU940" s="138">
        <v>63</v>
      </c>
      <c r="BA940" s="136">
        <v>51.43</v>
      </c>
      <c r="BB940" s="139">
        <v>10</v>
      </c>
      <c r="BC940" s="138">
        <v>50</v>
      </c>
    </row>
    <row r="941" spans="5:55" x14ac:dyDescent="0.3">
      <c r="E941" s="152">
        <v>51.56</v>
      </c>
      <c r="F941" s="153">
        <v>8</v>
      </c>
      <c r="G941" s="155" t="s">
        <v>865</v>
      </c>
      <c r="M941" s="136">
        <v>51.34</v>
      </c>
      <c r="N941" s="139">
        <v>2</v>
      </c>
      <c r="O941" s="138" t="s">
        <v>883</v>
      </c>
      <c r="U941" s="136">
        <v>50.78</v>
      </c>
      <c r="V941" s="139">
        <v>18</v>
      </c>
      <c r="W941" s="138" t="s">
        <v>884</v>
      </c>
      <c r="Y941" s="136">
        <v>50.52</v>
      </c>
      <c r="Z941" s="139">
        <v>11</v>
      </c>
      <c r="AA941" s="138">
        <v>63</v>
      </c>
      <c r="AC941" s="136">
        <v>51.39</v>
      </c>
      <c r="AD941" s="139">
        <v>2</v>
      </c>
      <c r="AE941" s="138" t="s">
        <v>883</v>
      </c>
      <c r="AG941" s="136">
        <v>50.79</v>
      </c>
      <c r="AH941" s="137">
        <v>13</v>
      </c>
      <c r="AI941" s="138">
        <v>85</v>
      </c>
      <c r="AK941" s="136">
        <v>51.32</v>
      </c>
      <c r="AL941" s="139">
        <v>2</v>
      </c>
      <c r="AM941" s="138" t="s">
        <v>883</v>
      </c>
      <c r="AS941" s="136">
        <v>50.51</v>
      </c>
      <c r="AT941" s="139">
        <v>12</v>
      </c>
      <c r="AU941" s="138">
        <v>75</v>
      </c>
      <c r="BA941" s="136">
        <v>51.46</v>
      </c>
      <c r="BB941" s="139">
        <v>11</v>
      </c>
      <c r="BC941" s="138">
        <v>63</v>
      </c>
    </row>
    <row r="942" spans="5:55" x14ac:dyDescent="0.3">
      <c r="E942" s="152">
        <v>51.58</v>
      </c>
      <c r="F942" s="153">
        <v>9</v>
      </c>
      <c r="G942" s="155" t="s">
        <v>879</v>
      </c>
      <c r="M942" s="136">
        <v>51.39</v>
      </c>
      <c r="N942" s="139">
        <v>3</v>
      </c>
      <c r="O942" s="138">
        <v>1</v>
      </c>
      <c r="U942" s="136">
        <v>50.8</v>
      </c>
      <c r="V942" s="139">
        <v>19</v>
      </c>
      <c r="W942" s="138" t="s">
        <v>884</v>
      </c>
      <c r="Y942" s="136">
        <v>50.54</v>
      </c>
      <c r="Z942" s="139">
        <v>12</v>
      </c>
      <c r="AA942" s="138">
        <v>75</v>
      </c>
      <c r="AC942" s="136">
        <v>51.42</v>
      </c>
      <c r="AD942" s="139">
        <v>3</v>
      </c>
      <c r="AE942" s="138">
        <v>1</v>
      </c>
      <c r="AG942" s="136">
        <v>50.81</v>
      </c>
      <c r="AH942" s="137">
        <v>14</v>
      </c>
      <c r="AI942" s="138">
        <v>91</v>
      </c>
      <c r="AK942" s="136">
        <v>51.37</v>
      </c>
      <c r="AL942" s="139">
        <v>3</v>
      </c>
      <c r="AM942" s="138">
        <v>1</v>
      </c>
      <c r="AS942" s="136">
        <v>50.52</v>
      </c>
      <c r="AT942" s="139">
        <v>13</v>
      </c>
      <c r="AU942" s="138">
        <v>85</v>
      </c>
      <c r="BA942" s="136">
        <v>51.48</v>
      </c>
      <c r="BB942" s="139">
        <v>12</v>
      </c>
      <c r="BC942" s="138">
        <v>75</v>
      </c>
    </row>
    <row r="943" spans="5:55" x14ac:dyDescent="0.3">
      <c r="E943" s="152">
        <v>51.6</v>
      </c>
      <c r="F943" s="153">
        <v>10</v>
      </c>
      <c r="G943" s="155" t="s">
        <v>866</v>
      </c>
      <c r="M943" s="136">
        <v>51.41</v>
      </c>
      <c r="N943" s="139">
        <v>4</v>
      </c>
      <c r="O943" s="138">
        <v>2</v>
      </c>
      <c r="U943" s="136">
        <v>51</v>
      </c>
      <c r="V943" s="139">
        <v>1</v>
      </c>
      <c r="W943" s="138" t="s">
        <v>883</v>
      </c>
      <c r="Y943" s="136">
        <v>50.55</v>
      </c>
      <c r="Z943" s="139">
        <v>13</v>
      </c>
      <c r="AA943" s="138">
        <v>85</v>
      </c>
      <c r="AC943" s="136">
        <v>51.44</v>
      </c>
      <c r="AD943" s="139">
        <v>4</v>
      </c>
      <c r="AE943" s="138">
        <v>2</v>
      </c>
      <c r="AG943" s="136">
        <v>50.82</v>
      </c>
      <c r="AH943" s="137">
        <v>15</v>
      </c>
      <c r="AI943" s="138">
        <v>95</v>
      </c>
      <c r="AK943" s="136">
        <v>51.39</v>
      </c>
      <c r="AL943" s="139">
        <v>4</v>
      </c>
      <c r="AM943" s="138">
        <v>2</v>
      </c>
      <c r="AS943" s="136">
        <v>50.53</v>
      </c>
      <c r="AT943" s="139">
        <v>14</v>
      </c>
      <c r="AU943" s="138">
        <v>91</v>
      </c>
      <c r="BA943" s="136">
        <v>51.51</v>
      </c>
      <c r="BB943" s="139">
        <v>13</v>
      </c>
      <c r="BC943" s="138">
        <v>85</v>
      </c>
    </row>
    <row r="944" spans="5:55" x14ac:dyDescent="0.3">
      <c r="E944" s="152">
        <v>51.61</v>
      </c>
      <c r="F944" s="153">
        <v>11</v>
      </c>
      <c r="G944" s="155" t="s">
        <v>867</v>
      </c>
      <c r="M944" s="136">
        <v>51.44</v>
      </c>
      <c r="N944" s="139">
        <v>5</v>
      </c>
      <c r="O944" s="138">
        <v>5</v>
      </c>
      <c r="U944" s="136">
        <v>51.34</v>
      </c>
      <c r="V944" s="139">
        <v>2</v>
      </c>
      <c r="W944" s="138" t="s">
        <v>883</v>
      </c>
      <c r="Y944" s="136">
        <v>50.57</v>
      </c>
      <c r="Z944" s="139">
        <v>14</v>
      </c>
      <c r="AA944" s="138">
        <v>91</v>
      </c>
      <c r="AC944" s="136">
        <v>51.47</v>
      </c>
      <c r="AD944" s="139">
        <v>5</v>
      </c>
      <c r="AE944" s="138">
        <v>5</v>
      </c>
      <c r="AG944" s="136">
        <v>50.83</v>
      </c>
      <c r="AH944" s="137">
        <v>16</v>
      </c>
      <c r="AI944" s="138">
        <v>98</v>
      </c>
      <c r="AK944" s="136">
        <v>51.41</v>
      </c>
      <c r="AL944" s="139">
        <v>5</v>
      </c>
      <c r="AM944" s="138">
        <v>5</v>
      </c>
      <c r="AS944" s="136">
        <v>50.54</v>
      </c>
      <c r="AT944" s="139">
        <v>15</v>
      </c>
      <c r="AU944" s="138">
        <v>95</v>
      </c>
      <c r="BA944" s="136">
        <v>51.53</v>
      </c>
      <c r="BB944" s="139">
        <v>14</v>
      </c>
      <c r="BC944" s="138">
        <v>91</v>
      </c>
    </row>
    <row r="945" spans="5:55" x14ac:dyDescent="0.3">
      <c r="E945" s="152">
        <v>51.62</v>
      </c>
      <c r="F945" s="153">
        <v>12</v>
      </c>
      <c r="G945" s="155" t="s">
        <v>868</v>
      </c>
      <c r="M945" s="136">
        <v>51.46</v>
      </c>
      <c r="N945" s="139">
        <v>6</v>
      </c>
      <c r="O945" s="138">
        <v>9</v>
      </c>
      <c r="U945" s="136">
        <v>51.42</v>
      </c>
      <c r="V945" s="139">
        <v>3</v>
      </c>
      <c r="W945" s="138">
        <v>1</v>
      </c>
      <c r="Y945" s="136">
        <v>50.59</v>
      </c>
      <c r="Z945" s="139">
        <v>15</v>
      </c>
      <c r="AA945" s="138">
        <v>95</v>
      </c>
      <c r="AC945" s="136">
        <v>51.49</v>
      </c>
      <c r="AD945" s="139">
        <v>6</v>
      </c>
      <c r="AE945" s="138">
        <v>9</v>
      </c>
      <c r="AG945" s="136">
        <v>50.84</v>
      </c>
      <c r="AH945" s="137">
        <v>17</v>
      </c>
      <c r="AI945" s="138">
        <v>99</v>
      </c>
      <c r="AK945" s="136">
        <v>51.42</v>
      </c>
      <c r="AL945" s="139">
        <v>6</v>
      </c>
      <c r="AM945" s="138">
        <v>9</v>
      </c>
      <c r="AS945" s="136">
        <v>50.55</v>
      </c>
      <c r="AT945" s="139">
        <v>16</v>
      </c>
      <c r="AU945" s="138">
        <v>98</v>
      </c>
      <c r="BA945" s="136">
        <v>51.56</v>
      </c>
      <c r="BB945" s="139">
        <v>15</v>
      </c>
      <c r="BC945" s="138">
        <v>95</v>
      </c>
    </row>
    <row r="946" spans="5:55" x14ac:dyDescent="0.3">
      <c r="E946" s="152">
        <v>51.63</v>
      </c>
      <c r="F946" s="153">
        <v>13</v>
      </c>
      <c r="G946" s="155" t="s">
        <v>869</v>
      </c>
      <c r="M946" s="136">
        <v>51.48</v>
      </c>
      <c r="N946" s="139">
        <v>7</v>
      </c>
      <c r="O946" s="138">
        <v>16</v>
      </c>
      <c r="U946" s="136">
        <v>51.46</v>
      </c>
      <c r="V946" s="139">
        <v>4</v>
      </c>
      <c r="W946" s="138">
        <v>2</v>
      </c>
      <c r="Y946" s="136">
        <v>50.6</v>
      </c>
      <c r="Z946" s="139">
        <v>16</v>
      </c>
      <c r="AA946" s="138">
        <v>98</v>
      </c>
      <c r="AC946" s="136">
        <v>51.51</v>
      </c>
      <c r="AD946" s="139">
        <v>7</v>
      </c>
      <c r="AE946" s="138">
        <v>16</v>
      </c>
      <c r="AG946" s="136">
        <v>50.86</v>
      </c>
      <c r="AH946" s="137">
        <v>18</v>
      </c>
      <c r="AI946" s="138" t="s">
        <v>884</v>
      </c>
      <c r="AK946" s="136">
        <v>51.43</v>
      </c>
      <c r="AL946" s="139">
        <v>7</v>
      </c>
      <c r="AM946" s="138">
        <v>16</v>
      </c>
      <c r="AS946" s="136">
        <v>50.56</v>
      </c>
      <c r="AT946" s="139">
        <v>17</v>
      </c>
      <c r="AU946" s="138">
        <v>99</v>
      </c>
      <c r="BA946" s="136">
        <v>51.58</v>
      </c>
      <c r="BB946" s="139">
        <v>16</v>
      </c>
      <c r="BC946" s="138">
        <v>98</v>
      </c>
    </row>
    <row r="947" spans="5:55" x14ac:dyDescent="0.3">
      <c r="E947" s="152">
        <v>51.64</v>
      </c>
      <c r="F947" s="153">
        <v>14</v>
      </c>
      <c r="G947" s="155" t="s">
        <v>870</v>
      </c>
      <c r="M947" s="136">
        <v>51.5</v>
      </c>
      <c r="N947" s="139">
        <v>8</v>
      </c>
      <c r="O947" s="138">
        <v>25</v>
      </c>
      <c r="U947" s="136">
        <v>51.49</v>
      </c>
      <c r="V947" s="139">
        <v>5</v>
      </c>
      <c r="W947" s="138">
        <v>5</v>
      </c>
      <c r="Y947" s="136">
        <v>50.62</v>
      </c>
      <c r="Z947" s="139">
        <v>17</v>
      </c>
      <c r="AA947" s="138">
        <v>99</v>
      </c>
      <c r="AC947" s="136">
        <v>51.54</v>
      </c>
      <c r="AD947" s="139">
        <v>8</v>
      </c>
      <c r="AE947" s="138">
        <v>25</v>
      </c>
      <c r="AG947" s="136">
        <v>50.87</v>
      </c>
      <c r="AH947" s="137">
        <v>19</v>
      </c>
      <c r="AI947" s="138" t="s">
        <v>884</v>
      </c>
      <c r="AK947" s="136">
        <v>51.45</v>
      </c>
      <c r="AL947" s="139">
        <v>8</v>
      </c>
      <c r="AM947" s="138">
        <v>25</v>
      </c>
      <c r="AS947" s="136">
        <v>50.57</v>
      </c>
      <c r="AT947" s="139">
        <v>18</v>
      </c>
      <c r="AU947" s="138" t="s">
        <v>884</v>
      </c>
      <c r="BA947" s="136">
        <v>51.61</v>
      </c>
      <c r="BB947" s="139">
        <v>17</v>
      </c>
      <c r="BC947" s="138">
        <v>99</v>
      </c>
    </row>
    <row r="948" spans="5:55" x14ac:dyDescent="0.3">
      <c r="E948" s="152">
        <v>51.65</v>
      </c>
      <c r="F948" s="153">
        <v>15</v>
      </c>
      <c r="G948" s="155" t="s">
        <v>871</v>
      </c>
      <c r="M948" s="136">
        <v>51.52</v>
      </c>
      <c r="N948" s="139">
        <v>9</v>
      </c>
      <c r="O948" s="138">
        <v>37</v>
      </c>
      <c r="U948" s="136">
        <v>51.51</v>
      </c>
      <c r="V948" s="139">
        <v>6</v>
      </c>
      <c r="W948" s="138">
        <v>9</v>
      </c>
      <c r="Y948" s="136">
        <v>50.64</v>
      </c>
      <c r="Z948" s="139">
        <v>18</v>
      </c>
      <c r="AA948" s="138" t="s">
        <v>884</v>
      </c>
      <c r="AC948" s="136">
        <v>51.56</v>
      </c>
      <c r="AD948" s="139">
        <v>9</v>
      </c>
      <c r="AE948" s="138">
        <v>37</v>
      </c>
      <c r="AG948" s="136">
        <v>51</v>
      </c>
      <c r="AH948" s="137">
        <v>1</v>
      </c>
      <c r="AI948" s="138" t="s">
        <v>883</v>
      </c>
      <c r="AK948" s="136">
        <v>51.47</v>
      </c>
      <c r="AL948" s="139">
        <v>9</v>
      </c>
      <c r="AM948" s="138">
        <v>37</v>
      </c>
      <c r="AS948" s="136">
        <v>50.58</v>
      </c>
      <c r="AT948" s="139">
        <v>19</v>
      </c>
      <c r="AU948" s="138" t="s">
        <v>884</v>
      </c>
      <c r="BA948" s="136">
        <v>51.64</v>
      </c>
      <c r="BB948" s="139">
        <v>18</v>
      </c>
      <c r="BC948" s="138" t="s">
        <v>884</v>
      </c>
    </row>
    <row r="949" spans="5:55" x14ac:dyDescent="0.3">
      <c r="E949" s="152">
        <v>51.66</v>
      </c>
      <c r="F949" s="153">
        <v>16</v>
      </c>
      <c r="G949" s="155" t="s">
        <v>872</v>
      </c>
      <c r="M949" s="136">
        <v>51.53</v>
      </c>
      <c r="N949" s="139">
        <v>10</v>
      </c>
      <c r="O949" s="138">
        <v>50</v>
      </c>
      <c r="U949" s="136">
        <v>51.54</v>
      </c>
      <c r="V949" s="139">
        <v>7</v>
      </c>
      <c r="W949" s="138">
        <v>16</v>
      </c>
      <c r="Y949" s="136">
        <v>50.66</v>
      </c>
      <c r="Z949" s="139">
        <v>19</v>
      </c>
      <c r="AA949" s="138" t="s">
        <v>884</v>
      </c>
      <c r="AC949" s="136">
        <v>51.59</v>
      </c>
      <c r="AD949" s="139">
        <v>10</v>
      </c>
      <c r="AE949" s="138">
        <v>50</v>
      </c>
      <c r="AG949" s="136">
        <v>51.6</v>
      </c>
      <c r="AH949" s="137">
        <v>2</v>
      </c>
      <c r="AI949" s="138" t="s">
        <v>883</v>
      </c>
      <c r="AK949" s="136">
        <v>51.48</v>
      </c>
      <c r="AL949" s="139">
        <v>10</v>
      </c>
      <c r="AM949" s="138">
        <v>50</v>
      </c>
      <c r="AS949" s="136">
        <v>51</v>
      </c>
      <c r="AT949" s="139">
        <v>1</v>
      </c>
      <c r="AU949" s="138" t="s">
        <v>883</v>
      </c>
      <c r="BA949" s="136">
        <v>51.68</v>
      </c>
      <c r="BB949" s="139">
        <v>19</v>
      </c>
      <c r="BC949" s="138" t="s">
        <v>884</v>
      </c>
    </row>
    <row r="950" spans="5:55" x14ac:dyDescent="0.3">
      <c r="E950" s="152">
        <v>51.67</v>
      </c>
      <c r="F950" s="153">
        <v>17</v>
      </c>
      <c r="G950" s="155" t="s">
        <v>873</v>
      </c>
      <c r="M950" s="136">
        <v>51.54</v>
      </c>
      <c r="N950" s="139">
        <v>11</v>
      </c>
      <c r="O950" s="138">
        <v>63</v>
      </c>
      <c r="U950" s="136">
        <v>51.57</v>
      </c>
      <c r="V950" s="139">
        <v>8</v>
      </c>
      <c r="W950" s="138">
        <v>25</v>
      </c>
      <c r="Y950" s="136">
        <v>51</v>
      </c>
      <c r="Z950" s="139">
        <v>1</v>
      </c>
      <c r="AA950" s="138" t="s">
        <v>883</v>
      </c>
      <c r="AC950" s="136">
        <v>51.61</v>
      </c>
      <c r="AD950" s="139">
        <v>11</v>
      </c>
      <c r="AE950" s="138">
        <v>63</v>
      </c>
      <c r="AG950" s="136">
        <v>51.65</v>
      </c>
      <c r="AH950" s="137">
        <v>3</v>
      </c>
      <c r="AI950" s="138">
        <v>1</v>
      </c>
      <c r="AK950" s="136">
        <v>51.49</v>
      </c>
      <c r="AL950" s="139">
        <v>11</v>
      </c>
      <c r="AM950" s="138">
        <v>63</v>
      </c>
      <c r="AS950" s="136">
        <v>51.4</v>
      </c>
      <c r="AT950" s="139">
        <v>2</v>
      </c>
      <c r="AU950" s="138" t="s">
        <v>883</v>
      </c>
      <c r="BA950" s="136">
        <v>52</v>
      </c>
      <c r="BB950" s="139">
        <v>1</v>
      </c>
      <c r="BC950" s="138" t="s">
        <v>883</v>
      </c>
    </row>
    <row r="951" spans="5:55" x14ac:dyDescent="0.3">
      <c r="E951" s="152">
        <v>51.68</v>
      </c>
      <c r="F951" s="153">
        <v>18</v>
      </c>
      <c r="G951" s="155" t="s">
        <v>874</v>
      </c>
      <c r="M951" s="136">
        <v>51.55</v>
      </c>
      <c r="N951" s="139">
        <v>12</v>
      </c>
      <c r="O951" s="138">
        <v>75</v>
      </c>
      <c r="U951" s="136">
        <v>51.6</v>
      </c>
      <c r="V951" s="139">
        <v>9</v>
      </c>
      <c r="W951" s="138">
        <v>37</v>
      </c>
      <c r="Y951" s="136">
        <v>51.37</v>
      </c>
      <c r="Z951" s="139">
        <v>2</v>
      </c>
      <c r="AA951" s="138" t="s">
        <v>883</v>
      </c>
      <c r="AC951" s="136">
        <v>51.63</v>
      </c>
      <c r="AD951" s="139">
        <v>12</v>
      </c>
      <c r="AE951" s="138">
        <v>75</v>
      </c>
      <c r="AG951" s="136">
        <v>51.68</v>
      </c>
      <c r="AH951" s="137">
        <v>4</v>
      </c>
      <c r="AI951" s="138">
        <v>2</v>
      </c>
      <c r="AK951" s="136">
        <v>51.5</v>
      </c>
      <c r="AL951" s="139">
        <v>12</v>
      </c>
      <c r="AM951" s="138">
        <v>75</v>
      </c>
      <c r="AS951" s="136">
        <v>51.43</v>
      </c>
      <c r="AT951" s="139">
        <v>3</v>
      </c>
      <c r="AU951" s="138">
        <v>1</v>
      </c>
      <c r="BA951" s="136">
        <v>52.23</v>
      </c>
      <c r="BB951" s="139">
        <v>2</v>
      </c>
      <c r="BC951" s="138" t="s">
        <v>883</v>
      </c>
    </row>
    <row r="952" spans="5:55" x14ac:dyDescent="0.3">
      <c r="E952" s="152">
        <v>51.69</v>
      </c>
      <c r="F952" s="153">
        <v>19</v>
      </c>
      <c r="G952" s="155" t="s">
        <v>874</v>
      </c>
      <c r="M952" s="136">
        <v>51.56</v>
      </c>
      <c r="N952" s="139">
        <v>13</v>
      </c>
      <c r="O952" s="138">
        <v>85</v>
      </c>
      <c r="U952" s="136">
        <v>51.62</v>
      </c>
      <c r="V952" s="139">
        <v>10</v>
      </c>
      <c r="W952" s="138">
        <v>50</v>
      </c>
      <c r="Y952" s="136">
        <v>51.41</v>
      </c>
      <c r="Z952" s="139">
        <v>3</v>
      </c>
      <c r="AA952" s="138">
        <v>1</v>
      </c>
      <c r="AC952" s="136">
        <v>51.66</v>
      </c>
      <c r="AD952" s="139">
        <v>13</v>
      </c>
      <c r="AE952" s="138">
        <v>85</v>
      </c>
      <c r="AG952" s="136">
        <v>51.7</v>
      </c>
      <c r="AH952" s="137">
        <v>5</v>
      </c>
      <c r="AI952" s="138">
        <v>5</v>
      </c>
      <c r="AK952" s="136">
        <v>51.51</v>
      </c>
      <c r="AL952" s="139">
        <v>13</v>
      </c>
      <c r="AM952" s="138">
        <v>85</v>
      </c>
      <c r="AS952" s="136">
        <v>51.44</v>
      </c>
      <c r="AT952" s="139">
        <v>4</v>
      </c>
      <c r="AU952" s="138">
        <v>2</v>
      </c>
      <c r="BA952" s="136">
        <v>52.25</v>
      </c>
      <c r="BB952" s="139">
        <v>3</v>
      </c>
      <c r="BC952" s="138">
        <v>1</v>
      </c>
    </row>
    <row r="953" spans="5:55" x14ac:dyDescent="0.3">
      <c r="E953" s="152">
        <v>52</v>
      </c>
      <c r="F953" s="153">
        <v>1</v>
      </c>
      <c r="G953" s="155" t="s">
        <v>862</v>
      </c>
      <c r="M953" s="136">
        <v>51.57</v>
      </c>
      <c r="N953" s="139">
        <v>14</v>
      </c>
      <c r="O953" s="138">
        <v>91</v>
      </c>
      <c r="U953" s="136">
        <v>51.64</v>
      </c>
      <c r="V953" s="139">
        <v>11</v>
      </c>
      <c r="W953" s="138">
        <v>63</v>
      </c>
      <c r="Y953" s="136">
        <v>51.42</v>
      </c>
      <c r="Z953" s="139">
        <v>4</v>
      </c>
      <c r="AA953" s="138">
        <v>2</v>
      </c>
      <c r="AC953" s="136">
        <v>51.68</v>
      </c>
      <c r="AD953" s="139">
        <v>14</v>
      </c>
      <c r="AE953" s="138">
        <v>91</v>
      </c>
      <c r="AG953" s="136">
        <v>51.72</v>
      </c>
      <c r="AH953" s="137">
        <v>6</v>
      </c>
      <c r="AI953" s="138">
        <v>9</v>
      </c>
      <c r="AK953" s="136">
        <v>51.52</v>
      </c>
      <c r="AL953" s="139">
        <v>14</v>
      </c>
      <c r="AM953" s="138">
        <v>91</v>
      </c>
      <c r="AS953" s="136">
        <v>51.45</v>
      </c>
      <c r="AT953" s="139">
        <v>5</v>
      </c>
      <c r="AU953" s="138">
        <v>5</v>
      </c>
      <c r="BA953" s="136">
        <v>52.28</v>
      </c>
      <c r="BB953" s="139">
        <v>4</v>
      </c>
      <c r="BC953" s="138">
        <v>2</v>
      </c>
    </row>
    <row r="954" spans="5:55" x14ac:dyDescent="0.3">
      <c r="E954" s="152">
        <v>52.4</v>
      </c>
      <c r="F954" s="153">
        <v>2</v>
      </c>
      <c r="G954" s="155" t="s">
        <v>862</v>
      </c>
      <c r="M954" s="136">
        <v>51.58</v>
      </c>
      <c r="N954" s="139">
        <v>15</v>
      </c>
      <c r="O954" s="138">
        <v>95</v>
      </c>
      <c r="U954" s="136">
        <v>51.66</v>
      </c>
      <c r="V954" s="139">
        <v>12</v>
      </c>
      <c r="W954" s="138">
        <v>75</v>
      </c>
      <c r="Y954" s="136">
        <v>51.44</v>
      </c>
      <c r="Z954" s="139">
        <v>5</v>
      </c>
      <c r="AA954" s="138">
        <v>5</v>
      </c>
      <c r="AC954" s="136">
        <v>51.71</v>
      </c>
      <c r="AD954" s="139">
        <v>15</v>
      </c>
      <c r="AE954" s="138">
        <v>95</v>
      </c>
      <c r="AG954" s="136">
        <v>51.73</v>
      </c>
      <c r="AH954" s="137">
        <v>7</v>
      </c>
      <c r="AI954" s="138">
        <v>16</v>
      </c>
      <c r="AK954" s="136">
        <v>51.53</v>
      </c>
      <c r="AL954" s="139">
        <v>15</v>
      </c>
      <c r="AM954" s="138">
        <v>95</v>
      </c>
      <c r="AS954" s="136">
        <v>51.46</v>
      </c>
      <c r="AT954" s="139">
        <v>6</v>
      </c>
      <c r="AU954" s="138">
        <v>9</v>
      </c>
      <c r="BA954" s="136">
        <v>52.31</v>
      </c>
      <c r="BB954" s="139">
        <v>5</v>
      </c>
      <c r="BC954" s="138">
        <v>5</v>
      </c>
    </row>
    <row r="955" spans="5:55" x14ac:dyDescent="0.3">
      <c r="E955" s="152">
        <v>52.45</v>
      </c>
      <c r="F955" s="153">
        <v>3</v>
      </c>
      <c r="G955" s="155" t="s">
        <v>876</v>
      </c>
      <c r="M955" s="136">
        <v>51.59</v>
      </c>
      <c r="N955" s="139">
        <v>17</v>
      </c>
      <c r="O955" s="138">
        <v>99</v>
      </c>
      <c r="U955" s="136">
        <v>51.68</v>
      </c>
      <c r="V955" s="139">
        <v>13</v>
      </c>
      <c r="W955" s="138">
        <v>85</v>
      </c>
      <c r="Y955" s="136">
        <v>51.46</v>
      </c>
      <c r="Z955" s="139">
        <v>6</v>
      </c>
      <c r="AA955" s="138">
        <v>9</v>
      </c>
      <c r="AC955" s="136">
        <v>51.73</v>
      </c>
      <c r="AD955" s="139">
        <v>16</v>
      </c>
      <c r="AE955" s="138">
        <v>98</v>
      </c>
      <c r="AG955" s="136">
        <v>51.75</v>
      </c>
      <c r="AH955" s="137">
        <v>8</v>
      </c>
      <c r="AI955" s="138">
        <v>25</v>
      </c>
      <c r="AK955" s="136">
        <v>51.54</v>
      </c>
      <c r="AL955" s="139">
        <v>16</v>
      </c>
      <c r="AM955" s="138">
        <v>98</v>
      </c>
      <c r="AS955" s="136">
        <v>51.47</v>
      </c>
      <c r="AT955" s="139">
        <v>7</v>
      </c>
      <c r="AU955" s="138">
        <v>16</v>
      </c>
      <c r="BA955" s="136">
        <v>52.33</v>
      </c>
      <c r="BB955" s="139">
        <v>6</v>
      </c>
      <c r="BC955" s="138">
        <v>9</v>
      </c>
    </row>
    <row r="956" spans="5:55" x14ac:dyDescent="0.3">
      <c r="E956" s="152">
        <v>52.47</v>
      </c>
      <c r="F956" s="153">
        <v>4</v>
      </c>
      <c r="G956" s="155" t="s">
        <v>863</v>
      </c>
      <c r="M956" s="136">
        <v>51.6</v>
      </c>
      <c r="N956" s="139">
        <v>19</v>
      </c>
      <c r="O956" s="138" t="s">
        <v>884</v>
      </c>
      <c r="U956" s="136">
        <v>51.7</v>
      </c>
      <c r="V956" s="139">
        <v>14</v>
      </c>
      <c r="W956" s="138">
        <v>91</v>
      </c>
      <c r="Y956" s="136">
        <v>51.47</v>
      </c>
      <c r="Z956" s="139">
        <v>7</v>
      </c>
      <c r="AA956" s="138">
        <v>16</v>
      </c>
      <c r="AC956" s="136">
        <v>51.76</v>
      </c>
      <c r="AD956" s="139">
        <v>17</v>
      </c>
      <c r="AE956" s="138">
        <v>99</v>
      </c>
      <c r="AG956" s="136">
        <v>51.76</v>
      </c>
      <c r="AH956" s="137">
        <v>9</v>
      </c>
      <c r="AI956" s="138">
        <v>37</v>
      </c>
      <c r="AK956" s="136">
        <v>51.55</v>
      </c>
      <c r="AL956" s="139">
        <v>17</v>
      </c>
      <c r="AM956" s="138">
        <v>99</v>
      </c>
      <c r="AS956" s="136">
        <v>51.48</v>
      </c>
      <c r="AT956" s="139">
        <v>8</v>
      </c>
      <c r="AU956" s="138">
        <v>25</v>
      </c>
      <c r="BA956" s="136">
        <v>52.36</v>
      </c>
      <c r="BB956" s="139">
        <v>7</v>
      </c>
      <c r="BC956" s="138">
        <v>16</v>
      </c>
    </row>
    <row r="957" spans="5:55" x14ac:dyDescent="0.3">
      <c r="E957" s="152">
        <v>52.5</v>
      </c>
      <c r="F957" s="153">
        <v>5</v>
      </c>
      <c r="G957" s="155" t="s">
        <v>877</v>
      </c>
      <c r="M957" s="136">
        <v>52</v>
      </c>
      <c r="N957" s="139">
        <v>1</v>
      </c>
      <c r="O957" s="138" t="s">
        <v>883</v>
      </c>
      <c r="U957" s="136">
        <v>51.72</v>
      </c>
      <c r="V957" s="139">
        <v>15</v>
      </c>
      <c r="W957" s="138">
        <v>95</v>
      </c>
      <c r="Y957" s="136">
        <v>51.49</v>
      </c>
      <c r="Z957" s="139">
        <v>8</v>
      </c>
      <c r="AA957" s="138">
        <v>25</v>
      </c>
      <c r="AC957" s="136">
        <v>51.78</v>
      </c>
      <c r="AD957" s="139">
        <v>18</v>
      </c>
      <c r="AE957" s="138" t="s">
        <v>884</v>
      </c>
      <c r="AG957" s="136">
        <v>51.77</v>
      </c>
      <c r="AH957" s="137">
        <v>10</v>
      </c>
      <c r="AI957" s="138">
        <v>50</v>
      </c>
      <c r="AK957" s="136">
        <v>51.56</v>
      </c>
      <c r="AL957" s="139">
        <v>18</v>
      </c>
      <c r="AM957" s="138" t="s">
        <v>884</v>
      </c>
      <c r="AS957" s="136">
        <v>51.49</v>
      </c>
      <c r="AT957" s="139">
        <v>9</v>
      </c>
      <c r="AU957" s="138">
        <v>37</v>
      </c>
      <c r="BA957" s="136">
        <v>52.38</v>
      </c>
      <c r="BB957" s="139">
        <v>8</v>
      </c>
      <c r="BC957" s="138">
        <v>25</v>
      </c>
    </row>
    <row r="958" spans="5:55" x14ac:dyDescent="0.3">
      <c r="E958" s="152">
        <v>52.52</v>
      </c>
      <c r="F958" s="153">
        <v>6</v>
      </c>
      <c r="G958" s="155" t="s">
        <v>864</v>
      </c>
      <c r="M958" s="136">
        <v>52.34</v>
      </c>
      <c r="N958" s="139">
        <v>2</v>
      </c>
      <c r="O958" s="138" t="s">
        <v>883</v>
      </c>
      <c r="U958" s="136">
        <v>51.74</v>
      </c>
      <c r="V958" s="139">
        <v>16</v>
      </c>
      <c r="W958" s="138">
        <v>98</v>
      </c>
      <c r="Y958" s="136">
        <v>51.5</v>
      </c>
      <c r="Z958" s="139">
        <v>9</v>
      </c>
      <c r="AA958" s="138">
        <v>37</v>
      </c>
      <c r="AC958" s="136">
        <v>51.8</v>
      </c>
      <c r="AD958" s="139">
        <v>19</v>
      </c>
      <c r="AE958" s="138" t="s">
        <v>884</v>
      </c>
      <c r="AG958" s="136">
        <v>51.78</v>
      </c>
      <c r="AH958" s="137">
        <v>11</v>
      </c>
      <c r="AI958" s="138">
        <v>63</v>
      </c>
      <c r="AK958" s="136">
        <v>51.57</v>
      </c>
      <c r="AL958" s="139">
        <v>19</v>
      </c>
      <c r="AM958" s="138" t="s">
        <v>884</v>
      </c>
      <c r="AS958" s="136">
        <v>51.5</v>
      </c>
      <c r="AT958" s="139">
        <v>10</v>
      </c>
      <c r="AU958" s="138">
        <v>50</v>
      </c>
      <c r="BA958" s="136">
        <v>52.41</v>
      </c>
      <c r="BB958" s="139">
        <v>9</v>
      </c>
      <c r="BC958" s="138">
        <v>37</v>
      </c>
    </row>
    <row r="959" spans="5:55" x14ac:dyDescent="0.3">
      <c r="E959" s="152">
        <v>52.54</v>
      </c>
      <c r="F959" s="153">
        <v>7</v>
      </c>
      <c r="G959" s="155" t="s">
        <v>878</v>
      </c>
      <c r="M959" s="136">
        <v>52.39</v>
      </c>
      <c r="N959" s="139">
        <v>3</v>
      </c>
      <c r="O959" s="138">
        <v>1</v>
      </c>
      <c r="U959" s="136">
        <v>51.76</v>
      </c>
      <c r="V959" s="139">
        <v>17</v>
      </c>
      <c r="W959" s="138">
        <v>99</v>
      </c>
      <c r="Y959" s="136">
        <v>51.52</v>
      </c>
      <c r="Z959" s="139">
        <v>10</v>
      </c>
      <c r="AA959" s="138">
        <v>50</v>
      </c>
      <c r="AC959" s="136">
        <v>52</v>
      </c>
      <c r="AD959" s="139">
        <v>1</v>
      </c>
      <c r="AE959" s="138" t="s">
        <v>883</v>
      </c>
      <c r="AG959" s="136">
        <v>51.79</v>
      </c>
      <c r="AH959" s="137">
        <v>12</v>
      </c>
      <c r="AI959" s="138">
        <v>75</v>
      </c>
      <c r="AK959" s="136">
        <v>52</v>
      </c>
      <c r="AL959" s="139">
        <v>1</v>
      </c>
      <c r="AM959" s="138" t="s">
        <v>883</v>
      </c>
      <c r="AS959" s="136">
        <v>51.51</v>
      </c>
      <c r="AT959" s="139">
        <v>11</v>
      </c>
      <c r="AU959" s="138">
        <v>63</v>
      </c>
      <c r="BA959" s="136">
        <v>52.43</v>
      </c>
      <c r="BB959" s="139">
        <v>10</v>
      </c>
      <c r="BC959" s="138">
        <v>50</v>
      </c>
    </row>
    <row r="960" spans="5:55" x14ac:dyDescent="0.3">
      <c r="E960" s="152">
        <v>52.56</v>
      </c>
      <c r="F960" s="153">
        <v>8</v>
      </c>
      <c r="G960" s="155" t="s">
        <v>865</v>
      </c>
      <c r="M960" s="136">
        <v>52.41</v>
      </c>
      <c r="N960" s="139">
        <v>4</v>
      </c>
      <c r="O960" s="138">
        <v>2</v>
      </c>
      <c r="U960" s="136">
        <v>51.78</v>
      </c>
      <c r="V960" s="139">
        <v>18</v>
      </c>
      <c r="W960" s="138" t="s">
        <v>884</v>
      </c>
      <c r="Y960" s="136">
        <v>51.54</v>
      </c>
      <c r="Z960" s="139">
        <v>11</v>
      </c>
      <c r="AA960" s="138">
        <v>63</v>
      </c>
      <c r="AC960" s="136">
        <v>52.39</v>
      </c>
      <c r="AD960" s="139">
        <v>2</v>
      </c>
      <c r="AE960" s="138" t="s">
        <v>883</v>
      </c>
      <c r="AG960" s="136">
        <v>51.81</v>
      </c>
      <c r="AH960" s="137">
        <v>13</v>
      </c>
      <c r="AI960" s="138">
        <v>85</v>
      </c>
      <c r="AK960" s="136">
        <v>52.32</v>
      </c>
      <c r="AL960" s="139">
        <v>2</v>
      </c>
      <c r="AM960" s="138" t="s">
        <v>883</v>
      </c>
      <c r="AS960" s="136">
        <v>51.52</v>
      </c>
      <c r="AT960" s="139">
        <v>12</v>
      </c>
      <c r="AU960" s="138">
        <v>75</v>
      </c>
      <c r="BA960" s="136">
        <v>52.46</v>
      </c>
      <c r="BB960" s="139">
        <v>11</v>
      </c>
      <c r="BC960" s="138">
        <v>63</v>
      </c>
    </row>
    <row r="961" spans="5:55" x14ac:dyDescent="0.3">
      <c r="E961" s="152">
        <v>52.58</v>
      </c>
      <c r="F961" s="153">
        <v>9</v>
      </c>
      <c r="G961" s="155" t="s">
        <v>879</v>
      </c>
      <c r="M961" s="136">
        <v>52.44</v>
      </c>
      <c r="N961" s="139">
        <v>5</v>
      </c>
      <c r="O961" s="138">
        <v>5</v>
      </c>
      <c r="U961" s="136">
        <v>51.8</v>
      </c>
      <c r="V961" s="139">
        <v>19</v>
      </c>
      <c r="W961" s="138" t="s">
        <v>884</v>
      </c>
      <c r="Y961" s="136">
        <v>51.55</v>
      </c>
      <c r="Z961" s="139">
        <v>12</v>
      </c>
      <c r="AA961" s="138">
        <v>75</v>
      </c>
      <c r="AC961" s="136">
        <v>52.42</v>
      </c>
      <c r="AD961" s="139">
        <v>3</v>
      </c>
      <c r="AE961" s="138">
        <v>1</v>
      </c>
      <c r="AG961" s="136">
        <v>51.82</v>
      </c>
      <c r="AH961" s="137">
        <v>14</v>
      </c>
      <c r="AI961" s="138">
        <v>91</v>
      </c>
      <c r="AK961" s="136">
        <v>52.37</v>
      </c>
      <c r="AL961" s="139">
        <v>3</v>
      </c>
      <c r="AM961" s="138">
        <v>1</v>
      </c>
      <c r="AS961" s="136">
        <v>51.53</v>
      </c>
      <c r="AT961" s="139">
        <v>13</v>
      </c>
      <c r="AU961" s="138">
        <v>85</v>
      </c>
      <c r="BA961" s="136">
        <v>52.48</v>
      </c>
      <c r="BB961" s="139">
        <v>12</v>
      </c>
      <c r="BC961" s="138">
        <v>75</v>
      </c>
    </row>
    <row r="962" spans="5:55" x14ac:dyDescent="0.3">
      <c r="E962" s="152">
        <v>52.6</v>
      </c>
      <c r="F962" s="153">
        <v>10</v>
      </c>
      <c r="G962" s="155" t="s">
        <v>866</v>
      </c>
      <c r="M962" s="136">
        <v>52.46</v>
      </c>
      <c r="N962" s="139">
        <v>6</v>
      </c>
      <c r="O962" s="138">
        <v>9</v>
      </c>
      <c r="U962" s="136">
        <v>52</v>
      </c>
      <c r="V962" s="139">
        <v>1</v>
      </c>
      <c r="W962" s="138" t="s">
        <v>883</v>
      </c>
      <c r="Y962" s="136">
        <v>51.57</v>
      </c>
      <c r="Z962" s="139">
        <v>13</v>
      </c>
      <c r="AA962" s="138">
        <v>85</v>
      </c>
      <c r="AC962" s="136">
        <v>52.44</v>
      </c>
      <c r="AD962" s="139">
        <v>4</v>
      </c>
      <c r="AE962" s="138">
        <v>2</v>
      </c>
      <c r="AG962" s="136">
        <v>51.83</v>
      </c>
      <c r="AH962" s="137">
        <v>15</v>
      </c>
      <c r="AI962" s="138">
        <v>95</v>
      </c>
      <c r="AK962" s="136">
        <v>52.39</v>
      </c>
      <c r="AL962" s="139">
        <v>4</v>
      </c>
      <c r="AM962" s="138">
        <v>2</v>
      </c>
      <c r="AS962" s="136">
        <v>51.54</v>
      </c>
      <c r="AT962" s="139">
        <v>14</v>
      </c>
      <c r="AU962" s="138">
        <v>91</v>
      </c>
      <c r="BA962" s="136">
        <v>52.51</v>
      </c>
      <c r="BB962" s="139">
        <v>13</v>
      </c>
      <c r="BC962" s="138">
        <v>85</v>
      </c>
    </row>
    <row r="963" spans="5:55" x14ac:dyDescent="0.3">
      <c r="E963" s="152">
        <v>52.61</v>
      </c>
      <c r="F963" s="153">
        <v>11</v>
      </c>
      <c r="G963" s="155" t="s">
        <v>867</v>
      </c>
      <c r="M963" s="136">
        <v>52.48</v>
      </c>
      <c r="N963" s="139">
        <v>7</v>
      </c>
      <c r="O963" s="138">
        <v>16</v>
      </c>
      <c r="U963" s="136">
        <v>52.34</v>
      </c>
      <c r="V963" s="139">
        <v>2</v>
      </c>
      <c r="W963" s="138" t="s">
        <v>883</v>
      </c>
      <c r="Y963" s="136">
        <v>51.59</v>
      </c>
      <c r="Z963" s="139">
        <v>14</v>
      </c>
      <c r="AA963" s="138">
        <v>91</v>
      </c>
      <c r="AC963" s="136">
        <v>52.47</v>
      </c>
      <c r="AD963" s="139">
        <v>5</v>
      </c>
      <c r="AE963" s="138">
        <v>5</v>
      </c>
      <c r="AG963" s="136">
        <v>51.84</v>
      </c>
      <c r="AH963" s="137">
        <v>16</v>
      </c>
      <c r="AI963" s="138">
        <v>98</v>
      </c>
      <c r="AK963" s="136">
        <v>52.41</v>
      </c>
      <c r="AL963" s="139">
        <v>5</v>
      </c>
      <c r="AM963" s="138">
        <v>5</v>
      </c>
      <c r="AS963" s="136">
        <v>51.55</v>
      </c>
      <c r="AT963" s="139">
        <v>15</v>
      </c>
      <c r="AU963" s="138">
        <v>95</v>
      </c>
      <c r="BA963" s="136">
        <v>52.53</v>
      </c>
      <c r="BB963" s="139">
        <v>14</v>
      </c>
      <c r="BC963" s="138">
        <v>91</v>
      </c>
    </row>
    <row r="964" spans="5:55" x14ac:dyDescent="0.3">
      <c r="E964" s="152">
        <v>52.62</v>
      </c>
      <c r="F964" s="153">
        <v>12</v>
      </c>
      <c r="G964" s="155" t="s">
        <v>868</v>
      </c>
      <c r="M964" s="136">
        <v>52.5</v>
      </c>
      <c r="N964" s="139">
        <v>8</v>
      </c>
      <c r="O964" s="138">
        <v>25</v>
      </c>
      <c r="U964" s="136">
        <v>52.42</v>
      </c>
      <c r="V964" s="139">
        <v>3</v>
      </c>
      <c r="W964" s="138">
        <v>1</v>
      </c>
      <c r="Y964" s="136">
        <v>51.6</v>
      </c>
      <c r="Z964" s="139">
        <v>15</v>
      </c>
      <c r="AA964" s="138">
        <v>95</v>
      </c>
      <c r="AC964" s="136">
        <v>52.49</v>
      </c>
      <c r="AD964" s="139">
        <v>6</v>
      </c>
      <c r="AE964" s="138">
        <v>9</v>
      </c>
      <c r="AG964" s="136">
        <v>51.85</v>
      </c>
      <c r="AH964" s="137">
        <v>17</v>
      </c>
      <c r="AI964" s="138">
        <v>99</v>
      </c>
      <c r="AK964" s="136">
        <v>52.42</v>
      </c>
      <c r="AL964" s="139">
        <v>6</v>
      </c>
      <c r="AM964" s="138">
        <v>9</v>
      </c>
      <c r="AS964" s="136">
        <v>51.56</v>
      </c>
      <c r="AT964" s="139">
        <v>16</v>
      </c>
      <c r="AU964" s="138">
        <v>98</v>
      </c>
      <c r="BA964" s="136">
        <v>52.56</v>
      </c>
      <c r="BB964" s="139">
        <v>15</v>
      </c>
      <c r="BC964" s="138">
        <v>95</v>
      </c>
    </row>
    <row r="965" spans="5:55" x14ac:dyDescent="0.3">
      <c r="E965" s="152">
        <v>52.63</v>
      </c>
      <c r="F965" s="153">
        <v>13</v>
      </c>
      <c r="G965" s="155" t="s">
        <v>869</v>
      </c>
      <c r="M965" s="136">
        <v>52.52</v>
      </c>
      <c r="N965" s="139">
        <v>9</v>
      </c>
      <c r="O965" s="138">
        <v>37</v>
      </c>
      <c r="U965" s="136">
        <v>52.46</v>
      </c>
      <c r="V965" s="139">
        <v>4</v>
      </c>
      <c r="W965" s="138">
        <v>2</v>
      </c>
      <c r="Y965" s="136">
        <v>51.62</v>
      </c>
      <c r="Z965" s="139">
        <v>16</v>
      </c>
      <c r="AA965" s="138">
        <v>98</v>
      </c>
      <c r="AC965" s="136">
        <v>52.51</v>
      </c>
      <c r="AD965" s="139">
        <v>7</v>
      </c>
      <c r="AE965" s="138">
        <v>16</v>
      </c>
      <c r="AG965" s="136">
        <v>51.86</v>
      </c>
      <c r="AH965" s="137">
        <v>18</v>
      </c>
      <c r="AI965" s="138" t="s">
        <v>884</v>
      </c>
      <c r="AK965" s="136">
        <v>52.43</v>
      </c>
      <c r="AL965" s="139">
        <v>7</v>
      </c>
      <c r="AM965" s="138">
        <v>16</v>
      </c>
      <c r="AS965" s="136">
        <v>51.57</v>
      </c>
      <c r="AT965" s="139">
        <v>17</v>
      </c>
      <c r="AU965" s="138">
        <v>99</v>
      </c>
      <c r="BA965" s="136">
        <v>52.58</v>
      </c>
      <c r="BB965" s="139">
        <v>16</v>
      </c>
      <c r="BC965" s="138">
        <v>98</v>
      </c>
    </row>
    <row r="966" spans="5:55" x14ac:dyDescent="0.3">
      <c r="E966" s="152">
        <v>52.64</v>
      </c>
      <c r="F966" s="153">
        <v>14</v>
      </c>
      <c r="G966" s="155" t="s">
        <v>870</v>
      </c>
      <c r="M966" s="136">
        <v>52.53</v>
      </c>
      <c r="N966" s="139">
        <v>10</v>
      </c>
      <c r="O966" s="138">
        <v>50</v>
      </c>
      <c r="U966" s="136">
        <v>52.49</v>
      </c>
      <c r="V966" s="139">
        <v>5</v>
      </c>
      <c r="W966" s="138">
        <v>5</v>
      </c>
      <c r="Y966" s="136">
        <v>51.64</v>
      </c>
      <c r="Z966" s="139">
        <v>17</v>
      </c>
      <c r="AA966" s="138">
        <v>99</v>
      </c>
      <c r="AC966" s="136">
        <v>52.54</v>
      </c>
      <c r="AD966" s="139">
        <v>8</v>
      </c>
      <c r="AE966" s="138">
        <v>25</v>
      </c>
      <c r="AG966" s="136">
        <v>51.87</v>
      </c>
      <c r="AH966" s="137">
        <v>19</v>
      </c>
      <c r="AI966" s="138" t="s">
        <v>884</v>
      </c>
      <c r="AK966" s="136">
        <v>52.45</v>
      </c>
      <c r="AL966" s="139">
        <v>8</v>
      </c>
      <c r="AM966" s="138">
        <v>25</v>
      </c>
      <c r="AS966" s="136">
        <v>51.58</v>
      </c>
      <c r="AT966" s="139">
        <v>18</v>
      </c>
      <c r="AU966" s="138" t="s">
        <v>884</v>
      </c>
      <c r="BA966" s="136">
        <v>52.61</v>
      </c>
      <c r="BB966" s="139">
        <v>17</v>
      </c>
      <c r="BC966" s="138">
        <v>99</v>
      </c>
    </row>
    <row r="967" spans="5:55" x14ac:dyDescent="0.3">
      <c r="E967" s="152">
        <v>52.65</v>
      </c>
      <c r="F967" s="153">
        <v>15</v>
      </c>
      <c r="G967" s="155" t="s">
        <v>871</v>
      </c>
      <c r="M967" s="136">
        <v>52.54</v>
      </c>
      <c r="N967" s="139">
        <v>11</v>
      </c>
      <c r="O967" s="138">
        <v>63</v>
      </c>
      <c r="U967" s="136">
        <v>52.51</v>
      </c>
      <c r="V967" s="139">
        <v>6</v>
      </c>
      <c r="W967" s="138">
        <v>9</v>
      </c>
      <c r="Y967" s="136">
        <v>51.65</v>
      </c>
      <c r="Z967" s="139">
        <v>18</v>
      </c>
      <c r="AA967" s="138" t="s">
        <v>884</v>
      </c>
      <c r="AC967" s="136">
        <v>52.56</v>
      </c>
      <c r="AD967" s="139">
        <v>9</v>
      </c>
      <c r="AE967" s="138">
        <v>37</v>
      </c>
      <c r="AG967" s="136">
        <v>52</v>
      </c>
      <c r="AH967" s="137">
        <v>1</v>
      </c>
      <c r="AI967" s="138" t="s">
        <v>883</v>
      </c>
      <c r="AK967" s="136">
        <v>52.47</v>
      </c>
      <c r="AL967" s="139">
        <v>9</v>
      </c>
      <c r="AM967" s="138">
        <v>37</v>
      </c>
      <c r="AS967" s="136">
        <v>51.59</v>
      </c>
      <c r="AT967" s="139">
        <v>19</v>
      </c>
      <c r="AU967" s="138" t="s">
        <v>884</v>
      </c>
      <c r="BA967" s="136">
        <v>52.64</v>
      </c>
      <c r="BB967" s="139">
        <v>18</v>
      </c>
      <c r="BC967" s="138" t="s">
        <v>884</v>
      </c>
    </row>
    <row r="968" spans="5:55" x14ac:dyDescent="0.3">
      <c r="E968" s="152">
        <v>52.66</v>
      </c>
      <c r="F968" s="153">
        <v>16</v>
      </c>
      <c r="G968" s="155" t="s">
        <v>872</v>
      </c>
      <c r="M968" s="136">
        <v>52.55</v>
      </c>
      <c r="N968" s="139">
        <v>12</v>
      </c>
      <c r="O968" s="138">
        <v>75</v>
      </c>
      <c r="U968" s="136">
        <v>52.54</v>
      </c>
      <c r="V968" s="139">
        <v>7</v>
      </c>
      <c r="W968" s="138">
        <v>16</v>
      </c>
      <c r="Y968" s="136">
        <v>51.67</v>
      </c>
      <c r="Z968" s="139">
        <v>19</v>
      </c>
      <c r="AA968" s="138" t="s">
        <v>884</v>
      </c>
      <c r="AC968" s="136">
        <v>52.59</v>
      </c>
      <c r="AD968" s="139">
        <v>10</v>
      </c>
      <c r="AE968" s="138">
        <v>50</v>
      </c>
      <c r="AG968" s="136">
        <v>52.6</v>
      </c>
      <c r="AH968" s="137">
        <v>2</v>
      </c>
      <c r="AI968" s="138" t="s">
        <v>883</v>
      </c>
      <c r="AK968" s="136">
        <v>52.48</v>
      </c>
      <c r="AL968" s="139">
        <v>10</v>
      </c>
      <c r="AM968" s="138">
        <v>50</v>
      </c>
      <c r="AS968" s="136">
        <v>52</v>
      </c>
      <c r="AT968" s="139">
        <v>1</v>
      </c>
      <c r="AU968" s="138" t="s">
        <v>883</v>
      </c>
      <c r="BA968" s="136">
        <v>52.68</v>
      </c>
      <c r="BB968" s="139">
        <v>19</v>
      </c>
      <c r="BC968" s="138" t="s">
        <v>884</v>
      </c>
    </row>
    <row r="969" spans="5:55" x14ac:dyDescent="0.3">
      <c r="E969" s="152">
        <v>52.67</v>
      </c>
      <c r="F969" s="153">
        <v>17</v>
      </c>
      <c r="G969" s="155" t="s">
        <v>873</v>
      </c>
      <c r="M969" s="136">
        <v>52.56</v>
      </c>
      <c r="N969" s="139">
        <v>13</v>
      </c>
      <c r="O969" s="138">
        <v>85</v>
      </c>
      <c r="U969" s="136">
        <v>52.57</v>
      </c>
      <c r="V969" s="139">
        <v>8</v>
      </c>
      <c r="W969" s="138">
        <v>25</v>
      </c>
      <c r="Y969" s="136">
        <v>52</v>
      </c>
      <c r="Z969" s="139">
        <v>1</v>
      </c>
      <c r="AA969" s="138" t="s">
        <v>883</v>
      </c>
      <c r="AC969" s="136">
        <v>52.61</v>
      </c>
      <c r="AD969" s="139">
        <v>11</v>
      </c>
      <c r="AE969" s="138">
        <v>63</v>
      </c>
      <c r="AG969" s="136">
        <v>52.65</v>
      </c>
      <c r="AH969" s="137">
        <v>3</v>
      </c>
      <c r="AI969" s="138">
        <v>1</v>
      </c>
      <c r="AK969" s="136">
        <v>52.49</v>
      </c>
      <c r="AL969" s="139">
        <v>11</v>
      </c>
      <c r="AM969" s="138">
        <v>63</v>
      </c>
      <c r="AS969" s="136">
        <v>52.4</v>
      </c>
      <c r="AT969" s="139">
        <v>2</v>
      </c>
      <c r="AU969" s="138" t="s">
        <v>883</v>
      </c>
      <c r="BA969" s="136">
        <v>53</v>
      </c>
      <c r="BB969" s="139">
        <v>1</v>
      </c>
      <c r="BC969" s="138" t="s">
        <v>883</v>
      </c>
    </row>
    <row r="970" spans="5:55" x14ac:dyDescent="0.3">
      <c r="E970" s="152">
        <v>52.68</v>
      </c>
      <c r="F970" s="153">
        <v>18</v>
      </c>
      <c r="G970" s="155" t="s">
        <v>874</v>
      </c>
      <c r="M970" s="136">
        <v>52.57</v>
      </c>
      <c r="N970" s="139">
        <v>14</v>
      </c>
      <c r="O970" s="138">
        <v>91</v>
      </c>
      <c r="U970" s="136">
        <v>52.6</v>
      </c>
      <c r="V970" s="139">
        <v>9</v>
      </c>
      <c r="W970" s="138">
        <v>37</v>
      </c>
      <c r="Y970" s="136">
        <v>52.37</v>
      </c>
      <c r="Z970" s="139">
        <v>2</v>
      </c>
      <c r="AA970" s="138" t="s">
        <v>883</v>
      </c>
      <c r="AC970" s="136">
        <v>52.63</v>
      </c>
      <c r="AD970" s="139">
        <v>12</v>
      </c>
      <c r="AE970" s="138">
        <v>75</v>
      </c>
      <c r="AG970" s="136">
        <v>52.68</v>
      </c>
      <c r="AH970" s="137">
        <v>4</v>
      </c>
      <c r="AI970" s="138">
        <v>2</v>
      </c>
      <c r="AK970" s="136">
        <v>52.5</v>
      </c>
      <c r="AL970" s="139">
        <v>12</v>
      </c>
      <c r="AM970" s="138">
        <v>75</v>
      </c>
      <c r="AS970" s="136">
        <v>52.43</v>
      </c>
      <c r="AT970" s="139">
        <v>3</v>
      </c>
      <c r="AU970" s="138">
        <v>1</v>
      </c>
      <c r="BA970" s="136">
        <v>53.23</v>
      </c>
      <c r="BB970" s="139">
        <v>2</v>
      </c>
      <c r="BC970" s="138" t="s">
        <v>883</v>
      </c>
    </row>
    <row r="971" spans="5:55" x14ac:dyDescent="0.3">
      <c r="E971" s="152">
        <v>52.69</v>
      </c>
      <c r="F971" s="153">
        <v>19</v>
      </c>
      <c r="G971" s="155" t="s">
        <v>874</v>
      </c>
      <c r="M971" s="136">
        <v>52.58</v>
      </c>
      <c r="N971" s="139">
        <v>15</v>
      </c>
      <c r="O971" s="138">
        <v>95</v>
      </c>
      <c r="U971" s="136">
        <v>52.62</v>
      </c>
      <c r="V971" s="139">
        <v>10</v>
      </c>
      <c r="W971" s="138">
        <v>50</v>
      </c>
      <c r="Y971" s="136">
        <v>52.41</v>
      </c>
      <c r="Z971" s="139">
        <v>3</v>
      </c>
      <c r="AA971" s="138">
        <v>1</v>
      </c>
      <c r="AC971" s="136">
        <v>52.66</v>
      </c>
      <c r="AD971" s="139">
        <v>13</v>
      </c>
      <c r="AE971" s="138">
        <v>85</v>
      </c>
      <c r="AG971" s="136">
        <v>52.7</v>
      </c>
      <c r="AH971" s="137">
        <v>5</v>
      </c>
      <c r="AI971" s="138">
        <v>5</v>
      </c>
      <c r="AK971" s="136">
        <v>52.51</v>
      </c>
      <c r="AL971" s="139">
        <v>13</v>
      </c>
      <c r="AM971" s="138">
        <v>85</v>
      </c>
      <c r="AS971" s="136">
        <v>52.44</v>
      </c>
      <c r="AT971" s="139">
        <v>4</v>
      </c>
      <c r="AU971" s="138">
        <v>2</v>
      </c>
      <c r="BA971" s="136">
        <v>53.25</v>
      </c>
      <c r="BB971" s="139">
        <v>3</v>
      </c>
      <c r="BC971" s="138">
        <v>1</v>
      </c>
    </row>
    <row r="972" spans="5:55" x14ac:dyDescent="0.3">
      <c r="E972" s="152">
        <v>53</v>
      </c>
      <c r="F972" s="153">
        <v>1</v>
      </c>
      <c r="G972" s="155" t="s">
        <v>862</v>
      </c>
      <c r="M972" s="136">
        <v>52.59</v>
      </c>
      <c r="N972" s="139">
        <v>17</v>
      </c>
      <c r="O972" s="138">
        <v>99</v>
      </c>
      <c r="U972" s="136">
        <v>52.64</v>
      </c>
      <c r="V972" s="139">
        <v>11</v>
      </c>
      <c r="W972" s="138">
        <v>63</v>
      </c>
      <c r="Y972" s="136">
        <v>52.42</v>
      </c>
      <c r="Z972" s="139">
        <v>4</v>
      </c>
      <c r="AA972" s="138">
        <v>2</v>
      </c>
      <c r="AC972" s="136">
        <v>52.68</v>
      </c>
      <c r="AD972" s="139">
        <v>14</v>
      </c>
      <c r="AE972" s="138">
        <v>91</v>
      </c>
      <c r="AG972" s="136">
        <v>52.72</v>
      </c>
      <c r="AH972" s="137">
        <v>6</v>
      </c>
      <c r="AI972" s="138">
        <v>9</v>
      </c>
      <c r="AK972" s="136">
        <v>52.52</v>
      </c>
      <c r="AL972" s="139">
        <v>14</v>
      </c>
      <c r="AM972" s="138">
        <v>91</v>
      </c>
      <c r="AS972" s="136">
        <v>52.45</v>
      </c>
      <c r="AT972" s="139">
        <v>5</v>
      </c>
      <c r="AU972" s="138">
        <v>5</v>
      </c>
      <c r="BA972" s="136">
        <v>53.28</v>
      </c>
      <c r="BB972" s="139">
        <v>4</v>
      </c>
      <c r="BC972" s="138">
        <v>2</v>
      </c>
    </row>
    <row r="973" spans="5:55" x14ac:dyDescent="0.3">
      <c r="E973" s="152">
        <v>53.4</v>
      </c>
      <c r="F973" s="153">
        <v>2</v>
      </c>
      <c r="G973" s="155" t="s">
        <v>862</v>
      </c>
      <c r="M973" s="136">
        <v>52.6</v>
      </c>
      <c r="N973" s="139">
        <v>19</v>
      </c>
      <c r="O973" s="138" t="s">
        <v>884</v>
      </c>
      <c r="U973" s="136">
        <v>52.66</v>
      </c>
      <c r="V973" s="139">
        <v>12</v>
      </c>
      <c r="W973" s="138">
        <v>75</v>
      </c>
      <c r="Y973" s="136">
        <v>52.44</v>
      </c>
      <c r="Z973" s="139">
        <v>5</v>
      </c>
      <c r="AA973" s="138">
        <v>5</v>
      </c>
      <c r="AC973" s="136">
        <v>52.71</v>
      </c>
      <c r="AD973" s="139">
        <v>15</v>
      </c>
      <c r="AE973" s="138">
        <v>95</v>
      </c>
      <c r="AG973" s="136">
        <v>52.73</v>
      </c>
      <c r="AH973" s="137">
        <v>7</v>
      </c>
      <c r="AI973" s="138">
        <v>16</v>
      </c>
      <c r="AK973" s="136">
        <v>52.53</v>
      </c>
      <c r="AL973" s="139">
        <v>15</v>
      </c>
      <c r="AM973" s="138">
        <v>95</v>
      </c>
      <c r="AS973" s="136">
        <v>52.46</v>
      </c>
      <c r="AT973" s="139">
        <v>6</v>
      </c>
      <c r="AU973" s="138">
        <v>9</v>
      </c>
      <c r="BA973" s="136">
        <v>53.31</v>
      </c>
      <c r="BB973" s="139">
        <v>5</v>
      </c>
      <c r="BC973" s="138">
        <v>5</v>
      </c>
    </row>
    <row r="974" spans="5:55" x14ac:dyDescent="0.3">
      <c r="E974" s="152">
        <v>53.45</v>
      </c>
      <c r="F974" s="153">
        <v>3</v>
      </c>
      <c r="G974" s="155" t="s">
        <v>876</v>
      </c>
      <c r="M974" s="136">
        <v>53</v>
      </c>
      <c r="N974" s="139">
        <v>1</v>
      </c>
      <c r="O974" s="138" t="s">
        <v>883</v>
      </c>
      <c r="U974" s="136">
        <v>52.68</v>
      </c>
      <c r="V974" s="139">
        <v>13</v>
      </c>
      <c r="W974" s="138">
        <v>85</v>
      </c>
      <c r="Y974" s="136">
        <v>52.46</v>
      </c>
      <c r="Z974" s="139">
        <v>6</v>
      </c>
      <c r="AA974" s="138">
        <v>9</v>
      </c>
      <c r="AC974" s="136">
        <v>52.73</v>
      </c>
      <c r="AD974" s="139">
        <v>16</v>
      </c>
      <c r="AE974" s="138">
        <v>98</v>
      </c>
      <c r="AG974" s="136">
        <v>52.75</v>
      </c>
      <c r="AH974" s="137">
        <v>8</v>
      </c>
      <c r="AI974" s="138">
        <v>25</v>
      </c>
      <c r="AK974" s="136">
        <v>52.54</v>
      </c>
      <c r="AL974" s="139">
        <v>16</v>
      </c>
      <c r="AM974" s="138">
        <v>98</v>
      </c>
      <c r="AS974" s="136">
        <v>52.47</v>
      </c>
      <c r="AT974" s="139">
        <v>7</v>
      </c>
      <c r="AU974" s="138">
        <v>16</v>
      </c>
      <c r="BA974" s="136">
        <v>53.33</v>
      </c>
      <c r="BB974" s="139">
        <v>6</v>
      </c>
      <c r="BC974" s="138">
        <v>9</v>
      </c>
    </row>
    <row r="975" spans="5:55" x14ac:dyDescent="0.3">
      <c r="E975" s="152">
        <v>53.47</v>
      </c>
      <c r="F975" s="153">
        <v>4</v>
      </c>
      <c r="G975" s="155" t="s">
        <v>863</v>
      </c>
      <c r="M975" s="136">
        <v>53.34</v>
      </c>
      <c r="N975" s="139">
        <v>2</v>
      </c>
      <c r="O975" s="138" t="s">
        <v>883</v>
      </c>
      <c r="U975" s="136">
        <v>52.7</v>
      </c>
      <c r="V975" s="139">
        <v>14</v>
      </c>
      <c r="W975" s="138">
        <v>91</v>
      </c>
      <c r="Y975" s="136">
        <v>52.47</v>
      </c>
      <c r="Z975" s="139">
        <v>7</v>
      </c>
      <c r="AA975" s="138">
        <v>16</v>
      </c>
      <c r="AC975" s="136">
        <v>52.76</v>
      </c>
      <c r="AD975" s="139">
        <v>17</v>
      </c>
      <c r="AE975" s="138">
        <v>99</v>
      </c>
      <c r="AG975" s="136">
        <v>52.76</v>
      </c>
      <c r="AH975" s="137">
        <v>9</v>
      </c>
      <c r="AI975" s="138">
        <v>37</v>
      </c>
      <c r="AK975" s="136">
        <v>52.55</v>
      </c>
      <c r="AL975" s="139">
        <v>17</v>
      </c>
      <c r="AM975" s="138">
        <v>99</v>
      </c>
      <c r="AS975" s="136">
        <v>52.48</v>
      </c>
      <c r="AT975" s="139">
        <v>8</v>
      </c>
      <c r="AU975" s="138">
        <v>25</v>
      </c>
      <c r="BA975" s="136">
        <v>53.36</v>
      </c>
      <c r="BB975" s="139">
        <v>7</v>
      </c>
      <c r="BC975" s="138">
        <v>16</v>
      </c>
    </row>
    <row r="976" spans="5:55" x14ac:dyDescent="0.3">
      <c r="E976" s="152">
        <v>53.5</v>
      </c>
      <c r="F976" s="153">
        <v>5</v>
      </c>
      <c r="G976" s="155" t="s">
        <v>877</v>
      </c>
      <c r="M976" s="136">
        <v>53.39</v>
      </c>
      <c r="N976" s="139">
        <v>3</v>
      </c>
      <c r="O976" s="138">
        <v>1</v>
      </c>
      <c r="U976" s="136">
        <v>52.72</v>
      </c>
      <c r="V976" s="139">
        <v>15</v>
      </c>
      <c r="W976" s="138">
        <v>95</v>
      </c>
      <c r="Y976" s="136">
        <v>52.49</v>
      </c>
      <c r="Z976" s="139">
        <v>8</v>
      </c>
      <c r="AA976" s="138">
        <v>25</v>
      </c>
      <c r="AC976" s="136">
        <v>52.78</v>
      </c>
      <c r="AD976" s="139">
        <v>18</v>
      </c>
      <c r="AE976" s="138" t="s">
        <v>884</v>
      </c>
      <c r="AG976" s="136">
        <v>52.77</v>
      </c>
      <c r="AH976" s="137">
        <v>10</v>
      </c>
      <c r="AI976" s="138">
        <v>50</v>
      </c>
      <c r="AK976" s="136">
        <v>52.56</v>
      </c>
      <c r="AL976" s="139">
        <v>18</v>
      </c>
      <c r="AM976" s="138" t="s">
        <v>884</v>
      </c>
      <c r="AS976" s="136">
        <v>52.49</v>
      </c>
      <c r="AT976" s="139">
        <v>9</v>
      </c>
      <c r="AU976" s="138">
        <v>37</v>
      </c>
      <c r="BA976" s="136">
        <v>53.38</v>
      </c>
      <c r="BB976" s="139">
        <v>8</v>
      </c>
      <c r="BC976" s="138">
        <v>25</v>
      </c>
    </row>
    <row r="977" spans="5:55" x14ac:dyDescent="0.3">
      <c r="E977" s="152">
        <v>53.52</v>
      </c>
      <c r="F977" s="153">
        <v>6</v>
      </c>
      <c r="G977" s="155" t="s">
        <v>864</v>
      </c>
      <c r="M977" s="136">
        <v>53.41</v>
      </c>
      <c r="N977" s="139">
        <v>4</v>
      </c>
      <c r="O977" s="138">
        <v>2</v>
      </c>
      <c r="U977" s="136">
        <v>52.74</v>
      </c>
      <c r="V977" s="139">
        <v>16</v>
      </c>
      <c r="W977" s="138">
        <v>98</v>
      </c>
      <c r="Y977" s="136">
        <v>52.5</v>
      </c>
      <c r="Z977" s="139">
        <v>9</v>
      </c>
      <c r="AA977" s="138">
        <v>37</v>
      </c>
      <c r="AC977" s="136">
        <v>52.8</v>
      </c>
      <c r="AD977" s="139">
        <v>19</v>
      </c>
      <c r="AE977" s="138" t="s">
        <v>884</v>
      </c>
      <c r="AG977" s="136">
        <v>52.78</v>
      </c>
      <c r="AH977" s="137">
        <v>11</v>
      </c>
      <c r="AI977" s="138">
        <v>63</v>
      </c>
      <c r="AK977" s="136">
        <v>52.57</v>
      </c>
      <c r="AL977" s="139">
        <v>19</v>
      </c>
      <c r="AM977" s="138" t="s">
        <v>884</v>
      </c>
      <c r="AS977" s="136">
        <v>52.5</v>
      </c>
      <c r="AT977" s="139">
        <v>10</v>
      </c>
      <c r="AU977" s="138">
        <v>50</v>
      </c>
      <c r="BA977" s="136">
        <v>53.41</v>
      </c>
      <c r="BB977" s="139">
        <v>9</v>
      </c>
      <c r="BC977" s="138">
        <v>37</v>
      </c>
    </row>
    <row r="978" spans="5:55" x14ac:dyDescent="0.3">
      <c r="E978" s="152">
        <v>53.54</v>
      </c>
      <c r="F978" s="153">
        <v>7</v>
      </c>
      <c r="G978" s="155" t="s">
        <v>878</v>
      </c>
      <c r="M978" s="136">
        <v>53.44</v>
      </c>
      <c r="N978" s="139">
        <v>5</v>
      </c>
      <c r="O978" s="138">
        <v>5</v>
      </c>
      <c r="U978" s="136">
        <v>52.76</v>
      </c>
      <c r="V978" s="139">
        <v>17</v>
      </c>
      <c r="W978" s="138">
        <v>99</v>
      </c>
      <c r="Y978" s="136">
        <v>52.52</v>
      </c>
      <c r="Z978" s="139">
        <v>10</v>
      </c>
      <c r="AA978" s="138">
        <v>50</v>
      </c>
      <c r="AC978" s="136">
        <v>53</v>
      </c>
      <c r="AD978" s="139">
        <v>1</v>
      </c>
      <c r="AE978" s="138" t="s">
        <v>883</v>
      </c>
      <c r="AG978" s="136">
        <v>52.79</v>
      </c>
      <c r="AH978" s="137">
        <v>12</v>
      </c>
      <c r="AI978" s="138">
        <v>75</v>
      </c>
      <c r="AK978" s="136">
        <v>53</v>
      </c>
      <c r="AL978" s="139">
        <v>1</v>
      </c>
      <c r="AM978" s="138" t="s">
        <v>883</v>
      </c>
      <c r="AS978" s="136">
        <v>52.51</v>
      </c>
      <c r="AT978" s="139">
        <v>11</v>
      </c>
      <c r="AU978" s="138">
        <v>63</v>
      </c>
      <c r="BA978" s="136">
        <v>53.43</v>
      </c>
      <c r="BB978" s="139">
        <v>10</v>
      </c>
      <c r="BC978" s="138">
        <v>50</v>
      </c>
    </row>
    <row r="979" spans="5:55" x14ac:dyDescent="0.3">
      <c r="E979" s="152">
        <v>53.56</v>
      </c>
      <c r="F979" s="153">
        <v>8</v>
      </c>
      <c r="G979" s="155" t="s">
        <v>865</v>
      </c>
      <c r="M979" s="136">
        <v>53.46</v>
      </c>
      <c r="N979" s="139">
        <v>6</v>
      </c>
      <c r="O979" s="138">
        <v>9</v>
      </c>
      <c r="U979" s="136">
        <v>52.78</v>
      </c>
      <c r="V979" s="139">
        <v>18</v>
      </c>
      <c r="W979" s="138" t="s">
        <v>884</v>
      </c>
      <c r="Y979" s="136">
        <v>52.54</v>
      </c>
      <c r="Z979" s="139">
        <v>11</v>
      </c>
      <c r="AA979" s="138">
        <v>63</v>
      </c>
      <c r="AC979" s="136">
        <v>53.39</v>
      </c>
      <c r="AD979" s="139">
        <v>2</v>
      </c>
      <c r="AE979" s="138" t="s">
        <v>883</v>
      </c>
      <c r="AG979" s="136">
        <v>52.81</v>
      </c>
      <c r="AH979" s="137">
        <v>13</v>
      </c>
      <c r="AI979" s="138">
        <v>85</v>
      </c>
      <c r="AK979" s="136">
        <v>53.32</v>
      </c>
      <c r="AL979" s="139">
        <v>2</v>
      </c>
      <c r="AM979" s="138" t="s">
        <v>883</v>
      </c>
      <c r="AS979" s="136">
        <v>52.52</v>
      </c>
      <c r="AT979" s="139">
        <v>12</v>
      </c>
      <c r="AU979" s="138">
        <v>75</v>
      </c>
      <c r="BA979" s="136">
        <v>53.46</v>
      </c>
      <c r="BB979" s="139">
        <v>11</v>
      </c>
      <c r="BC979" s="138">
        <v>63</v>
      </c>
    </row>
    <row r="980" spans="5:55" x14ac:dyDescent="0.3">
      <c r="E980" s="152">
        <v>53.58</v>
      </c>
      <c r="F980" s="153">
        <v>9</v>
      </c>
      <c r="G980" s="155" t="s">
        <v>879</v>
      </c>
      <c r="M980" s="136">
        <v>53.48</v>
      </c>
      <c r="N980" s="139">
        <v>7</v>
      </c>
      <c r="O980" s="138">
        <v>16</v>
      </c>
      <c r="U980" s="136">
        <v>52.8</v>
      </c>
      <c r="V980" s="139">
        <v>19</v>
      </c>
      <c r="W980" s="138" t="s">
        <v>884</v>
      </c>
      <c r="Y980" s="136">
        <v>52.55</v>
      </c>
      <c r="Z980" s="139">
        <v>12</v>
      </c>
      <c r="AA980" s="138">
        <v>75</v>
      </c>
      <c r="AC980" s="136">
        <v>53.42</v>
      </c>
      <c r="AD980" s="139">
        <v>3</v>
      </c>
      <c r="AE980" s="138">
        <v>1</v>
      </c>
      <c r="AG980" s="136">
        <v>52.82</v>
      </c>
      <c r="AH980" s="137">
        <v>14</v>
      </c>
      <c r="AI980" s="138">
        <v>91</v>
      </c>
      <c r="AK980" s="136">
        <v>53.37</v>
      </c>
      <c r="AL980" s="139">
        <v>3</v>
      </c>
      <c r="AM980" s="138">
        <v>1</v>
      </c>
      <c r="AS980" s="136">
        <v>52.53</v>
      </c>
      <c r="AT980" s="139">
        <v>13</v>
      </c>
      <c r="AU980" s="138">
        <v>85</v>
      </c>
      <c r="BA980" s="136">
        <v>53.48</v>
      </c>
      <c r="BB980" s="139">
        <v>12</v>
      </c>
      <c r="BC980" s="138">
        <v>75</v>
      </c>
    </row>
    <row r="981" spans="5:55" x14ac:dyDescent="0.3">
      <c r="E981" s="152">
        <v>53.6</v>
      </c>
      <c r="F981" s="153">
        <v>10</v>
      </c>
      <c r="G981" s="155" t="s">
        <v>866</v>
      </c>
      <c r="M981" s="136">
        <v>53.5</v>
      </c>
      <c r="N981" s="139">
        <v>8</v>
      </c>
      <c r="O981" s="138">
        <v>25</v>
      </c>
      <c r="U981" s="136">
        <v>53</v>
      </c>
      <c r="V981" s="139">
        <v>1</v>
      </c>
      <c r="W981" s="138" t="s">
        <v>883</v>
      </c>
      <c r="Y981" s="136">
        <v>52.57</v>
      </c>
      <c r="Z981" s="139">
        <v>13</v>
      </c>
      <c r="AA981" s="138">
        <v>85</v>
      </c>
      <c r="AC981" s="136">
        <v>53.44</v>
      </c>
      <c r="AD981" s="139">
        <v>4</v>
      </c>
      <c r="AE981" s="138">
        <v>2</v>
      </c>
      <c r="AG981" s="136">
        <v>52.83</v>
      </c>
      <c r="AH981" s="137">
        <v>15</v>
      </c>
      <c r="AI981" s="138">
        <v>95</v>
      </c>
      <c r="AK981" s="136">
        <v>53.39</v>
      </c>
      <c r="AL981" s="139">
        <v>4</v>
      </c>
      <c r="AM981" s="138">
        <v>2</v>
      </c>
      <c r="AS981" s="136">
        <v>52.54</v>
      </c>
      <c r="AT981" s="139">
        <v>14</v>
      </c>
      <c r="AU981" s="138">
        <v>91</v>
      </c>
      <c r="BA981" s="136">
        <v>53.51</v>
      </c>
      <c r="BB981" s="139">
        <v>13</v>
      </c>
      <c r="BC981" s="138">
        <v>85</v>
      </c>
    </row>
    <row r="982" spans="5:55" x14ac:dyDescent="0.3">
      <c r="E982" s="152">
        <v>53.61</v>
      </c>
      <c r="F982" s="153">
        <v>11</v>
      </c>
      <c r="G982" s="155" t="s">
        <v>867</v>
      </c>
      <c r="M982" s="136">
        <v>53.52</v>
      </c>
      <c r="N982" s="139">
        <v>9</v>
      </c>
      <c r="O982" s="138">
        <v>37</v>
      </c>
      <c r="U982" s="136">
        <v>53.34</v>
      </c>
      <c r="V982" s="139">
        <v>2</v>
      </c>
      <c r="W982" s="138" t="s">
        <v>883</v>
      </c>
      <c r="Y982" s="136">
        <v>52.59</v>
      </c>
      <c r="Z982" s="139">
        <v>14</v>
      </c>
      <c r="AA982" s="138">
        <v>91</v>
      </c>
      <c r="AC982" s="136">
        <v>53.47</v>
      </c>
      <c r="AD982" s="139">
        <v>5</v>
      </c>
      <c r="AE982" s="138">
        <v>5</v>
      </c>
      <c r="AG982" s="136">
        <v>52.84</v>
      </c>
      <c r="AH982" s="137">
        <v>16</v>
      </c>
      <c r="AI982" s="138">
        <v>98</v>
      </c>
      <c r="AK982" s="136">
        <v>53.41</v>
      </c>
      <c r="AL982" s="139">
        <v>5</v>
      </c>
      <c r="AM982" s="138">
        <v>5</v>
      </c>
      <c r="AS982" s="136">
        <v>52.55</v>
      </c>
      <c r="AT982" s="139">
        <v>15</v>
      </c>
      <c r="AU982" s="138">
        <v>95</v>
      </c>
      <c r="BA982" s="136">
        <v>53.53</v>
      </c>
      <c r="BB982" s="139">
        <v>14</v>
      </c>
      <c r="BC982" s="138">
        <v>91</v>
      </c>
    </row>
    <row r="983" spans="5:55" x14ac:dyDescent="0.3">
      <c r="E983" s="152">
        <v>53.62</v>
      </c>
      <c r="F983" s="153">
        <v>12</v>
      </c>
      <c r="G983" s="155" t="s">
        <v>868</v>
      </c>
      <c r="M983" s="136">
        <v>53.53</v>
      </c>
      <c r="N983" s="139">
        <v>10</v>
      </c>
      <c r="O983" s="138">
        <v>50</v>
      </c>
      <c r="U983" s="136">
        <v>53.42</v>
      </c>
      <c r="V983" s="139">
        <v>3</v>
      </c>
      <c r="W983" s="138">
        <v>1</v>
      </c>
      <c r="Y983" s="136">
        <v>52.6</v>
      </c>
      <c r="Z983" s="139">
        <v>15</v>
      </c>
      <c r="AA983" s="138">
        <v>95</v>
      </c>
      <c r="AC983" s="136">
        <v>53.49</v>
      </c>
      <c r="AD983" s="139">
        <v>6</v>
      </c>
      <c r="AE983" s="138">
        <v>9</v>
      </c>
      <c r="AG983" s="136">
        <v>52.85</v>
      </c>
      <c r="AH983" s="137">
        <v>17</v>
      </c>
      <c r="AI983" s="138">
        <v>99</v>
      </c>
      <c r="AK983" s="136">
        <v>53.42</v>
      </c>
      <c r="AL983" s="139">
        <v>6</v>
      </c>
      <c r="AM983" s="138">
        <v>9</v>
      </c>
      <c r="AS983" s="136">
        <v>52.56</v>
      </c>
      <c r="AT983" s="139">
        <v>16</v>
      </c>
      <c r="AU983" s="138">
        <v>98</v>
      </c>
      <c r="BA983" s="136">
        <v>53.56</v>
      </c>
      <c r="BB983" s="139">
        <v>15</v>
      </c>
      <c r="BC983" s="138">
        <v>95</v>
      </c>
    </row>
    <row r="984" spans="5:55" x14ac:dyDescent="0.3">
      <c r="E984" s="152">
        <v>53.63</v>
      </c>
      <c r="F984" s="153">
        <v>13</v>
      </c>
      <c r="G984" s="155" t="s">
        <v>869</v>
      </c>
      <c r="M984" s="136">
        <v>53.54</v>
      </c>
      <c r="N984" s="139">
        <v>11</v>
      </c>
      <c r="O984" s="138">
        <v>63</v>
      </c>
      <c r="U984" s="136">
        <v>53.46</v>
      </c>
      <c r="V984" s="139">
        <v>4</v>
      </c>
      <c r="W984" s="138">
        <v>2</v>
      </c>
      <c r="Y984" s="136">
        <v>52.62</v>
      </c>
      <c r="Z984" s="139">
        <v>16</v>
      </c>
      <c r="AA984" s="138">
        <v>98</v>
      </c>
      <c r="AC984" s="136">
        <v>53.51</v>
      </c>
      <c r="AD984" s="139">
        <v>7</v>
      </c>
      <c r="AE984" s="138">
        <v>16</v>
      </c>
      <c r="AG984" s="136">
        <v>52.86</v>
      </c>
      <c r="AH984" s="137">
        <v>18</v>
      </c>
      <c r="AI984" s="138" t="s">
        <v>884</v>
      </c>
      <c r="AK984" s="136">
        <v>53.43</v>
      </c>
      <c r="AL984" s="139">
        <v>7</v>
      </c>
      <c r="AM984" s="138">
        <v>16</v>
      </c>
      <c r="AS984" s="136">
        <v>52.57</v>
      </c>
      <c r="AT984" s="139">
        <v>17</v>
      </c>
      <c r="AU984" s="138">
        <v>99</v>
      </c>
      <c r="BA984" s="136">
        <v>53.58</v>
      </c>
      <c r="BB984" s="139">
        <v>16</v>
      </c>
      <c r="BC984" s="138">
        <v>98</v>
      </c>
    </row>
    <row r="985" spans="5:55" x14ac:dyDescent="0.3">
      <c r="E985" s="152">
        <v>53.64</v>
      </c>
      <c r="F985" s="153">
        <v>14</v>
      </c>
      <c r="G985" s="155" t="s">
        <v>870</v>
      </c>
      <c r="M985" s="136">
        <v>53.55</v>
      </c>
      <c r="N985" s="139">
        <v>12</v>
      </c>
      <c r="O985" s="138">
        <v>75</v>
      </c>
      <c r="U985" s="136">
        <v>53.49</v>
      </c>
      <c r="V985" s="139">
        <v>5</v>
      </c>
      <c r="W985" s="138">
        <v>5</v>
      </c>
      <c r="Y985" s="136">
        <v>52.64</v>
      </c>
      <c r="Z985" s="139">
        <v>17</v>
      </c>
      <c r="AA985" s="138">
        <v>99</v>
      </c>
      <c r="AC985" s="136">
        <v>53.54</v>
      </c>
      <c r="AD985" s="139">
        <v>8</v>
      </c>
      <c r="AE985" s="138">
        <v>25</v>
      </c>
      <c r="AG985" s="136">
        <v>52.87</v>
      </c>
      <c r="AH985" s="137">
        <v>19</v>
      </c>
      <c r="AI985" s="138" t="s">
        <v>884</v>
      </c>
      <c r="AK985" s="136">
        <v>53.45</v>
      </c>
      <c r="AL985" s="139">
        <v>8</v>
      </c>
      <c r="AM985" s="138">
        <v>25</v>
      </c>
      <c r="AS985" s="136">
        <v>52.58</v>
      </c>
      <c r="AT985" s="139">
        <v>18</v>
      </c>
      <c r="AU985" s="138" t="s">
        <v>884</v>
      </c>
      <c r="BA985" s="136">
        <v>53.61</v>
      </c>
      <c r="BB985" s="139">
        <v>17</v>
      </c>
      <c r="BC985" s="138">
        <v>99</v>
      </c>
    </row>
    <row r="986" spans="5:55" x14ac:dyDescent="0.3">
      <c r="E986" s="152">
        <v>53.65</v>
      </c>
      <c r="F986" s="153">
        <v>15</v>
      </c>
      <c r="G986" s="155" t="s">
        <v>871</v>
      </c>
      <c r="M986" s="136">
        <v>53.56</v>
      </c>
      <c r="N986" s="139">
        <v>13</v>
      </c>
      <c r="O986" s="138">
        <v>85</v>
      </c>
      <c r="U986" s="136">
        <v>53.51</v>
      </c>
      <c r="V986" s="139">
        <v>6</v>
      </c>
      <c r="W986" s="138">
        <v>9</v>
      </c>
      <c r="Y986" s="136">
        <v>52.65</v>
      </c>
      <c r="Z986" s="139">
        <v>18</v>
      </c>
      <c r="AA986" s="138" t="s">
        <v>884</v>
      </c>
      <c r="AC986" s="136">
        <v>53.56</v>
      </c>
      <c r="AD986" s="139">
        <v>9</v>
      </c>
      <c r="AE986" s="138">
        <v>37</v>
      </c>
      <c r="AG986" s="136">
        <v>53</v>
      </c>
      <c r="AH986" s="137">
        <v>1</v>
      </c>
      <c r="AI986" s="138" t="s">
        <v>883</v>
      </c>
      <c r="AK986" s="136">
        <v>53.47</v>
      </c>
      <c r="AL986" s="139">
        <v>9</v>
      </c>
      <c r="AM986" s="138">
        <v>37</v>
      </c>
      <c r="AS986" s="136">
        <v>52.59</v>
      </c>
      <c r="AT986" s="139">
        <v>19</v>
      </c>
      <c r="AU986" s="138" t="s">
        <v>884</v>
      </c>
      <c r="BA986" s="136">
        <v>53.64</v>
      </c>
      <c r="BB986" s="139">
        <v>18</v>
      </c>
      <c r="BC986" s="138" t="s">
        <v>884</v>
      </c>
    </row>
    <row r="987" spans="5:55" x14ac:dyDescent="0.3">
      <c r="E987" s="152">
        <v>53.66</v>
      </c>
      <c r="F987" s="153">
        <v>16</v>
      </c>
      <c r="G987" s="155" t="s">
        <v>872</v>
      </c>
      <c r="M987" s="136">
        <v>53.57</v>
      </c>
      <c r="N987" s="139">
        <v>14</v>
      </c>
      <c r="O987" s="138">
        <v>91</v>
      </c>
      <c r="U987" s="136">
        <v>53.54</v>
      </c>
      <c r="V987" s="139">
        <v>7</v>
      </c>
      <c r="W987" s="138">
        <v>16</v>
      </c>
      <c r="Y987" s="136">
        <v>52.67</v>
      </c>
      <c r="Z987" s="139">
        <v>19</v>
      </c>
      <c r="AA987" s="138" t="s">
        <v>884</v>
      </c>
      <c r="AC987" s="136">
        <v>53.59</v>
      </c>
      <c r="AD987" s="139">
        <v>10</v>
      </c>
      <c r="AE987" s="138">
        <v>50</v>
      </c>
      <c r="AG987" s="136">
        <v>53.6</v>
      </c>
      <c r="AH987" s="137">
        <v>2</v>
      </c>
      <c r="AI987" s="138" t="s">
        <v>883</v>
      </c>
      <c r="AK987" s="136">
        <v>53.48</v>
      </c>
      <c r="AL987" s="139">
        <v>10</v>
      </c>
      <c r="AM987" s="138">
        <v>50</v>
      </c>
      <c r="AS987" s="136">
        <v>53</v>
      </c>
      <c r="AT987" s="139">
        <v>1</v>
      </c>
      <c r="AU987" s="138" t="s">
        <v>883</v>
      </c>
      <c r="BA987" s="136">
        <v>53.68</v>
      </c>
      <c r="BB987" s="139">
        <v>19</v>
      </c>
      <c r="BC987" s="138" t="s">
        <v>884</v>
      </c>
    </row>
    <row r="988" spans="5:55" x14ac:dyDescent="0.3">
      <c r="E988" s="152">
        <v>53.67</v>
      </c>
      <c r="F988" s="153">
        <v>17</v>
      </c>
      <c r="G988" s="155" t="s">
        <v>873</v>
      </c>
      <c r="M988" s="136">
        <v>53.58</v>
      </c>
      <c r="N988" s="139">
        <v>15</v>
      </c>
      <c r="O988" s="138">
        <v>95</v>
      </c>
      <c r="U988" s="136">
        <v>53.57</v>
      </c>
      <c r="V988" s="139">
        <v>8</v>
      </c>
      <c r="W988" s="138">
        <v>25</v>
      </c>
      <c r="Y988" s="136">
        <v>53</v>
      </c>
      <c r="Z988" s="139">
        <v>1</v>
      </c>
      <c r="AA988" s="138" t="s">
        <v>883</v>
      </c>
      <c r="AC988" s="136">
        <v>53.61</v>
      </c>
      <c r="AD988" s="139">
        <v>11</v>
      </c>
      <c r="AE988" s="138">
        <v>63</v>
      </c>
      <c r="AG988" s="136">
        <v>53.65</v>
      </c>
      <c r="AH988" s="137">
        <v>3</v>
      </c>
      <c r="AI988" s="138">
        <v>1</v>
      </c>
      <c r="AK988" s="136">
        <v>53.49</v>
      </c>
      <c r="AL988" s="139">
        <v>11</v>
      </c>
      <c r="AM988" s="138">
        <v>63</v>
      </c>
      <c r="AS988" s="136">
        <v>53.4</v>
      </c>
      <c r="AT988" s="139">
        <v>2</v>
      </c>
      <c r="AU988" s="138" t="s">
        <v>883</v>
      </c>
      <c r="BA988" s="136">
        <v>54</v>
      </c>
      <c r="BB988" s="139">
        <v>1</v>
      </c>
      <c r="BC988" s="138" t="s">
        <v>883</v>
      </c>
    </row>
    <row r="989" spans="5:55" x14ac:dyDescent="0.3">
      <c r="E989" s="152">
        <v>53.68</v>
      </c>
      <c r="F989" s="153">
        <v>18</v>
      </c>
      <c r="G989" s="155" t="s">
        <v>874</v>
      </c>
      <c r="M989" s="136">
        <v>53.59</v>
      </c>
      <c r="N989" s="139">
        <v>17</v>
      </c>
      <c r="O989" s="138">
        <v>99</v>
      </c>
      <c r="U989" s="136">
        <v>53.6</v>
      </c>
      <c r="V989" s="139">
        <v>9</v>
      </c>
      <c r="W989" s="138">
        <v>37</v>
      </c>
      <c r="Y989" s="136">
        <v>53.37</v>
      </c>
      <c r="Z989" s="139">
        <v>2</v>
      </c>
      <c r="AA989" s="138" t="s">
        <v>883</v>
      </c>
      <c r="AC989" s="136">
        <v>53.63</v>
      </c>
      <c r="AD989" s="139">
        <v>12</v>
      </c>
      <c r="AE989" s="138">
        <v>75</v>
      </c>
      <c r="AG989" s="136">
        <v>53.68</v>
      </c>
      <c r="AH989" s="137">
        <v>4</v>
      </c>
      <c r="AI989" s="138">
        <v>2</v>
      </c>
      <c r="AK989" s="136">
        <v>53.5</v>
      </c>
      <c r="AL989" s="139">
        <v>12</v>
      </c>
      <c r="AM989" s="138">
        <v>75</v>
      </c>
      <c r="AS989" s="136">
        <v>53.43</v>
      </c>
      <c r="AT989" s="139">
        <v>3</v>
      </c>
      <c r="AU989" s="138">
        <v>1</v>
      </c>
      <c r="BA989" s="136">
        <v>54.25</v>
      </c>
      <c r="BB989" s="139">
        <v>2</v>
      </c>
      <c r="BC989" s="138" t="s">
        <v>883</v>
      </c>
    </row>
    <row r="990" spans="5:55" x14ac:dyDescent="0.3">
      <c r="E990" s="152">
        <v>53.69</v>
      </c>
      <c r="F990" s="153">
        <v>19</v>
      </c>
      <c r="G990" s="155" t="s">
        <v>874</v>
      </c>
      <c r="M990" s="136">
        <v>53.6</v>
      </c>
      <c r="N990" s="139">
        <v>19</v>
      </c>
      <c r="O990" s="138" t="s">
        <v>884</v>
      </c>
      <c r="U990" s="136">
        <v>53.62</v>
      </c>
      <c r="V990" s="139">
        <v>10</v>
      </c>
      <c r="W990" s="138">
        <v>50</v>
      </c>
      <c r="Y990" s="136">
        <v>53.41</v>
      </c>
      <c r="Z990" s="139">
        <v>3</v>
      </c>
      <c r="AA990" s="138">
        <v>1</v>
      </c>
      <c r="AC990" s="136">
        <v>53.66</v>
      </c>
      <c r="AD990" s="139">
        <v>13</v>
      </c>
      <c r="AE990" s="138">
        <v>85</v>
      </c>
      <c r="AG990" s="136">
        <v>53.7</v>
      </c>
      <c r="AH990" s="137">
        <v>5</v>
      </c>
      <c r="AI990" s="138">
        <v>5</v>
      </c>
      <c r="AK990" s="136">
        <v>53.51</v>
      </c>
      <c r="AL990" s="139">
        <v>13</v>
      </c>
      <c r="AM990" s="138">
        <v>85</v>
      </c>
      <c r="AS990" s="136">
        <v>53.44</v>
      </c>
      <c r="AT990" s="139">
        <v>4</v>
      </c>
      <c r="AU990" s="138">
        <v>2</v>
      </c>
      <c r="BA990" s="136">
        <v>54.31</v>
      </c>
      <c r="BB990" s="139">
        <v>3</v>
      </c>
      <c r="BC990" s="138">
        <v>1</v>
      </c>
    </row>
    <row r="991" spans="5:55" x14ac:dyDescent="0.3">
      <c r="E991" s="152">
        <v>54</v>
      </c>
      <c r="F991" s="153">
        <v>1</v>
      </c>
      <c r="G991" s="155" t="s">
        <v>862</v>
      </c>
      <c r="M991" s="136">
        <v>54</v>
      </c>
      <c r="N991" s="139">
        <v>1</v>
      </c>
      <c r="O991" s="138" t="s">
        <v>883</v>
      </c>
      <c r="U991" s="136">
        <v>53.64</v>
      </c>
      <c r="V991" s="139">
        <v>11</v>
      </c>
      <c r="W991" s="138">
        <v>63</v>
      </c>
      <c r="Y991" s="136">
        <v>53.42</v>
      </c>
      <c r="Z991" s="139">
        <v>4</v>
      </c>
      <c r="AA991" s="138">
        <v>2</v>
      </c>
      <c r="AC991" s="136">
        <v>53.68</v>
      </c>
      <c r="AD991" s="139">
        <v>14</v>
      </c>
      <c r="AE991" s="138">
        <v>91</v>
      </c>
      <c r="AG991" s="136">
        <v>53.72</v>
      </c>
      <c r="AH991" s="137">
        <v>6</v>
      </c>
      <c r="AI991" s="138">
        <v>9</v>
      </c>
      <c r="AK991" s="136">
        <v>53.52</v>
      </c>
      <c r="AL991" s="139">
        <v>14</v>
      </c>
      <c r="AM991" s="138">
        <v>91</v>
      </c>
      <c r="AS991" s="136">
        <v>53.45</v>
      </c>
      <c r="AT991" s="139">
        <v>5</v>
      </c>
      <c r="AU991" s="138">
        <v>5</v>
      </c>
      <c r="BA991" s="136">
        <v>54.33</v>
      </c>
      <c r="BB991" s="139">
        <v>4</v>
      </c>
      <c r="BC991" s="138">
        <v>2</v>
      </c>
    </row>
    <row r="992" spans="5:55" x14ac:dyDescent="0.3">
      <c r="E992" s="152">
        <v>54.43</v>
      </c>
      <c r="F992" s="153">
        <v>2</v>
      </c>
      <c r="G992" s="155" t="s">
        <v>862</v>
      </c>
      <c r="M992" s="136">
        <v>54.35</v>
      </c>
      <c r="N992" s="139">
        <v>2</v>
      </c>
      <c r="O992" s="138" t="s">
        <v>883</v>
      </c>
      <c r="U992" s="136">
        <v>53.66</v>
      </c>
      <c r="V992" s="139">
        <v>12</v>
      </c>
      <c r="W992" s="138">
        <v>75</v>
      </c>
      <c r="Y992" s="136">
        <v>53.44</v>
      </c>
      <c r="Z992" s="139">
        <v>5</v>
      </c>
      <c r="AA992" s="138">
        <v>5</v>
      </c>
      <c r="AC992" s="136">
        <v>53.71</v>
      </c>
      <c r="AD992" s="139">
        <v>15</v>
      </c>
      <c r="AE992" s="138">
        <v>95</v>
      </c>
      <c r="AG992" s="136">
        <v>53.73</v>
      </c>
      <c r="AH992" s="137">
        <v>7</v>
      </c>
      <c r="AI992" s="138">
        <v>16</v>
      </c>
      <c r="AK992" s="136">
        <v>53.53</v>
      </c>
      <c r="AL992" s="139">
        <v>15</v>
      </c>
      <c r="AM992" s="138">
        <v>95</v>
      </c>
      <c r="AS992" s="136">
        <v>53.46</v>
      </c>
      <c r="AT992" s="139">
        <v>6</v>
      </c>
      <c r="AU992" s="138">
        <v>9</v>
      </c>
      <c r="BA992" s="136">
        <v>54.36</v>
      </c>
      <c r="BB992" s="139">
        <v>5</v>
      </c>
      <c r="BC992" s="138">
        <v>5</v>
      </c>
    </row>
    <row r="993" spans="5:55" x14ac:dyDescent="0.3">
      <c r="E993" s="152">
        <v>54.47</v>
      </c>
      <c r="F993" s="153">
        <v>3</v>
      </c>
      <c r="G993" s="155" t="s">
        <v>876</v>
      </c>
      <c r="M993" s="136">
        <v>54.41</v>
      </c>
      <c r="N993" s="139">
        <v>3</v>
      </c>
      <c r="O993" s="138">
        <v>1</v>
      </c>
      <c r="U993" s="136">
        <v>53.68</v>
      </c>
      <c r="V993" s="139">
        <v>13</v>
      </c>
      <c r="W993" s="138">
        <v>85</v>
      </c>
      <c r="Y993" s="136">
        <v>53.46</v>
      </c>
      <c r="Z993" s="139">
        <v>6</v>
      </c>
      <c r="AA993" s="138">
        <v>9</v>
      </c>
      <c r="AC993" s="136">
        <v>53.73</v>
      </c>
      <c r="AD993" s="139">
        <v>16</v>
      </c>
      <c r="AE993" s="138">
        <v>98</v>
      </c>
      <c r="AG993" s="136">
        <v>53.75</v>
      </c>
      <c r="AH993" s="137">
        <v>8</v>
      </c>
      <c r="AI993" s="138">
        <v>25</v>
      </c>
      <c r="AK993" s="136">
        <v>53.54</v>
      </c>
      <c r="AL993" s="139">
        <v>16</v>
      </c>
      <c r="AM993" s="138">
        <v>98</v>
      </c>
      <c r="AS993" s="136">
        <v>53.47</v>
      </c>
      <c r="AT993" s="139">
        <v>7</v>
      </c>
      <c r="AU993" s="138">
        <v>16</v>
      </c>
      <c r="BA993" s="136">
        <v>54.38</v>
      </c>
      <c r="BB993" s="139">
        <v>6</v>
      </c>
      <c r="BC993" s="138">
        <v>9</v>
      </c>
    </row>
    <row r="994" spans="5:55" x14ac:dyDescent="0.3">
      <c r="E994" s="152">
        <v>54.5</v>
      </c>
      <c r="F994" s="153">
        <v>4</v>
      </c>
      <c r="G994" s="155" t="s">
        <v>863</v>
      </c>
      <c r="M994" s="136">
        <v>54.44</v>
      </c>
      <c r="N994" s="139">
        <v>4</v>
      </c>
      <c r="O994" s="138">
        <v>2</v>
      </c>
      <c r="U994" s="136">
        <v>53.7</v>
      </c>
      <c r="V994" s="139">
        <v>14</v>
      </c>
      <c r="W994" s="138">
        <v>91</v>
      </c>
      <c r="Y994" s="136">
        <v>53.47</v>
      </c>
      <c r="Z994" s="139">
        <v>7</v>
      </c>
      <c r="AA994" s="138">
        <v>16</v>
      </c>
      <c r="AC994" s="136">
        <v>53.76</v>
      </c>
      <c r="AD994" s="139">
        <v>17</v>
      </c>
      <c r="AE994" s="138">
        <v>99</v>
      </c>
      <c r="AG994" s="136">
        <v>53.76</v>
      </c>
      <c r="AH994" s="137">
        <v>9</v>
      </c>
      <c r="AI994" s="138">
        <v>37</v>
      </c>
      <c r="AK994" s="136">
        <v>53.55</v>
      </c>
      <c r="AL994" s="139">
        <v>17</v>
      </c>
      <c r="AM994" s="138">
        <v>99</v>
      </c>
      <c r="AS994" s="136">
        <v>53.48</v>
      </c>
      <c r="AT994" s="139">
        <v>8</v>
      </c>
      <c r="AU994" s="138">
        <v>25</v>
      </c>
      <c r="BA994" s="136">
        <v>54.41</v>
      </c>
      <c r="BB994" s="139">
        <v>7</v>
      </c>
      <c r="BC994" s="138">
        <v>16</v>
      </c>
    </row>
    <row r="995" spans="5:55" x14ac:dyDescent="0.3">
      <c r="E995" s="152">
        <v>54.52</v>
      </c>
      <c r="F995" s="153">
        <v>5</v>
      </c>
      <c r="G995" s="155" t="s">
        <v>877</v>
      </c>
      <c r="M995" s="136">
        <v>54.46</v>
      </c>
      <c r="N995" s="139">
        <v>5</v>
      </c>
      <c r="O995" s="138">
        <v>5</v>
      </c>
      <c r="U995" s="136">
        <v>53.72</v>
      </c>
      <c r="V995" s="139">
        <v>15</v>
      </c>
      <c r="W995" s="138">
        <v>95</v>
      </c>
      <c r="Y995" s="136">
        <v>53.49</v>
      </c>
      <c r="Z995" s="139">
        <v>8</v>
      </c>
      <c r="AA995" s="138">
        <v>25</v>
      </c>
      <c r="AC995" s="136">
        <v>53.78</v>
      </c>
      <c r="AD995" s="139">
        <v>18</v>
      </c>
      <c r="AE995" s="138" t="s">
        <v>884</v>
      </c>
      <c r="AG995" s="136">
        <v>53.77</v>
      </c>
      <c r="AH995" s="137">
        <v>10</v>
      </c>
      <c r="AI995" s="138">
        <v>50</v>
      </c>
      <c r="AK995" s="136">
        <v>53.56</v>
      </c>
      <c r="AL995" s="139">
        <v>18</v>
      </c>
      <c r="AM995" s="138" t="s">
        <v>884</v>
      </c>
      <c r="AS995" s="136">
        <v>53.49</v>
      </c>
      <c r="AT995" s="139">
        <v>9</v>
      </c>
      <c r="AU995" s="138">
        <v>37</v>
      </c>
      <c r="BA995" s="136">
        <v>54.43</v>
      </c>
      <c r="BB995" s="139">
        <v>8</v>
      </c>
      <c r="BC995" s="138">
        <v>25</v>
      </c>
    </row>
    <row r="996" spans="5:55" x14ac:dyDescent="0.3">
      <c r="E996" s="152">
        <v>54.54</v>
      </c>
      <c r="F996" s="153">
        <v>6</v>
      </c>
      <c r="G996" s="155" t="s">
        <v>864</v>
      </c>
      <c r="M996" s="136">
        <v>54.48</v>
      </c>
      <c r="N996" s="139">
        <v>6</v>
      </c>
      <c r="O996" s="138">
        <v>9</v>
      </c>
      <c r="U996" s="136">
        <v>53.74</v>
      </c>
      <c r="V996" s="139">
        <v>16</v>
      </c>
      <c r="W996" s="138">
        <v>98</v>
      </c>
      <c r="Y996" s="136">
        <v>53.5</v>
      </c>
      <c r="Z996" s="139">
        <v>9</v>
      </c>
      <c r="AA996" s="138">
        <v>37</v>
      </c>
      <c r="AC996" s="136">
        <v>53.8</v>
      </c>
      <c r="AD996" s="139">
        <v>19</v>
      </c>
      <c r="AE996" s="138" t="s">
        <v>884</v>
      </c>
      <c r="AG996" s="136">
        <v>53.78</v>
      </c>
      <c r="AH996" s="137">
        <v>11</v>
      </c>
      <c r="AI996" s="138">
        <v>63</v>
      </c>
      <c r="AK996" s="136">
        <v>53.57</v>
      </c>
      <c r="AL996" s="139">
        <v>19</v>
      </c>
      <c r="AM996" s="138" t="s">
        <v>884</v>
      </c>
      <c r="AS996" s="136">
        <v>53.5</v>
      </c>
      <c r="AT996" s="139">
        <v>10</v>
      </c>
      <c r="AU996" s="138">
        <v>50</v>
      </c>
      <c r="BA996" s="136">
        <v>54.46</v>
      </c>
      <c r="BB996" s="139">
        <v>9</v>
      </c>
      <c r="BC996" s="138">
        <v>37</v>
      </c>
    </row>
    <row r="997" spans="5:55" x14ac:dyDescent="0.3">
      <c r="E997" s="152">
        <v>54.56</v>
      </c>
      <c r="F997" s="153">
        <v>7</v>
      </c>
      <c r="G997" s="155" t="s">
        <v>878</v>
      </c>
      <c r="M997" s="136">
        <v>54.5</v>
      </c>
      <c r="N997" s="139">
        <v>7</v>
      </c>
      <c r="O997" s="138">
        <v>16</v>
      </c>
      <c r="U997" s="136">
        <v>53.76</v>
      </c>
      <c r="V997" s="139">
        <v>17</v>
      </c>
      <c r="W997" s="138">
        <v>99</v>
      </c>
      <c r="Y997" s="136">
        <v>53.52</v>
      </c>
      <c r="Z997" s="139">
        <v>10</v>
      </c>
      <c r="AA997" s="138">
        <v>50</v>
      </c>
      <c r="AC997" s="136">
        <v>54</v>
      </c>
      <c r="AD997" s="139">
        <v>1</v>
      </c>
      <c r="AE997" s="138" t="s">
        <v>883</v>
      </c>
      <c r="AG997" s="136">
        <v>53.79</v>
      </c>
      <c r="AH997" s="137">
        <v>12</v>
      </c>
      <c r="AI997" s="138">
        <v>75</v>
      </c>
      <c r="AK997" s="136">
        <v>54</v>
      </c>
      <c r="AL997" s="139">
        <v>1</v>
      </c>
      <c r="AM997" s="138" t="s">
        <v>883</v>
      </c>
      <c r="AS997" s="156">
        <v>53.51</v>
      </c>
      <c r="AT997" s="139">
        <v>11</v>
      </c>
      <c r="AU997" s="138">
        <v>63</v>
      </c>
      <c r="BA997" s="136">
        <v>54.48</v>
      </c>
      <c r="BB997" s="139">
        <v>10</v>
      </c>
      <c r="BC997" s="138">
        <v>50</v>
      </c>
    </row>
    <row r="998" spans="5:55" x14ac:dyDescent="0.3">
      <c r="E998" s="152">
        <v>54.58</v>
      </c>
      <c r="F998" s="153">
        <v>8</v>
      </c>
      <c r="G998" s="155" t="s">
        <v>865</v>
      </c>
      <c r="M998" s="136">
        <v>54.52</v>
      </c>
      <c r="N998" s="139">
        <v>8</v>
      </c>
      <c r="O998" s="138">
        <v>25</v>
      </c>
      <c r="U998" s="136">
        <v>53.78</v>
      </c>
      <c r="V998" s="139">
        <v>18</v>
      </c>
      <c r="W998" s="138" t="s">
        <v>884</v>
      </c>
      <c r="Y998" s="136">
        <v>53.54</v>
      </c>
      <c r="Z998" s="139">
        <v>11</v>
      </c>
      <c r="AA998" s="138">
        <v>63</v>
      </c>
      <c r="AC998" s="136">
        <v>54.42</v>
      </c>
      <c r="AD998" s="139">
        <v>2</v>
      </c>
      <c r="AE998" s="138" t="s">
        <v>883</v>
      </c>
      <c r="AG998" s="136">
        <v>53.81</v>
      </c>
      <c r="AH998" s="137">
        <v>13</v>
      </c>
      <c r="AI998" s="138">
        <v>85</v>
      </c>
      <c r="AK998" s="136">
        <v>54.34</v>
      </c>
      <c r="AL998" s="139">
        <v>2</v>
      </c>
      <c r="AM998" s="138" t="s">
        <v>883</v>
      </c>
      <c r="AS998" s="136">
        <v>53.52</v>
      </c>
      <c r="AT998" s="139">
        <v>12</v>
      </c>
      <c r="AU998" s="138">
        <v>75</v>
      </c>
      <c r="BA998" s="136">
        <v>54.51</v>
      </c>
      <c r="BB998" s="139">
        <v>11</v>
      </c>
      <c r="BC998" s="138">
        <v>63</v>
      </c>
    </row>
    <row r="999" spans="5:55" x14ac:dyDescent="0.3">
      <c r="E999" s="152">
        <v>54.59</v>
      </c>
      <c r="F999" s="153">
        <v>9</v>
      </c>
      <c r="G999" s="155" t="s">
        <v>879</v>
      </c>
      <c r="M999" s="136">
        <v>54.53</v>
      </c>
      <c r="N999" s="139">
        <v>9</v>
      </c>
      <c r="O999" s="138">
        <v>37</v>
      </c>
      <c r="U999" s="136">
        <v>53.8</v>
      </c>
      <c r="V999" s="139">
        <v>19</v>
      </c>
      <c r="W999" s="138" t="s">
        <v>884</v>
      </c>
      <c r="Y999" s="136">
        <v>53.55</v>
      </c>
      <c r="Z999" s="139">
        <v>12</v>
      </c>
      <c r="AA999" s="138">
        <v>75</v>
      </c>
      <c r="AC999" s="136">
        <v>54.44</v>
      </c>
      <c r="AD999" s="139">
        <v>3</v>
      </c>
      <c r="AE999" s="138">
        <v>1</v>
      </c>
      <c r="AG999" s="136">
        <v>53.82</v>
      </c>
      <c r="AH999" s="137">
        <v>14</v>
      </c>
      <c r="AI999" s="138">
        <v>91</v>
      </c>
      <c r="AK999" s="136">
        <v>54.39</v>
      </c>
      <c r="AL999" s="139">
        <v>3</v>
      </c>
      <c r="AM999" s="138">
        <v>1</v>
      </c>
      <c r="AS999" s="136">
        <v>53.53</v>
      </c>
      <c r="AT999" s="139">
        <v>13</v>
      </c>
      <c r="AU999" s="138">
        <v>85</v>
      </c>
      <c r="BA999" s="136">
        <v>54.53</v>
      </c>
      <c r="BB999" s="139">
        <v>12</v>
      </c>
      <c r="BC999" s="138">
        <v>75</v>
      </c>
    </row>
    <row r="1000" spans="5:55" x14ac:dyDescent="0.3">
      <c r="E1000" s="152">
        <v>54.61</v>
      </c>
      <c r="F1000" s="153">
        <v>10</v>
      </c>
      <c r="G1000" s="155" t="s">
        <v>866</v>
      </c>
      <c r="M1000" s="136">
        <v>54.54</v>
      </c>
      <c r="N1000" s="139">
        <v>10</v>
      </c>
      <c r="O1000" s="138">
        <v>50</v>
      </c>
      <c r="U1000" s="136">
        <v>54</v>
      </c>
      <c r="V1000" s="139">
        <v>1</v>
      </c>
      <c r="W1000" s="138" t="s">
        <v>883</v>
      </c>
      <c r="Y1000" s="136">
        <v>53.57</v>
      </c>
      <c r="Z1000" s="139">
        <v>13</v>
      </c>
      <c r="AA1000" s="138">
        <v>85</v>
      </c>
      <c r="AC1000" s="136">
        <v>54.47</v>
      </c>
      <c r="AD1000" s="139">
        <v>4</v>
      </c>
      <c r="AE1000" s="138">
        <v>2</v>
      </c>
      <c r="AG1000" s="136">
        <v>53.83</v>
      </c>
      <c r="AH1000" s="137">
        <v>15</v>
      </c>
      <c r="AI1000" s="138">
        <v>95</v>
      </c>
      <c r="AK1000" s="136">
        <v>54.41</v>
      </c>
      <c r="AL1000" s="139">
        <v>4</v>
      </c>
      <c r="AM1000" s="138">
        <v>2</v>
      </c>
      <c r="AS1000" s="136">
        <v>53.54</v>
      </c>
      <c r="AT1000" s="139">
        <v>14</v>
      </c>
      <c r="AU1000" s="138">
        <v>91</v>
      </c>
      <c r="BA1000" s="136">
        <v>54.56</v>
      </c>
      <c r="BB1000" s="139">
        <v>13</v>
      </c>
      <c r="BC1000" s="138">
        <v>85</v>
      </c>
    </row>
    <row r="1001" spans="5:55" x14ac:dyDescent="0.3">
      <c r="E1001" s="152">
        <v>54.62</v>
      </c>
      <c r="F1001" s="153">
        <v>11</v>
      </c>
      <c r="G1001" s="155" t="s">
        <v>867</v>
      </c>
      <c r="M1001" s="136">
        <v>54.55</v>
      </c>
      <c r="N1001" s="139">
        <v>11</v>
      </c>
      <c r="O1001" s="138">
        <v>63</v>
      </c>
      <c r="U1001" s="136">
        <v>54.36</v>
      </c>
      <c r="V1001" s="139">
        <v>2</v>
      </c>
      <c r="W1001" s="138" t="s">
        <v>883</v>
      </c>
      <c r="Y1001" s="136">
        <v>53.59</v>
      </c>
      <c r="Z1001" s="139">
        <v>14</v>
      </c>
      <c r="AA1001" s="138">
        <v>91</v>
      </c>
      <c r="AC1001" s="136">
        <v>54.49</v>
      </c>
      <c r="AD1001" s="139">
        <v>5</v>
      </c>
      <c r="AE1001" s="138">
        <v>5</v>
      </c>
      <c r="AG1001" s="136">
        <v>53.84</v>
      </c>
      <c r="AH1001" s="137">
        <v>16</v>
      </c>
      <c r="AI1001" s="138">
        <v>98</v>
      </c>
      <c r="AK1001" s="136">
        <v>54.42</v>
      </c>
      <c r="AL1001" s="139">
        <v>5</v>
      </c>
      <c r="AM1001" s="138">
        <v>5</v>
      </c>
      <c r="AS1001" s="136">
        <v>53.55</v>
      </c>
      <c r="AT1001" s="139">
        <v>15</v>
      </c>
      <c r="AU1001" s="138">
        <v>95</v>
      </c>
      <c r="BA1001" s="136">
        <v>54.58</v>
      </c>
      <c r="BB1001" s="139">
        <v>14</v>
      </c>
      <c r="BC1001" s="138">
        <v>91</v>
      </c>
    </row>
    <row r="1002" spans="5:55" x14ac:dyDescent="0.3">
      <c r="E1002" s="152">
        <v>54.63</v>
      </c>
      <c r="F1002" s="153">
        <v>12</v>
      </c>
      <c r="G1002" s="155" t="s">
        <v>868</v>
      </c>
      <c r="M1002" s="136">
        <v>54.56</v>
      </c>
      <c r="N1002" s="139">
        <v>12</v>
      </c>
      <c r="O1002" s="138">
        <v>75</v>
      </c>
      <c r="U1002" s="136">
        <v>54.46</v>
      </c>
      <c r="V1002" s="139">
        <v>3</v>
      </c>
      <c r="W1002" s="138">
        <v>1</v>
      </c>
      <c r="Y1002" s="136">
        <v>53.6</v>
      </c>
      <c r="Z1002" s="139">
        <v>15</v>
      </c>
      <c r="AA1002" s="138">
        <v>95</v>
      </c>
      <c r="AC1002" s="136">
        <v>54.51</v>
      </c>
      <c r="AD1002" s="139">
        <v>6</v>
      </c>
      <c r="AE1002" s="138">
        <v>9</v>
      </c>
      <c r="AG1002" s="136">
        <v>53.85</v>
      </c>
      <c r="AH1002" s="137">
        <v>17</v>
      </c>
      <c r="AI1002" s="138">
        <v>99</v>
      </c>
      <c r="AK1002" s="136">
        <v>54.44</v>
      </c>
      <c r="AL1002" s="139">
        <v>6</v>
      </c>
      <c r="AM1002" s="138">
        <v>9</v>
      </c>
      <c r="AS1002" s="136">
        <v>53.56</v>
      </c>
      <c r="AT1002" s="139">
        <v>16</v>
      </c>
      <c r="AU1002" s="138">
        <v>98</v>
      </c>
      <c r="BA1002" s="136">
        <v>54.61</v>
      </c>
      <c r="BB1002" s="139">
        <v>15</v>
      </c>
      <c r="BC1002" s="138">
        <v>95</v>
      </c>
    </row>
    <row r="1003" spans="5:55" x14ac:dyDescent="0.3">
      <c r="E1003" s="152">
        <v>54.64</v>
      </c>
      <c r="F1003" s="153">
        <v>13</v>
      </c>
      <c r="G1003" s="155" t="s">
        <v>869</v>
      </c>
      <c r="M1003" s="136">
        <v>54.57</v>
      </c>
      <c r="N1003" s="139">
        <v>13</v>
      </c>
      <c r="O1003" s="138">
        <v>85</v>
      </c>
      <c r="U1003" s="136">
        <v>54.49</v>
      </c>
      <c r="V1003" s="139">
        <v>4</v>
      </c>
      <c r="W1003" s="138">
        <v>2</v>
      </c>
      <c r="Y1003" s="136">
        <v>53.62</v>
      </c>
      <c r="Z1003" s="139">
        <v>16</v>
      </c>
      <c r="AA1003" s="138">
        <v>98</v>
      </c>
      <c r="AC1003" s="136">
        <v>54.54</v>
      </c>
      <c r="AD1003" s="139">
        <v>7</v>
      </c>
      <c r="AE1003" s="138">
        <v>16</v>
      </c>
      <c r="AG1003" s="136">
        <v>53.86</v>
      </c>
      <c r="AH1003" s="137">
        <v>18</v>
      </c>
      <c r="AI1003" s="138" t="s">
        <v>884</v>
      </c>
      <c r="AK1003" s="136">
        <v>54.46</v>
      </c>
      <c r="AL1003" s="139">
        <v>7</v>
      </c>
      <c r="AM1003" s="138">
        <v>16</v>
      </c>
      <c r="AS1003" s="136">
        <v>53.57</v>
      </c>
      <c r="AT1003" s="139">
        <v>17</v>
      </c>
      <c r="AU1003" s="138">
        <v>99</v>
      </c>
      <c r="BA1003" s="136">
        <v>54.64</v>
      </c>
      <c r="BB1003" s="139">
        <v>16</v>
      </c>
      <c r="BC1003" s="138">
        <v>98</v>
      </c>
    </row>
    <row r="1004" spans="5:55" x14ac:dyDescent="0.3">
      <c r="E1004" s="152">
        <v>54.65</v>
      </c>
      <c r="F1004" s="153">
        <v>14</v>
      </c>
      <c r="G1004" s="155" t="s">
        <v>870</v>
      </c>
      <c r="M1004" s="136">
        <v>54.58</v>
      </c>
      <c r="N1004" s="139">
        <v>15</v>
      </c>
      <c r="O1004" s="138">
        <v>95</v>
      </c>
      <c r="U1004" s="136">
        <v>54.51</v>
      </c>
      <c r="V1004" s="139">
        <v>5</v>
      </c>
      <c r="W1004" s="138">
        <v>5</v>
      </c>
      <c r="Y1004" s="136">
        <v>53.64</v>
      </c>
      <c r="Z1004" s="139">
        <v>17</v>
      </c>
      <c r="AA1004" s="138">
        <v>99</v>
      </c>
      <c r="AC1004" s="136">
        <v>54.56</v>
      </c>
      <c r="AD1004" s="139">
        <v>8</v>
      </c>
      <c r="AE1004" s="138">
        <v>25</v>
      </c>
      <c r="AG1004" s="136">
        <v>53.87</v>
      </c>
      <c r="AH1004" s="137">
        <v>19</v>
      </c>
      <c r="AI1004" s="138" t="s">
        <v>884</v>
      </c>
      <c r="AK1004" s="136">
        <v>54.47</v>
      </c>
      <c r="AL1004" s="139">
        <v>8</v>
      </c>
      <c r="AM1004" s="138">
        <v>25</v>
      </c>
      <c r="AS1004" s="136">
        <v>53.58</v>
      </c>
      <c r="AT1004" s="139">
        <v>18</v>
      </c>
      <c r="AU1004" s="138" t="s">
        <v>884</v>
      </c>
      <c r="BA1004" s="136">
        <v>54.66</v>
      </c>
      <c r="BB1004" s="139">
        <v>17</v>
      </c>
      <c r="BC1004" s="138">
        <v>99</v>
      </c>
    </row>
    <row r="1005" spans="5:55" x14ac:dyDescent="0.3">
      <c r="E1005" s="152">
        <v>54.66</v>
      </c>
      <c r="F1005" s="153">
        <v>15</v>
      </c>
      <c r="G1005" s="155" t="s">
        <v>871</v>
      </c>
      <c r="M1005" s="136">
        <v>54.59</v>
      </c>
      <c r="N1005" s="139">
        <v>17</v>
      </c>
      <c r="O1005" s="138">
        <v>99</v>
      </c>
      <c r="U1005" s="136">
        <v>54.54</v>
      </c>
      <c r="V1005" s="139">
        <v>6</v>
      </c>
      <c r="W1005" s="138">
        <v>9</v>
      </c>
      <c r="Y1005" s="136">
        <v>53.65</v>
      </c>
      <c r="Z1005" s="139">
        <v>18</v>
      </c>
      <c r="AA1005" s="138" t="s">
        <v>884</v>
      </c>
      <c r="AC1005" s="136">
        <v>54.59</v>
      </c>
      <c r="AD1005" s="139">
        <v>9</v>
      </c>
      <c r="AE1005" s="138">
        <v>37</v>
      </c>
      <c r="AG1005" s="136">
        <v>54</v>
      </c>
      <c r="AH1005" s="137">
        <v>1</v>
      </c>
      <c r="AI1005" s="138" t="s">
        <v>883</v>
      </c>
      <c r="AK1005" s="136">
        <v>54.49</v>
      </c>
      <c r="AL1005" s="139">
        <v>9</v>
      </c>
      <c r="AM1005" s="138">
        <v>37</v>
      </c>
      <c r="AS1005" s="136">
        <v>53.59</v>
      </c>
      <c r="AT1005" s="139">
        <v>19</v>
      </c>
      <c r="AU1005" s="138" t="s">
        <v>884</v>
      </c>
      <c r="BA1005" s="136">
        <v>54.69</v>
      </c>
      <c r="BB1005" s="139">
        <v>18</v>
      </c>
      <c r="BC1005" s="138" t="s">
        <v>884</v>
      </c>
    </row>
    <row r="1006" spans="5:55" x14ac:dyDescent="0.3">
      <c r="E1006" s="152">
        <v>54.67</v>
      </c>
      <c r="F1006" s="153">
        <v>16</v>
      </c>
      <c r="G1006" s="155" t="s">
        <v>872</v>
      </c>
      <c r="M1006" s="136">
        <v>54.6</v>
      </c>
      <c r="N1006" s="139">
        <v>19</v>
      </c>
      <c r="O1006" s="138" t="s">
        <v>884</v>
      </c>
      <c r="U1006" s="136">
        <v>54.57</v>
      </c>
      <c r="V1006" s="139">
        <v>7</v>
      </c>
      <c r="W1006" s="138">
        <v>16</v>
      </c>
      <c r="Y1006" s="136">
        <v>53.67</v>
      </c>
      <c r="Z1006" s="139">
        <v>19</v>
      </c>
      <c r="AA1006" s="138" t="s">
        <v>884</v>
      </c>
      <c r="AC1006" s="136">
        <v>54.61</v>
      </c>
      <c r="AD1006" s="139">
        <v>10</v>
      </c>
      <c r="AE1006" s="138">
        <v>50</v>
      </c>
      <c r="AG1006" s="136">
        <v>54.62</v>
      </c>
      <c r="AH1006" s="137">
        <v>2</v>
      </c>
      <c r="AI1006" s="138" t="s">
        <v>883</v>
      </c>
      <c r="AK1006" s="136">
        <v>54.5</v>
      </c>
      <c r="AL1006" s="139">
        <v>10</v>
      </c>
      <c r="AM1006" s="138">
        <v>50</v>
      </c>
      <c r="AS1006" s="136">
        <v>54</v>
      </c>
      <c r="AT1006" s="139">
        <v>1</v>
      </c>
      <c r="AU1006" s="138" t="s">
        <v>883</v>
      </c>
      <c r="BA1006" s="136">
        <v>54.72</v>
      </c>
      <c r="BB1006" s="139">
        <v>19</v>
      </c>
      <c r="BC1006" s="138" t="s">
        <v>884</v>
      </c>
    </row>
    <row r="1007" spans="5:55" x14ac:dyDescent="0.3">
      <c r="E1007" s="152">
        <v>54.68</v>
      </c>
      <c r="F1007" s="153">
        <v>17</v>
      </c>
      <c r="G1007" s="155" t="s">
        <v>873</v>
      </c>
      <c r="M1007" s="136">
        <v>55</v>
      </c>
      <c r="N1007" s="139">
        <v>1</v>
      </c>
      <c r="O1007" s="138" t="s">
        <v>883</v>
      </c>
      <c r="U1007" s="136">
        <v>54.6</v>
      </c>
      <c r="V1007" s="139">
        <v>8</v>
      </c>
      <c r="W1007" s="138">
        <v>25</v>
      </c>
      <c r="Y1007" s="136">
        <v>54</v>
      </c>
      <c r="Z1007" s="139">
        <v>1</v>
      </c>
      <c r="AA1007" s="138" t="s">
        <v>883</v>
      </c>
      <c r="AC1007" s="136">
        <v>54.63</v>
      </c>
      <c r="AD1007" s="139">
        <v>11</v>
      </c>
      <c r="AE1007" s="138">
        <v>63</v>
      </c>
      <c r="AG1007" s="136">
        <v>54.67</v>
      </c>
      <c r="AH1007" s="137">
        <v>3</v>
      </c>
      <c r="AI1007" s="138">
        <v>1</v>
      </c>
      <c r="AK1007" s="136">
        <v>54.51</v>
      </c>
      <c r="AL1007" s="139">
        <v>11</v>
      </c>
      <c r="AM1007" s="138">
        <v>63</v>
      </c>
      <c r="AS1007" s="136">
        <v>54.42</v>
      </c>
      <c r="AT1007" s="139">
        <v>2</v>
      </c>
      <c r="AU1007" s="138" t="s">
        <v>883</v>
      </c>
      <c r="BA1007" s="136">
        <v>55</v>
      </c>
      <c r="BB1007" s="139">
        <v>1</v>
      </c>
      <c r="BC1007" s="138" t="s">
        <v>883</v>
      </c>
    </row>
    <row r="1008" spans="5:55" x14ac:dyDescent="0.3">
      <c r="E1008" s="152">
        <v>54.69</v>
      </c>
      <c r="F1008" s="153">
        <v>18</v>
      </c>
      <c r="G1008" s="155" t="s">
        <v>874</v>
      </c>
      <c r="M1008" s="136">
        <v>55.35</v>
      </c>
      <c r="N1008" s="139">
        <v>2</v>
      </c>
      <c r="O1008" s="138" t="s">
        <v>883</v>
      </c>
      <c r="U1008" s="136">
        <v>54.62</v>
      </c>
      <c r="V1008" s="139">
        <v>9</v>
      </c>
      <c r="W1008" s="138">
        <v>37</v>
      </c>
      <c r="Y1008" s="136">
        <v>54.39</v>
      </c>
      <c r="Z1008" s="139">
        <v>2</v>
      </c>
      <c r="AA1008" s="138" t="s">
        <v>883</v>
      </c>
      <c r="AC1008" s="136">
        <v>54.66</v>
      </c>
      <c r="AD1008" s="139">
        <v>12</v>
      </c>
      <c r="AE1008" s="138">
        <v>75</v>
      </c>
      <c r="AG1008" s="136">
        <v>54.7</v>
      </c>
      <c r="AH1008" s="137">
        <v>4</v>
      </c>
      <c r="AI1008" s="138">
        <v>2</v>
      </c>
      <c r="AK1008" s="136">
        <v>54.52</v>
      </c>
      <c r="AL1008" s="139">
        <v>12</v>
      </c>
      <c r="AM1008" s="138">
        <v>75</v>
      </c>
      <c r="AS1008" s="136">
        <v>54.44</v>
      </c>
      <c r="AT1008" s="139">
        <v>3</v>
      </c>
      <c r="AU1008" s="138">
        <v>1</v>
      </c>
      <c r="BA1008" s="136">
        <v>55.25</v>
      </c>
      <c r="BB1008" s="139">
        <v>2</v>
      </c>
      <c r="BC1008" s="138" t="s">
        <v>883</v>
      </c>
    </row>
    <row r="1009" spans="5:55" x14ac:dyDescent="0.3">
      <c r="E1009" s="152">
        <v>54.7</v>
      </c>
      <c r="F1009" s="153">
        <v>19</v>
      </c>
      <c r="G1009" s="155" t="s">
        <v>874</v>
      </c>
      <c r="M1009" s="136">
        <v>55.41</v>
      </c>
      <c r="N1009" s="139">
        <v>3</v>
      </c>
      <c r="O1009" s="138">
        <v>1</v>
      </c>
      <c r="U1009" s="136">
        <v>54.64</v>
      </c>
      <c r="V1009" s="139">
        <v>10</v>
      </c>
      <c r="W1009" s="138">
        <v>50</v>
      </c>
      <c r="Y1009" s="136">
        <v>54.42</v>
      </c>
      <c r="Z1009" s="139">
        <v>3</v>
      </c>
      <c r="AA1009" s="138">
        <v>1</v>
      </c>
      <c r="AC1009" s="136">
        <v>54.68</v>
      </c>
      <c r="AD1009" s="139">
        <v>13</v>
      </c>
      <c r="AE1009" s="138">
        <v>85</v>
      </c>
      <c r="AG1009" s="136">
        <v>54.72</v>
      </c>
      <c r="AH1009" s="137">
        <v>5</v>
      </c>
      <c r="AI1009" s="138">
        <v>5</v>
      </c>
      <c r="AK1009" s="136">
        <v>54.53</v>
      </c>
      <c r="AL1009" s="139">
        <v>13</v>
      </c>
      <c r="AM1009" s="138">
        <v>85</v>
      </c>
      <c r="AS1009" s="136">
        <v>54.45</v>
      </c>
      <c r="AT1009" s="139">
        <v>4</v>
      </c>
      <c r="AU1009" s="138">
        <v>2</v>
      </c>
      <c r="BA1009" s="136">
        <v>55.31</v>
      </c>
      <c r="BB1009" s="139">
        <v>3</v>
      </c>
      <c r="BC1009" s="138">
        <v>1</v>
      </c>
    </row>
    <row r="1010" spans="5:55" x14ac:dyDescent="0.3">
      <c r="E1010" s="152">
        <v>55</v>
      </c>
      <c r="F1010" s="153">
        <v>1</v>
      </c>
      <c r="G1010" s="155" t="s">
        <v>862</v>
      </c>
      <c r="M1010" s="136">
        <v>55.44</v>
      </c>
      <c r="N1010" s="139">
        <v>4</v>
      </c>
      <c r="O1010" s="138">
        <v>2</v>
      </c>
      <c r="U1010" s="136">
        <v>54.67</v>
      </c>
      <c r="V1010" s="139">
        <v>11</v>
      </c>
      <c r="W1010" s="138">
        <v>63</v>
      </c>
      <c r="Y1010" s="136">
        <v>54.45</v>
      </c>
      <c r="Z1010" s="139">
        <v>4</v>
      </c>
      <c r="AA1010" s="138">
        <v>2</v>
      </c>
      <c r="AC1010" s="136">
        <v>54.71</v>
      </c>
      <c r="AD1010" s="139">
        <v>14</v>
      </c>
      <c r="AE1010" s="138">
        <v>91</v>
      </c>
      <c r="AG1010" s="136">
        <v>54.73</v>
      </c>
      <c r="AH1010" s="137">
        <v>6</v>
      </c>
      <c r="AI1010" s="138">
        <v>9</v>
      </c>
      <c r="AK1010" s="136">
        <v>54.54</v>
      </c>
      <c r="AL1010" s="139">
        <v>14</v>
      </c>
      <c r="AM1010" s="138">
        <v>91</v>
      </c>
      <c r="AS1010" s="136">
        <v>54.46</v>
      </c>
      <c r="AT1010" s="139">
        <v>5</v>
      </c>
      <c r="AU1010" s="138">
        <v>5</v>
      </c>
      <c r="BA1010" s="136">
        <v>55.33</v>
      </c>
      <c r="BB1010" s="139">
        <v>4</v>
      </c>
      <c r="BC1010" s="138">
        <v>2</v>
      </c>
    </row>
    <row r="1011" spans="5:55" x14ac:dyDescent="0.3">
      <c r="E1011" s="152">
        <v>55.43</v>
      </c>
      <c r="F1011" s="153">
        <v>2</v>
      </c>
      <c r="G1011" s="155" t="s">
        <v>862</v>
      </c>
      <c r="M1011" s="136">
        <v>55.46</v>
      </c>
      <c r="N1011" s="139">
        <v>5</v>
      </c>
      <c r="O1011" s="138">
        <v>5</v>
      </c>
      <c r="U1011" s="136">
        <v>54.68</v>
      </c>
      <c r="V1011" s="139">
        <v>12</v>
      </c>
      <c r="W1011" s="138">
        <v>75</v>
      </c>
      <c r="Y1011" s="136">
        <v>54.46</v>
      </c>
      <c r="Z1011" s="139">
        <v>5</v>
      </c>
      <c r="AA1011" s="138">
        <v>5</v>
      </c>
      <c r="AC1011" s="136">
        <v>54.73</v>
      </c>
      <c r="AD1011" s="139">
        <v>15</v>
      </c>
      <c r="AE1011" s="138">
        <v>95</v>
      </c>
      <c r="AG1011" s="136">
        <v>54.75</v>
      </c>
      <c r="AH1011" s="137">
        <v>7</v>
      </c>
      <c r="AI1011" s="138">
        <v>16</v>
      </c>
      <c r="AK1011" s="136">
        <v>54.55</v>
      </c>
      <c r="AL1011" s="139">
        <v>15</v>
      </c>
      <c r="AM1011" s="138">
        <v>95</v>
      </c>
      <c r="AS1011" s="136">
        <v>54.47</v>
      </c>
      <c r="AT1011" s="139">
        <v>6</v>
      </c>
      <c r="AU1011" s="138">
        <v>9</v>
      </c>
      <c r="BA1011" s="136">
        <v>55.36</v>
      </c>
      <c r="BB1011" s="139">
        <v>5</v>
      </c>
      <c r="BC1011" s="138">
        <v>5</v>
      </c>
    </row>
    <row r="1012" spans="5:55" x14ac:dyDescent="0.3">
      <c r="E1012" s="152">
        <v>55.47</v>
      </c>
      <c r="F1012" s="153">
        <v>3</v>
      </c>
      <c r="G1012" s="155" t="s">
        <v>876</v>
      </c>
      <c r="M1012" s="136">
        <v>55.48</v>
      </c>
      <c r="N1012" s="139">
        <v>6</v>
      </c>
      <c r="O1012" s="138">
        <v>9</v>
      </c>
      <c r="U1012" s="136">
        <v>54.7</v>
      </c>
      <c r="V1012" s="139">
        <v>13</v>
      </c>
      <c r="W1012" s="138">
        <v>85</v>
      </c>
      <c r="Y1012" s="136">
        <v>54.48</v>
      </c>
      <c r="Z1012" s="139">
        <v>6</v>
      </c>
      <c r="AA1012" s="138">
        <v>9</v>
      </c>
      <c r="AC1012" s="136">
        <v>54.75</v>
      </c>
      <c r="AD1012" s="139">
        <v>16</v>
      </c>
      <c r="AE1012" s="138">
        <v>98</v>
      </c>
      <c r="AG1012" s="136">
        <v>54.76</v>
      </c>
      <c r="AH1012" s="137">
        <v>8</v>
      </c>
      <c r="AI1012" s="138">
        <v>25</v>
      </c>
      <c r="AK1012" s="136">
        <v>54.56</v>
      </c>
      <c r="AL1012" s="139">
        <v>16</v>
      </c>
      <c r="AM1012" s="138">
        <v>98</v>
      </c>
      <c r="AS1012" s="136">
        <v>54.48</v>
      </c>
      <c r="AT1012" s="139">
        <v>7</v>
      </c>
      <c r="AU1012" s="138">
        <v>16</v>
      </c>
      <c r="BA1012" s="136">
        <v>55.38</v>
      </c>
      <c r="BB1012" s="139">
        <v>6</v>
      </c>
      <c r="BC1012" s="138">
        <v>9</v>
      </c>
    </row>
    <row r="1013" spans="5:55" x14ac:dyDescent="0.3">
      <c r="E1013" s="152">
        <v>55.5</v>
      </c>
      <c r="F1013" s="153">
        <v>4</v>
      </c>
      <c r="G1013" s="155" t="s">
        <v>863</v>
      </c>
      <c r="M1013" s="136">
        <v>55.5</v>
      </c>
      <c r="N1013" s="139">
        <v>7</v>
      </c>
      <c r="O1013" s="138">
        <v>16</v>
      </c>
      <c r="U1013" s="136">
        <v>54.72</v>
      </c>
      <c r="V1013" s="139">
        <v>14</v>
      </c>
      <c r="W1013" s="138">
        <v>91</v>
      </c>
      <c r="Y1013" s="136">
        <v>54.49</v>
      </c>
      <c r="Z1013" s="139">
        <v>7</v>
      </c>
      <c r="AA1013" s="138">
        <v>16</v>
      </c>
      <c r="AC1013" s="136">
        <v>54.78</v>
      </c>
      <c r="AD1013" s="139">
        <v>17</v>
      </c>
      <c r="AE1013" s="138">
        <v>99</v>
      </c>
      <c r="AG1013" s="136">
        <v>54.77</v>
      </c>
      <c r="AH1013" s="137">
        <v>9</v>
      </c>
      <c r="AI1013" s="138">
        <v>37</v>
      </c>
      <c r="AK1013" s="136">
        <v>54.57</v>
      </c>
      <c r="AL1013" s="139">
        <v>17</v>
      </c>
      <c r="AM1013" s="138">
        <v>99</v>
      </c>
      <c r="AS1013" s="136">
        <v>54.49</v>
      </c>
      <c r="AT1013" s="139">
        <v>8</v>
      </c>
      <c r="AU1013" s="138">
        <v>25</v>
      </c>
      <c r="BA1013" s="136">
        <v>55.41</v>
      </c>
      <c r="BB1013" s="139">
        <v>7</v>
      </c>
      <c r="BC1013" s="138">
        <v>16</v>
      </c>
    </row>
    <row r="1014" spans="5:55" x14ac:dyDescent="0.3">
      <c r="E1014" s="152">
        <v>55.52</v>
      </c>
      <c r="F1014" s="153">
        <v>5</v>
      </c>
      <c r="G1014" s="155" t="s">
        <v>877</v>
      </c>
      <c r="M1014" s="136">
        <v>55.52</v>
      </c>
      <c r="N1014" s="139">
        <v>8</v>
      </c>
      <c r="O1014" s="138">
        <v>25</v>
      </c>
      <c r="U1014" s="136">
        <v>54.74</v>
      </c>
      <c r="V1014" s="139">
        <v>15</v>
      </c>
      <c r="W1014" s="138">
        <v>95</v>
      </c>
      <c r="Y1014" s="136">
        <v>54.51</v>
      </c>
      <c r="Z1014" s="139">
        <v>8</v>
      </c>
      <c r="AA1014" s="138">
        <v>25</v>
      </c>
      <c r="AC1014" s="136">
        <v>54.8</v>
      </c>
      <c r="AD1014" s="139">
        <v>18</v>
      </c>
      <c r="AE1014" s="138" t="s">
        <v>884</v>
      </c>
      <c r="AG1014" s="136">
        <v>54.78</v>
      </c>
      <c r="AH1014" s="137">
        <v>10</v>
      </c>
      <c r="AI1014" s="138">
        <v>50</v>
      </c>
      <c r="AK1014" s="136">
        <v>54.58</v>
      </c>
      <c r="AL1014" s="139">
        <v>18</v>
      </c>
      <c r="AM1014" s="138" t="s">
        <v>884</v>
      </c>
      <c r="AS1014" s="136">
        <v>54.5</v>
      </c>
      <c r="AT1014" s="139">
        <v>9</v>
      </c>
      <c r="AU1014" s="138">
        <v>37</v>
      </c>
      <c r="BA1014" s="136">
        <v>55.43</v>
      </c>
      <c r="BB1014" s="139">
        <v>8</v>
      </c>
      <c r="BC1014" s="138">
        <v>25</v>
      </c>
    </row>
    <row r="1015" spans="5:55" x14ac:dyDescent="0.3">
      <c r="E1015" s="152">
        <v>55.54</v>
      </c>
      <c r="F1015" s="153">
        <v>6</v>
      </c>
      <c r="G1015" s="155" t="s">
        <v>864</v>
      </c>
      <c r="M1015" s="136">
        <v>55.53</v>
      </c>
      <c r="N1015" s="139">
        <v>9</v>
      </c>
      <c r="O1015" s="138">
        <v>37</v>
      </c>
      <c r="U1015" s="136">
        <v>54.76</v>
      </c>
      <c r="V1015" s="139">
        <v>16</v>
      </c>
      <c r="W1015" s="138">
        <v>98</v>
      </c>
      <c r="Y1015" s="136">
        <v>54.52</v>
      </c>
      <c r="Z1015" s="139">
        <v>9</v>
      </c>
      <c r="AA1015" s="138">
        <v>37</v>
      </c>
      <c r="AC1015" s="136">
        <v>54.82</v>
      </c>
      <c r="AD1015" s="139">
        <v>19</v>
      </c>
      <c r="AE1015" s="138" t="s">
        <v>884</v>
      </c>
      <c r="AG1015" s="136">
        <v>54.79</v>
      </c>
      <c r="AH1015" s="137">
        <v>11</v>
      </c>
      <c r="AI1015" s="138">
        <v>63</v>
      </c>
      <c r="AK1015" s="136">
        <v>54.59</v>
      </c>
      <c r="AL1015" s="139">
        <v>19</v>
      </c>
      <c r="AM1015" s="138" t="s">
        <v>884</v>
      </c>
      <c r="AS1015" s="136">
        <v>54.51</v>
      </c>
      <c r="AT1015" s="139">
        <v>10</v>
      </c>
      <c r="AU1015" s="138">
        <v>50</v>
      </c>
      <c r="BA1015" s="136">
        <v>55.46</v>
      </c>
      <c r="BB1015" s="139">
        <v>9</v>
      </c>
      <c r="BC1015" s="138">
        <v>37</v>
      </c>
    </row>
    <row r="1016" spans="5:55" x14ac:dyDescent="0.3">
      <c r="E1016" s="152">
        <v>55.56</v>
      </c>
      <c r="F1016" s="153">
        <v>7</v>
      </c>
      <c r="G1016" s="155" t="s">
        <v>878</v>
      </c>
      <c r="M1016" s="136">
        <v>55.54</v>
      </c>
      <c r="N1016" s="139">
        <v>10</v>
      </c>
      <c r="O1016" s="138">
        <v>50</v>
      </c>
      <c r="U1016" s="136">
        <v>54.78</v>
      </c>
      <c r="V1016" s="139">
        <v>17</v>
      </c>
      <c r="W1016" s="138">
        <v>99</v>
      </c>
      <c r="Y1016" s="136">
        <v>54.54</v>
      </c>
      <c r="Z1016" s="139">
        <v>10</v>
      </c>
      <c r="AA1016" s="138">
        <v>50</v>
      </c>
      <c r="AC1016" s="136">
        <v>55</v>
      </c>
      <c r="AD1016" s="139">
        <v>1</v>
      </c>
      <c r="AE1016" s="138" t="s">
        <v>883</v>
      </c>
      <c r="AG1016" s="136">
        <v>54.81</v>
      </c>
      <c r="AH1016" s="137">
        <v>12</v>
      </c>
      <c r="AI1016" s="138">
        <v>75</v>
      </c>
      <c r="AK1016" s="136">
        <v>55</v>
      </c>
      <c r="AL1016" s="139">
        <v>1</v>
      </c>
      <c r="AM1016" s="138" t="s">
        <v>883</v>
      </c>
      <c r="AS1016" s="136">
        <v>54.52</v>
      </c>
      <c r="AT1016" s="139">
        <v>11</v>
      </c>
      <c r="AU1016" s="138">
        <v>63</v>
      </c>
      <c r="BA1016" s="136">
        <v>55.48</v>
      </c>
      <c r="BB1016" s="139">
        <v>10</v>
      </c>
      <c r="BC1016" s="138">
        <v>50</v>
      </c>
    </row>
    <row r="1017" spans="5:55" x14ac:dyDescent="0.3">
      <c r="E1017" s="152">
        <v>55.58</v>
      </c>
      <c r="F1017" s="153">
        <v>8</v>
      </c>
      <c r="G1017" s="155" t="s">
        <v>865</v>
      </c>
      <c r="M1017" s="136">
        <v>55.55</v>
      </c>
      <c r="N1017" s="139">
        <v>11</v>
      </c>
      <c r="O1017" s="138">
        <v>63</v>
      </c>
      <c r="U1017" s="136">
        <v>54.8</v>
      </c>
      <c r="V1017" s="139">
        <v>18</v>
      </c>
      <c r="W1017" s="138" t="s">
        <v>884</v>
      </c>
      <c r="Y1017" s="136">
        <v>54.55</v>
      </c>
      <c r="Z1017" s="139">
        <v>11</v>
      </c>
      <c r="AA1017" s="138">
        <v>63</v>
      </c>
      <c r="AC1017" s="136">
        <v>55.42</v>
      </c>
      <c r="AD1017" s="139">
        <v>2</v>
      </c>
      <c r="AE1017" s="138" t="s">
        <v>883</v>
      </c>
      <c r="AG1017" s="136">
        <v>54.82</v>
      </c>
      <c r="AH1017" s="137">
        <v>13</v>
      </c>
      <c r="AI1017" s="138">
        <v>85</v>
      </c>
      <c r="AK1017" s="136">
        <v>55.34</v>
      </c>
      <c r="AL1017" s="139">
        <v>2</v>
      </c>
      <c r="AM1017" s="138" t="s">
        <v>883</v>
      </c>
      <c r="AS1017" s="136">
        <v>54.53</v>
      </c>
      <c r="AT1017" s="139">
        <v>12</v>
      </c>
      <c r="AU1017" s="138">
        <v>75</v>
      </c>
      <c r="BA1017" s="136">
        <v>55.51</v>
      </c>
      <c r="BB1017" s="139">
        <v>11</v>
      </c>
      <c r="BC1017" s="138">
        <v>63</v>
      </c>
    </row>
    <row r="1018" spans="5:55" x14ac:dyDescent="0.3">
      <c r="E1018" s="152">
        <v>55.59</v>
      </c>
      <c r="F1018" s="153">
        <v>9</v>
      </c>
      <c r="G1018" s="155" t="s">
        <v>879</v>
      </c>
      <c r="M1018" s="136">
        <v>55.56</v>
      </c>
      <c r="N1018" s="139">
        <v>12</v>
      </c>
      <c r="O1018" s="138">
        <v>75</v>
      </c>
      <c r="U1018" s="136">
        <v>54.82</v>
      </c>
      <c r="V1018" s="139">
        <v>19</v>
      </c>
      <c r="W1018" s="138" t="s">
        <v>884</v>
      </c>
      <c r="Y1018" s="136">
        <v>54.57</v>
      </c>
      <c r="Z1018" s="139">
        <v>12</v>
      </c>
      <c r="AA1018" s="138">
        <v>75</v>
      </c>
      <c r="AC1018" s="136">
        <v>55.44</v>
      </c>
      <c r="AD1018" s="139">
        <v>3</v>
      </c>
      <c r="AE1018" s="138">
        <v>1</v>
      </c>
      <c r="AG1018" s="136">
        <v>54.83</v>
      </c>
      <c r="AH1018" s="137">
        <v>14</v>
      </c>
      <c r="AI1018" s="138">
        <v>91</v>
      </c>
      <c r="AK1018" s="136">
        <v>55.39</v>
      </c>
      <c r="AL1018" s="139">
        <v>3</v>
      </c>
      <c r="AM1018" s="138">
        <v>1</v>
      </c>
      <c r="AS1018" s="136">
        <v>54.54</v>
      </c>
      <c r="AT1018" s="139">
        <v>13</v>
      </c>
      <c r="AU1018" s="138">
        <v>85</v>
      </c>
      <c r="BA1018" s="136">
        <v>55.53</v>
      </c>
      <c r="BB1018" s="139">
        <v>12</v>
      </c>
      <c r="BC1018" s="138">
        <v>75</v>
      </c>
    </row>
    <row r="1019" spans="5:55" x14ac:dyDescent="0.3">
      <c r="E1019" s="152">
        <v>55.61</v>
      </c>
      <c r="F1019" s="153">
        <v>10</v>
      </c>
      <c r="G1019" s="155" t="s">
        <v>866</v>
      </c>
      <c r="M1019" s="136">
        <v>55.57</v>
      </c>
      <c r="N1019" s="139">
        <v>13</v>
      </c>
      <c r="O1019" s="138">
        <v>85</v>
      </c>
      <c r="U1019" s="136">
        <v>55</v>
      </c>
      <c r="V1019" s="139">
        <v>1</v>
      </c>
      <c r="W1019" s="138" t="s">
        <v>883</v>
      </c>
      <c r="Y1019" s="136">
        <v>54.59</v>
      </c>
      <c r="Z1019" s="139">
        <v>13</v>
      </c>
      <c r="AA1019" s="138">
        <v>85</v>
      </c>
      <c r="AC1019" s="136">
        <v>55.47</v>
      </c>
      <c r="AD1019" s="139">
        <v>4</v>
      </c>
      <c r="AE1019" s="138">
        <v>2</v>
      </c>
      <c r="AG1019" s="136">
        <v>54.84</v>
      </c>
      <c r="AH1019" s="137">
        <v>15</v>
      </c>
      <c r="AI1019" s="138">
        <v>95</v>
      </c>
      <c r="AK1019" s="136">
        <v>55.41</v>
      </c>
      <c r="AL1019" s="139">
        <v>4</v>
      </c>
      <c r="AM1019" s="138">
        <v>2</v>
      </c>
      <c r="AS1019" s="136">
        <v>54.55</v>
      </c>
      <c r="AT1019" s="139">
        <v>14</v>
      </c>
      <c r="AU1019" s="138">
        <v>91</v>
      </c>
      <c r="BA1019" s="136">
        <v>55.56</v>
      </c>
      <c r="BB1019" s="139">
        <v>13</v>
      </c>
      <c r="BC1019" s="138">
        <v>85</v>
      </c>
    </row>
    <row r="1020" spans="5:55" x14ac:dyDescent="0.3">
      <c r="E1020" s="152">
        <v>55.62</v>
      </c>
      <c r="F1020" s="153">
        <v>11</v>
      </c>
      <c r="G1020" s="155" t="s">
        <v>867</v>
      </c>
      <c r="M1020" s="136">
        <v>55.58</v>
      </c>
      <c r="N1020" s="139">
        <v>15</v>
      </c>
      <c r="O1020" s="138">
        <v>95</v>
      </c>
      <c r="U1020" s="136">
        <v>55.36</v>
      </c>
      <c r="V1020" s="139">
        <v>2</v>
      </c>
      <c r="W1020" s="138" t="s">
        <v>883</v>
      </c>
      <c r="Y1020" s="136">
        <v>54.6</v>
      </c>
      <c r="Z1020" s="139">
        <v>14</v>
      </c>
      <c r="AA1020" s="138">
        <v>91</v>
      </c>
      <c r="AC1020" s="136">
        <v>55.49</v>
      </c>
      <c r="AD1020" s="139">
        <v>5</v>
      </c>
      <c r="AE1020" s="138">
        <v>5</v>
      </c>
      <c r="AG1020" s="136">
        <v>54.85</v>
      </c>
      <c r="AH1020" s="137">
        <v>16</v>
      </c>
      <c r="AI1020" s="138">
        <v>98</v>
      </c>
      <c r="AK1020" s="136">
        <v>55.42</v>
      </c>
      <c r="AL1020" s="139">
        <v>5</v>
      </c>
      <c r="AM1020" s="138">
        <v>5</v>
      </c>
      <c r="AS1020" s="136">
        <v>54.56</v>
      </c>
      <c r="AT1020" s="139">
        <v>15</v>
      </c>
      <c r="AU1020" s="138">
        <v>95</v>
      </c>
      <c r="BA1020" s="136">
        <v>55.58</v>
      </c>
      <c r="BB1020" s="139">
        <v>14</v>
      </c>
      <c r="BC1020" s="138">
        <v>91</v>
      </c>
    </row>
    <row r="1021" spans="5:55" x14ac:dyDescent="0.3">
      <c r="E1021" s="152">
        <v>55.63</v>
      </c>
      <c r="F1021" s="153">
        <v>12</v>
      </c>
      <c r="G1021" s="155" t="s">
        <v>868</v>
      </c>
      <c r="M1021" s="136">
        <v>55.59</v>
      </c>
      <c r="N1021" s="139">
        <v>17</v>
      </c>
      <c r="O1021" s="138">
        <v>99</v>
      </c>
      <c r="U1021" s="136">
        <v>55.46</v>
      </c>
      <c r="V1021" s="139">
        <v>3</v>
      </c>
      <c r="W1021" s="138">
        <v>1</v>
      </c>
      <c r="Y1021" s="136">
        <v>54.62</v>
      </c>
      <c r="Z1021" s="139">
        <v>15</v>
      </c>
      <c r="AA1021" s="138">
        <v>95</v>
      </c>
      <c r="AC1021" s="136">
        <v>55.51</v>
      </c>
      <c r="AD1021" s="139">
        <v>6</v>
      </c>
      <c r="AE1021" s="138">
        <v>9</v>
      </c>
      <c r="AG1021" s="136">
        <v>54.86</v>
      </c>
      <c r="AH1021" s="137">
        <v>17</v>
      </c>
      <c r="AI1021" s="138">
        <v>99</v>
      </c>
      <c r="AK1021" s="136">
        <v>55.44</v>
      </c>
      <c r="AL1021" s="139">
        <v>6</v>
      </c>
      <c r="AM1021" s="138">
        <v>9</v>
      </c>
      <c r="AS1021" s="136">
        <v>54.57</v>
      </c>
      <c r="AT1021" s="139">
        <v>16</v>
      </c>
      <c r="AU1021" s="138">
        <v>98</v>
      </c>
      <c r="BA1021" s="136">
        <v>55.61</v>
      </c>
      <c r="BB1021" s="139">
        <v>15</v>
      </c>
      <c r="BC1021" s="138">
        <v>95</v>
      </c>
    </row>
    <row r="1022" spans="5:55" x14ac:dyDescent="0.3">
      <c r="E1022" s="152">
        <v>55.64</v>
      </c>
      <c r="F1022" s="153">
        <v>13</v>
      </c>
      <c r="G1022" s="155" t="s">
        <v>869</v>
      </c>
      <c r="M1022" s="136">
        <v>55.6</v>
      </c>
      <c r="N1022" s="139">
        <v>19</v>
      </c>
      <c r="O1022" s="138" t="s">
        <v>884</v>
      </c>
      <c r="U1022" s="136">
        <v>55.49</v>
      </c>
      <c r="V1022" s="139">
        <v>4</v>
      </c>
      <c r="W1022" s="138">
        <v>2</v>
      </c>
      <c r="Y1022" s="136">
        <v>54.64</v>
      </c>
      <c r="Z1022" s="139">
        <v>16</v>
      </c>
      <c r="AA1022" s="138">
        <v>98</v>
      </c>
      <c r="AC1022" s="136">
        <v>55.54</v>
      </c>
      <c r="AD1022" s="139">
        <v>7</v>
      </c>
      <c r="AE1022" s="138">
        <v>16</v>
      </c>
      <c r="AG1022" s="136">
        <v>54.87</v>
      </c>
      <c r="AH1022" s="137">
        <v>18</v>
      </c>
      <c r="AI1022" s="138" t="s">
        <v>884</v>
      </c>
      <c r="AK1022" s="136">
        <v>55.46</v>
      </c>
      <c r="AL1022" s="139">
        <v>7</v>
      </c>
      <c r="AM1022" s="138">
        <v>16</v>
      </c>
      <c r="AS1022" s="136">
        <v>54.58</v>
      </c>
      <c r="AT1022" s="139">
        <v>17</v>
      </c>
      <c r="AU1022" s="138">
        <v>99</v>
      </c>
      <c r="BA1022" s="136">
        <v>55.64</v>
      </c>
      <c r="BB1022" s="139">
        <v>16</v>
      </c>
      <c r="BC1022" s="138">
        <v>98</v>
      </c>
    </row>
    <row r="1023" spans="5:55" x14ac:dyDescent="0.3">
      <c r="E1023" s="152">
        <v>55.65</v>
      </c>
      <c r="F1023" s="153">
        <v>14</v>
      </c>
      <c r="G1023" s="155" t="s">
        <v>870</v>
      </c>
      <c r="M1023" s="136">
        <v>56</v>
      </c>
      <c r="N1023" s="139">
        <v>1</v>
      </c>
      <c r="O1023" s="138" t="s">
        <v>883</v>
      </c>
      <c r="U1023" s="136">
        <v>55.51</v>
      </c>
      <c r="V1023" s="139">
        <v>5</v>
      </c>
      <c r="W1023" s="138">
        <v>5</v>
      </c>
      <c r="Y1023" s="136">
        <v>54.65</v>
      </c>
      <c r="Z1023" s="139">
        <v>17</v>
      </c>
      <c r="AA1023" s="138">
        <v>99</v>
      </c>
      <c r="AC1023" s="136">
        <v>55.56</v>
      </c>
      <c r="AD1023" s="139">
        <v>8</v>
      </c>
      <c r="AE1023" s="138">
        <v>25</v>
      </c>
      <c r="AG1023" s="136">
        <v>54.88</v>
      </c>
      <c r="AH1023" s="137">
        <v>19</v>
      </c>
      <c r="AI1023" s="138" t="s">
        <v>884</v>
      </c>
      <c r="AK1023" s="136">
        <v>55.47</v>
      </c>
      <c r="AL1023" s="139">
        <v>8</v>
      </c>
      <c r="AM1023" s="138">
        <v>25</v>
      </c>
      <c r="AS1023" s="136">
        <v>54.59</v>
      </c>
      <c r="AT1023" s="139">
        <v>18</v>
      </c>
      <c r="AU1023" s="138" t="s">
        <v>884</v>
      </c>
      <c r="BA1023" s="136">
        <v>55.66</v>
      </c>
      <c r="BB1023" s="139">
        <v>17</v>
      </c>
      <c r="BC1023" s="138">
        <v>99</v>
      </c>
    </row>
    <row r="1024" spans="5:55" x14ac:dyDescent="0.3">
      <c r="E1024" s="152">
        <v>55.66</v>
      </c>
      <c r="F1024" s="153">
        <v>15</v>
      </c>
      <c r="G1024" s="155" t="s">
        <v>871</v>
      </c>
      <c r="M1024" s="136">
        <v>56.35</v>
      </c>
      <c r="N1024" s="139">
        <v>2</v>
      </c>
      <c r="O1024" s="138" t="s">
        <v>883</v>
      </c>
      <c r="U1024" s="136">
        <v>55.54</v>
      </c>
      <c r="V1024" s="139">
        <v>6</v>
      </c>
      <c r="W1024" s="138">
        <v>9</v>
      </c>
      <c r="Y1024" s="136">
        <v>54.67</v>
      </c>
      <c r="Z1024" s="139">
        <v>18</v>
      </c>
      <c r="AA1024" s="138" t="s">
        <v>884</v>
      </c>
      <c r="AC1024" s="136">
        <v>55.59</v>
      </c>
      <c r="AD1024" s="139">
        <v>9</v>
      </c>
      <c r="AE1024" s="138">
        <v>37</v>
      </c>
      <c r="AG1024" s="136">
        <v>55</v>
      </c>
      <c r="AH1024" s="137">
        <v>1</v>
      </c>
      <c r="AI1024" s="138" t="s">
        <v>883</v>
      </c>
      <c r="AK1024" s="136">
        <v>55.49</v>
      </c>
      <c r="AL1024" s="139">
        <v>9</v>
      </c>
      <c r="AM1024" s="138">
        <v>37</v>
      </c>
      <c r="AS1024" s="136">
        <v>54.6</v>
      </c>
      <c r="AT1024" s="139">
        <v>19</v>
      </c>
      <c r="AU1024" s="138" t="s">
        <v>884</v>
      </c>
      <c r="BA1024" s="136">
        <v>55.69</v>
      </c>
      <c r="BB1024" s="139">
        <v>18</v>
      </c>
      <c r="BC1024" s="138" t="s">
        <v>884</v>
      </c>
    </row>
    <row r="1025" spans="5:55" x14ac:dyDescent="0.3">
      <c r="E1025" s="152">
        <v>55.67</v>
      </c>
      <c r="F1025" s="153">
        <v>16</v>
      </c>
      <c r="G1025" s="155" t="s">
        <v>872</v>
      </c>
      <c r="M1025" s="136">
        <v>56.41</v>
      </c>
      <c r="N1025" s="139">
        <v>3</v>
      </c>
      <c r="O1025" s="138">
        <v>1</v>
      </c>
      <c r="U1025" s="136">
        <v>55.57</v>
      </c>
      <c r="V1025" s="139">
        <v>7</v>
      </c>
      <c r="W1025" s="138">
        <v>16</v>
      </c>
      <c r="Y1025" s="136">
        <v>54.68</v>
      </c>
      <c r="Z1025" s="139">
        <v>19</v>
      </c>
      <c r="AA1025" s="138" t="s">
        <v>884</v>
      </c>
      <c r="AC1025" s="136">
        <v>55.61</v>
      </c>
      <c r="AD1025" s="139">
        <v>10</v>
      </c>
      <c r="AE1025" s="138">
        <v>50</v>
      </c>
      <c r="AG1025" s="136">
        <v>55.62</v>
      </c>
      <c r="AH1025" s="137">
        <v>2</v>
      </c>
      <c r="AI1025" s="138" t="s">
        <v>883</v>
      </c>
      <c r="AK1025" s="136">
        <v>55.5</v>
      </c>
      <c r="AL1025" s="139">
        <v>10</v>
      </c>
      <c r="AM1025" s="138">
        <v>50</v>
      </c>
      <c r="AS1025" s="136">
        <v>55</v>
      </c>
      <c r="AT1025" s="139">
        <v>1</v>
      </c>
      <c r="AU1025" s="138" t="s">
        <v>883</v>
      </c>
      <c r="BA1025" s="136">
        <v>55.72</v>
      </c>
      <c r="BB1025" s="139">
        <v>19</v>
      </c>
      <c r="BC1025" s="138" t="s">
        <v>884</v>
      </c>
    </row>
    <row r="1026" spans="5:55" x14ac:dyDescent="0.3">
      <c r="E1026" s="152">
        <v>55.68</v>
      </c>
      <c r="F1026" s="153">
        <v>17</v>
      </c>
      <c r="G1026" s="155" t="s">
        <v>873</v>
      </c>
      <c r="M1026" s="136">
        <v>56.44</v>
      </c>
      <c r="N1026" s="139">
        <v>4</v>
      </c>
      <c r="O1026" s="138">
        <v>2</v>
      </c>
      <c r="U1026" s="136">
        <v>55.6</v>
      </c>
      <c r="V1026" s="139">
        <v>8</v>
      </c>
      <c r="W1026" s="138">
        <v>25</v>
      </c>
      <c r="Y1026" s="136">
        <v>55</v>
      </c>
      <c r="Z1026" s="139">
        <v>1</v>
      </c>
      <c r="AA1026" s="138" t="s">
        <v>883</v>
      </c>
      <c r="AC1026" s="136">
        <v>55.63</v>
      </c>
      <c r="AD1026" s="139">
        <v>11</v>
      </c>
      <c r="AE1026" s="138">
        <v>63</v>
      </c>
      <c r="AG1026" s="136">
        <v>55.67</v>
      </c>
      <c r="AH1026" s="137">
        <v>3</v>
      </c>
      <c r="AI1026" s="138">
        <v>1</v>
      </c>
      <c r="AK1026" s="136">
        <v>55.51</v>
      </c>
      <c r="AL1026" s="139">
        <v>11</v>
      </c>
      <c r="AM1026" s="138">
        <v>63</v>
      </c>
      <c r="AS1026" s="136">
        <v>55.42</v>
      </c>
      <c r="AT1026" s="139">
        <v>2</v>
      </c>
      <c r="AU1026" s="138" t="s">
        <v>883</v>
      </c>
      <c r="BA1026" s="136">
        <v>56</v>
      </c>
      <c r="BB1026" s="139">
        <v>1</v>
      </c>
      <c r="BC1026" s="138" t="s">
        <v>883</v>
      </c>
    </row>
    <row r="1027" spans="5:55" x14ac:dyDescent="0.3">
      <c r="E1027" s="152">
        <v>55.69</v>
      </c>
      <c r="F1027" s="153">
        <v>18</v>
      </c>
      <c r="G1027" s="155" t="s">
        <v>874</v>
      </c>
      <c r="M1027" s="136">
        <v>56.46</v>
      </c>
      <c r="N1027" s="139">
        <v>5</v>
      </c>
      <c r="O1027" s="138">
        <v>5</v>
      </c>
      <c r="U1027" s="136">
        <v>55.62</v>
      </c>
      <c r="V1027" s="139">
        <v>9</v>
      </c>
      <c r="W1027" s="138">
        <v>37</v>
      </c>
      <c r="Y1027" s="136">
        <v>55.39</v>
      </c>
      <c r="Z1027" s="139">
        <v>2</v>
      </c>
      <c r="AA1027" s="138" t="s">
        <v>883</v>
      </c>
      <c r="AC1027" s="136">
        <v>55.66</v>
      </c>
      <c r="AD1027" s="139">
        <v>12</v>
      </c>
      <c r="AE1027" s="138">
        <v>75</v>
      </c>
      <c r="AG1027" s="136">
        <v>55.7</v>
      </c>
      <c r="AH1027" s="137">
        <v>4</v>
      </c>
      <c r="AI1027" s="138">
        <v>2</v>
      </c>
      <c r="AK1027" s="136">
        <v>55.52</v>
      </c>
      <c r="AL1027" s="139">
        <v>12</v>
      </c>
      <c r="AM1027" s="138">
        <v>75</v>
      </c>
      <c r="AS1027" s="136">
        <v>55.44</v>
      </c>
      <c r="AT1027" s="139">
        <v>3</v>
      </c>
      <c r="AU1027" s="138">
        <v>1</v>
      </c>
      <c r="BA1027" s="136">
        <v>56.25</v>
      </c>
      <c r="BB1027" s="139">
        <v>2</v>
      </c>
      <c r="BC1027" s="138" t="s">
        <v>883</v>
      </c>
    </row>
    <row r="1028" spans="5:55" x14ac:dyDescent="0.3">
      <c r="E1028" s="152">
        <v>55.7</v>
      </c>
      <c r="F1028" s="153">
        <v>19</v>
      </c>
      <c r="G1028" s="155" t="s">
        <v>874</v>
      </c>
      <c r="M1028" s="136">
        <v>56.48</v>
      </c>
      <c r="N1028" s="139">
        <v>6</v>
      </c>
      <c r="O1028" s="138">
        <v>9</v>
      </c>
      <c r="U1028" s="136">
        <v>55.64</v>
      </c>
      <c r="V1028" s="139">
        <v>10</v>
      </c>
      <c r="W1028" s="138">
        <v>50</v>
      </c>
      <c r="Y1028" s="136">
        <v>55.42</v>
      </c>
      <c r="Z1028" s="139">
        <v>3</v>
      </c>
      <c r="AA1028" s="138">
        <v>1</v>
      </c>
      <c r="AC1028" s="136">
        <v>55.68</v>
      </c>
      <c r="AD1028" s="139">
        <v>13</v>
      </c>
      <c r="AE1028" s="138">
        <v>85</v>
      </c>
      <c r="AG1028" s="136">
        <v>55.72</v>
      </c>
      <c r="AH1028" s="137">
        <v>5</v>
      </c>
      <c r="AI1028" s="138">
        <v>5</v>
      </c>
      <c r="AK1028" s="156">
        <v>55.53</v>
      </c>
      <c r="AL1028" s="139">
        <v>13</v>
      </c>
      <c r="AM1028" s="138">
        <v>85</v>
      </c>
      <c r="AS1028" s="136">
        <v>55.45</v>
      </c>
      <c r="AT1028" s="139">
        <v>4</v>
      </c>
      <c r="AU1028" s="138">
        <v>2</v>
      </c>
      <c r="BA1028" s="136">
        <v>56.31</v>
      </c>
      <c r="BB1028" s="139">
        <v>3</v>
      </c>
      <c r="BC1028" s="138">
        <v>1</v>
      </c>
    </row>
    <row r="1029" spans="5:55" x14ac:dyDescent="0.3">
      <c r="E1029" s="152">
        <v>56</v>
      </c>
      <c r="F1029" s="153">
        <v>1</v>
      </c>
      <c r="G1029" s="155" t="s">
        <v>862</v>
      </c>
      <c r="M1029" s="136">
        <v>56.5</v>
      </c>
      <c r="N1029" s="139">
        <v>7</v>
      </c>
      <c r="O1029" s="138">
        <v>16</v>
      </c>
      <c r="U1029" s="136">
        <v>55.67</v>
      </c>
      <c r="V1029" s="139">
        <v>11</v>
      </c>
      <c r="W1029" s="138">
        <v>63</v>
      </c>
      <c r="Y1029" s="136">
        <v>55.45</v>
      </c>
      <c r="Z1029" s="139">
        <v>4</v>
      </c>
      <c r="AA1029" s="138">
        <v>2</v>
      </c>
      <c r="AC1029" s="136">
        <v>55.71</v>
      </c>
      <c r="AD1029" s="139">
        <v>14</v>
      </c>
      <c r="AE1029" s="138">
        <v>91</v>
      </c>
      <c r="AG1029" s="136">
        <v>55.73</v>
      </c>
      <c r="AH1029" s="137">
        <v>6</v>
      </c>
      <c r="AI1029" s="138">
        <v>9</v>
      </c>
      <c r="AK1029" s="136">
        <v>55.54</v>
      </c>
      <c r="AL1029" s="139">
        <v>14</v>
      </c>
      <c r="AM1029" s="138">
        <v>91</v>
      </c>
      <c r="AS1029" s="136">
        <v>55.46</v>
      </c>
      <c r="AT1029" s="139">
        <v>5</v>
      </c>
      <c r="AU1029" s="138">
        <v>5</v>
      </c>
      <c r="BA1029" s="136">
        <v>56.33</v>
      </c>
      <c r="BB1029" s="139">
        <v>4</v>
      </c>
      <c r="BC1029" s="138">
        <v>2</v>
      </c>
    </row>
    <row r="1030" spans="5:55" x14ac:dyDescent="0.3">
      <c r="E1030" s="152">
        <v>56.43</v>
      </c>
      <c r="F1030" s="153">
        <v>2</v>
      </c>
      <c r="G1030" s="155" t="s">
        <v>862</v>
      </c>
      <c r="M1030" s="136">
        <v>56.52</v>
      </c>
      <c r="N1030" s="139">
        <v>8</v>
      </c>
      <c r="O1030" s="138">
        <v>25</v>
      </c>
      <c r="U1030" s="136">
        <v>55.68</v>
      </c>
      <c r="V1030" s="139">
        <v>12</v>
      </c>
      <c r="W1030" s="138">
        <v>75</v>
      </c>
      <c r="Y1030" s="136">
        <v>55.46</v>
      </c>
      <c r="Z1030" s="139">
        <v>5</v>
      </c>
      <c r="AA1030" s="138">
        <v>5</v>
      </c>
      <c r="AC1030" s="136">
        <v>55.73</v>
      </c>
      <c r="AD1030" s="139">
        <v>15</v>
      </c>
      <c r="AE1030" s="138">
        <v>95</v>
      </c>
      <c r="AG1030" s="136">
        <v>55.75</v>
      </c>
      <c r="AH1030" s="137">
        <v>7</v>
      </c>
      <c r="AI1030" s="138">
        <v>16</v>
      </c>
      <c r="AK1030" s="136">
        <v>55.55</v>
      </c>
      <c r="AL1030" s="139">
        <v>15</v>
      </c>
      <c r="AM1030" s="138">
        <v>95</v>
      </c>
      <c r="AS1030" s="136">
        <v>55.47</v>
      </c>
      <c r="AT1030" s="139">
        <v>6</v>
      </c>
      <c r="AU1030" s="138">
        <v>9</v>
      </c>
      <c r="BA1030" s="136">
        <v>56.36</v>
      </c>
      <c r="BB1030" s="139">
        <v>5</v>
      </c>
      <c r="BC1030" s="138">
        <v>5</v>
      </c>
    </row>
    <row r="1031" spans="5:55" x14ac:dyDescent="0.3">
      <c r="E1031" s="152">
        <v>56.47</v>
      </c>
      <c r="F1031" s="153">
        <v>3</v>
      </c>
      <c r="G1031" s="155" t="s">
        <v>876</v>
      </c>
      <c r="M1031" s="136">
        <v>56.53</v>
      </c>
      <c r="N1031" s="139">
        <v>9</v>
      </c>
      <c r="O1031" s="138">
        <v>37</v>
      </c>
      <c r="U1031" s="136">
        <v>55.7</v>
      </c>
      <c r="V1031" s="139">
        <v>13</v>
      </c>
      <c r="W1031" s="138">
        <v>85</v>
      </c>
      <c r="Y1031" s="136">
        <v>55.48</v>
      </c>
      <c r="Z1031" s="139">
        <v>6</v>
      </c>
      <c r="AA1031" s="138">
        <v>9</v>
      </c>
      <c r="AC1031" s="136">
        <v>55.75</v>
      </c>
      <c r="AD1031" s="139">
        <v>16</v>
      </c>
      <c r="AE1031" s="138">
        <v>98</v>
      </c>
      <c r="AG1031" s="136">
        <v>55.76</v>
      </c>
      <c r="AH1031" s="137">
        <v>8</v>
      </c>
      <c r="AI1031" s="138">
        <v>25</v>
      </c>
      <c r="AK1031" s="136">
        <v>55.56</v>
      </c>
      <c r="AL1031" s="139">
        <v>16</v>
      </c>
      <c r="AM1031" s="138">
        <v>98</v>
      </c>
      <c r="AS1031" s="136">
        <v>55.48</v>
      </c>
      <c r="AT1031" s="139">
        <v>7</v>
      </c>
      <c r="AU1031" s="138">
        <v>16</v>
      </c>
      <c r="BA1031" s="136">
        <v>56.38</v>
      </c>
      <c r="BB1031" s="139">
        <v>6</v>
      </c>
      <c r="BC1031" s="138">
        <v>9</v>
      </c>
    </row>
    <row r="1032" spans="5:55" x14ac:dyDescent="0.3">
      <c r="E1032" s="152">
        <v>56.5</v>
      </c>
      <c r="F1032" s="153">
        <v>4</v>
      </c>
      <c r="G1032" s="155" t="s">
        <v>863</v>
      </c>
      <c r="M1032" s="136">
        <v>56.54</v>
      </c>
      <c r="N1032" s="139">
        <v>10</v>
      </c>
      <c r="O1032" s="138">
        <v>50</v>
      </c>
      <c r="U1032" s="136">
        <v>55.72</v>
      </c>
      <c r="V1032" s="139">
        <v>14</v>
      </c>
      <c r="W1032" s="138">
        <v>91</v>
      </c>
      <c r="Y1032" s="136">
        <v>55.49</v>
      </c>
      <c r="Z1032" s="139">
        <v>7</v>
      </c>
      <c r="AA1032" s="138">
        <v>16</v>
      </c>
      <c r="AC1032" s="136">
        <v>55.78</v>
      </c>
      <c r="AD1032" s="139">
        <v>17</v>
      </c>
      <c r="AE1032" s="138">
        <v>99</v>
      </c>
      <c r="AG1032" s="136">
        <v>55.77</v>
      </c>
      <c r="AH1032" s="137">
        <v>9</v>
      </c>
      <c r="AI1032" s="138">
        <v>37</v>
      </c>
      <c r="AK1032" s="136">
        <v>55.57</v>
      </c>
      <c r="AL1032" s="139">
        <v>17</v>
      </c>
      <c r="AM1032" s="138">
        <v>99</v>
      </c>
      <c r="AS1032" s="136">
        <v>55.49</v>
      </c>
      <c r="AT1032" s="139">
        <v>8</v>
      </c>
      <c r="AU1032" s="138">
        <v>25</v>
      </c>
      <c r="BA1032" s="136">
        <v>56.41</v>
      </c>
      <c r="BB1032" s="139">
        <v>7</v>
      </c>
      <c r="BC1032" s="138">
        <v>16</v>
      </c>
    </row>
    <row r="1033" spans="5:55" x14ac:dyDescent="0.3">
      <c r="E1033" s="152">
        <v>56.52</v>
      </c>
      <c r="F1033" s="153">
        <v>5</v>
      </c>
      <c r="G1033" s="155" t="s">
        <v>877</v>
      </c>
      <c r="M1033" s="136">
        <v>56.55</v>
      </c>
      <c r="N1033" s="139">
        <v>11</v>
      </c>
      <c r="O1033" s="138">
        <v>63</v>
      </c>
      <c r="U1033" s="136">
        <v>55.74</v>
      </c>
      <c r="V1033" s="139">
        <v>15</v>
      </c>
      <c r="W1033" s="138">
        <v>95</v>
      </c>
      <c r="Y1033" s="136">
        <v>55.51</v>
      </c>
      <c r="Z1033" s="139">
        <v>8</v>
      </c>
      <c r="AA1033" s="138">
        <v>25</v>
      </c>
      <c r="AC1033" s="136">
        <v>55.8</v>
      </c>
      <c r="AD1033" s="139">
        <v>18</v>
      </c>
      <c r="AE1033" s="138" t="s">
        <v>884</v>
      </c>
      <c r="AG1033" s="136">
        <v>55.78</v>
      </c>
      <c r="AH1033" s="137">
        <v>10</v>
      </c>
      <c r="AI1033" s="138">
        <v>50</v>
      </c>
      <c r="AK1033" s="136">
        <v>55.58</v>
      </c>
      <c r="AL1033" s="139">
        <v>18</v>
      </c>
      <c r="AM1033" s="138" t="s">
        <v>884</v>
      </c>
      <c r="AS1033" s="136">
        <v>55.5</v>
      </c>
      <c r="AT1033" s="139">
        <v>9</v>
      </c>
      <c r="AU1033" s="138">
        <v>37</v>
      </c>
      <c r="BA1033" s="136">
        <v>56.43</v>
      </c>
      <c r="BB1033" s="139">
        <v>8</v>
      </c>
      <c r="BC1033" s="138">
        <v>25</v>
      </c>
    </row>
    <row r="1034" spans="5:55" x14ac:dyDescent="0.3">
      <c r="E1034" s="152">
        <v>56.54</v>
      </c>
      <c r="F1034" s="153">
        <v>6</v>
      </c>
      <c r="G1034" s="155" t="s">
        <v>864</v>
      </c>
      <c r="M1034" s="136">
        <v>56.56</v>
      </c>
      <c r="N1034" s="139">
        <v>12</v>
      </c>
      <c r="O1034" s="138">
        <v>75</v>
      </c>
      <c r="U1034" s="136">
        <v>55.76</v>
      </c>
      <c r="V1034" s="139">
        <v>16</v>
      </c>
      <c r="W1034" s="138">
        <v>98</v>
      </c>
      <c r="Y1034" s="136">
        <v>55.52</v>
      </c>
      <c r="Z1034" s="139">
        <v>9</v>
      </c>
      <c r="AA1034" s="138">
        <v>37</v>
      </c>
      <c r="AC1034" s="136">
        <v>55.82</v>
      </c>
      <c r="AD1034" s="139">
        <v>19</v>
      </c>
      <c r="AE1034" s="138" t="s">
        <v>884</v>
      </c>
      <c r="AG1034" s="136">
        <v>55.79</v>
      </c>
      <c r="AH1034" s="137">
        <v>11</v>
      </c>
      <c r="AI1034" s="138">
        <v>63</v>
      </c>
      <c r="AK1034" s="136">
        <v>55.59</v>
      </c>
      <c r="AL1034" s="139">
        <v>19</v>
      </c>
      <c r="AM1034" s="138" t="s">
        <v>884</v>
      </c>
      <c r="AS1034" s="136">
        <v>55.51</v>
      </c>
      <c r="AT1034" s="139">
        <v>10</v>
      </c>
      <c r="AU1034" s="138">
        <v>50</v>
      </c>
      <c r="BA1034" s="136">
        <v>56.46</v>
      </c>
      <c r="BB1034" s="139">
        <v>9</v>
      </c>
      <c r="BC1034" s="138">
        <v>37</v>
      </c>
    </row>
    <row r="1035" spans="5:55" x14ac:dyDescent="0.3">
      <c r="E1035" s="152">
        <v>56.56</v>
      </c>
      <c r="F1035" s="153">
        <v>7</v>
      </c>
      <c r="G1035" s="155" t="s">
        <v>878</v>
      </c>
      <c r="M1035" s="136">
        <v>56.57</v>
      </c>
      <c r="N1035" s="139">
        <v>13</v>
      </c>
      <c r="O1035" s="138">
        <v>85</v>
      </c>
      <c r="U1035" s="136">
        <v>55.78</v>
      </c>
      <c r="V1035" s="139">
        <v>17</v>
      </c>
      <c r="W1035" s="138">
        <v>99</v>
      </c>
      <c r="Y1035" s="136">
        <v>55.54</v>
      </c>
      <c r="Z1035" s="139">
        <v>10</v>
      </c>
      <c r="AA1035" s="138">
        <v>50</v>
      </c>
      <c r="AC1035" s="136">
        <v>56</v>
      </c>
      <c r="AD1035" s="139">
        <v>1</v>
      </c>
      <c r="AE1035" s="138" t="s">
        <v>883</v>
      </c>
      <c r="AG1035" s="136">
        <v>55.81</v>
      </c>
      <c r="AH1035" s="137">
        <v>12</v>
      </c>
      <c r="AI1035" s="138">
        <v>75</v>
      </c>
      <c r="AK1035" s="136">
        <v>56</v>
      </c>
      <c r="AL1035" s="139">
        <v>1</v>
      </c>
      <c r="AM1035" s="138" t="s">
        <v>883</v>
      </c>
      <c r="AS1035" s="136">
        <v>55.52</v>
      </c>
      <c r="AT1035" s="139">
        <v>11</v>
      </c>
      <c r="AU1035" s="138">
        <v>63</v>
      </c>
      <c r="BA1035" s="136">
        <v>56.48</v>
      </c>
      <c r="BB1035" s="139">
        <v>10</v>
      </c>
      <c r="BC1035" s="138">
        <v>50</v>
      </c>
    </row>
    <row r="1036" spans="5:55" x14ac:dyDescent="0.3">
      <c r="E1036" s="152">
        <v>56.58</v>
      </c>
      <c r="F1036" s="153">
        <v>8</v>
      </c>
      <c r="G1036" s="155" t="s">
        <v>865</v>
      </c>
      <c r="M1036" s="136">
        <v>56.58</v>
      </c>
      <c r="N1036" s="139">
        <v>15</v>
      </c>
      <c r="O1036" s="138">
        <v>95</v>
      </c>
      <c r="U1036" s="136">
        <v>55.8</v>
      </c>
      <c r="V1036" s="139">
        <v>18</v>
      </c>
      <c r="W1036" s="138" t="s">
        <v>884</v>
      </c>
      <c r="Y1036" s="136">
        <v>55.55</v>
      </c>
      <c r="Z1036" s="139">
        <v>11</v>
      </c>
      <c r="AA1036" s="138">
        <v>63</v>
      </c>
      <c r="AC1036" s="136">
        <v>56.42</v>
      </c>
      <c r="AD1036" s="139">
        <v>2</v>
      </c>
      <c r="AE1036" s="138" t="s">
        <v>883</v>
      </c>
      <c r="AG1036" s="136">
        <v>55.82</v>
      </c>
      <c r="AH1036" s="137">
        <v>13</v>
      </c>
      <c r="AI1036" s="138">
        <v>85</v>
      </c>
      <c r="AK1036" s="136">
        <v>56.34</v>
      </c>
      <c r="AL1036" s="139">
        <v>2</v>
      </c>
      <c r="AM1036" s="138" t="s">
        <v>883</v>
      </c>
      <c r="AS1036" s="136">
        <v>55.53</v>
      </c>
      <c r="AT1036" s="139">
        <v>12</v>
      </c>
      <c r="AU1036" s="138">
        <v>75</v>
      </c>
      <c r="BA1036" s="136">
        <v>56.51</v>
      </c>
      <c r="BB1036" s="139">
        <v>11</v>
      </c>
      <c r="BC1036" s="138">
        <v>63</v>
      </c>
    </row>
    <row r="1037" spans="5:55" x14ac:dyDescent="0.3">
      <c r="E1037" s="152">
        <v>56.59</v>
      </c>
      <c r="F1037" s="153">
        <v>9</v>
      </c>
      <c r="G1037" s="155" t="s">
        <v>879</v>
      </c>
      <c r="M1037" s="136">
        <v>56.59</v>
      </c>
      <c r="N1037" s="139">
        <v>17</v>
      </c>
      <c r="O1037" s="138">
        <v>99</v>
      </c>
      <c r="U1037" s="136">
        <v>55.82</v>
      </c>
      <c r="V1037" s="139">
        <v>19</v>
      </c>
      <c r="W1037" s="138" t="s">
        <v>884</v>
      </c>
      <c r="Y1037" s="136">
        <v>55.57</v>
      </c>
      <c r="Z1037" s="139">
        <v>12</v>
      </c>
      <c r="AA1037" s="138">
        <v>75</v>
      </c>
      <c r="AC1037" s="136">
        <v>56.44</v>
      </c>
      <c r="AD1037" s="139">
        <v>3</v>
      </c>
      <c r="AE1037" s="138">
        <v>1</v>
      </c>
      <c r="AG1037" s="136">
        <v>55.83</v>
      </c>
      <c r="AH1037" s="137">
        <v>14</v>
      </c>
      <c r="AI1037" s="138">
        <v>91</v>
      </c>
      <c r="AK1037" s="136">
        <v>56.39</v>
      </c>
      <c r="AL1037" s="139">
        <v>3</v>
      </c>
      <c r="AM1037" s="138">
        <v>1</v>
      </c>
      <c r="AS1037" s="136">
        <v>55.54</v>
      </c>
      <c r="AT1037" s="139">
        <v>13</v>
      </c>
      <c r="AU1037" s="138">
        <v>85</v>
      </c>
      <c r="BA1037" s="136">
        <v>56.53</v>
      </c>
      <c r="BB1037" s="139">
        <v>12</v>
      </c>
      <c r="BC1037" s="138">
        <v>75</v>
      </c>
    </row>
    <row r="1038" spans="5:55" x14ac:dyDescent="0.3">
      <c r="E1038" s="152">
        <v>56.61</v>
      </c>
      <c r="F1038" s="153">
        <v>10</v>
      </c>
      <c r="G1038" s="155" t="s">
        <v>866</v>
      </c>
      <c r="M1038" s="136">
        <v>56.6</v>
      </c>
      <c r="N1038" s="139">
        <v>19</v>
      </c>
      <c r="O1038" s="138" t="s">
        <v>884</v>
      </c>
      <c r="U1038" s="136">
        <v>56</v>
      </c>
      <c r="V1038" s="139">
        <v>1</v>
      </c>
      <c r="W1038" s="138" t="s">
        <v>883</v>
      </c>
      <c r="Y1038" s="136">
        <v>55.59</v>
      </c>
      <c r="Z1038" s="139">
        <v>13</v>
      </c>
      <c r="AA1038" s="138">
        <v>85</v>
      </c>
      <c r="AC1038" s="136">
        <v>56.47</v>
      </c>
      <c r="AD1038" s="139">
        <v>4</v>
      </c>
      <c r="AE1038" s="138">
        <v>2</v>
      </c>
      <c r="AG1038" s="136">
        <v>55.84</v>
      </c>
      <c r="AH1038" s="137">
        <v>15</v>
      </c>
      <c r="AI1038" s="138">
        <v>95</v>
      </c>
      <c r="AK1038" s="136">
        <v>56.41</v>
      </c>
      <c r="AL1038" s="139">
        <v>4</v>
      </c>
      <c r="AM1038" s="138">
        <v>2</v>
      </c>
      <c r="AS1038" s="136">
        <v>55.55</v>
      </c>
      <c r="AT1038" s="139">
        <v>14</v>
      </c>
      <c r="AU1038" s="138">
        <v>91</v>
      </c>
      <c r="BA1038" s="136">
        <v>56.56</v>
      </c>
      <c r="BB1038" s="139">
        <v>13</v>
      </c>
      <c r="BC1038" s="138">
        <v>85</v>
      </c>
    </row>
    <row r="1039" spans="5:55" x14ac:dyDescent="0.3">
      <c r="E1039" s="152">
        <v>56.62</v>
      </c>
      <c r="F1039" s="153">
        <v>11</v>
      </c>
      <c r="G1039" s="155" t="s">
        <v>867</v>
      </c>
      <c r="M1039" s="136">
        <v>57</v>
      </c>
      <c r="N1039" s="139">
        <v>1</v>
      </c>
      <c r="O1039" s="138" t="s">
        <v>883</v>
      </c>
      <c r="U1039" s="136">
        <v>56.36</v>
      </c>
      <c r="V1039" s="139">
        <v>2</v>
      </c>
      <c r="W1039" s="138" t="s">
        <v>883</v>
      </c>
      <c r="Y1039" s="136">
        <v>55.6</v>
      </c>
      <c r="Z1039" s="139">
        <v>14</v>
      </c>
      <c r="AA1039" s="138">
        <v>91</v>
      </c>
      <c r="AC1039" s="136">
        <v>56.49</v>
      </c>
      <c r="AD1039" s="139">
        <v>5</v>
      </c>
      <c r="AE1039" s="138">
        <v>5</v>
      </c>
      <c r="AG1039" s="136">
        <v>55.85</v>
      </c>
      <c r="AH1039" s="137">
        <v>16</v>
      </c>
      <c r="AI1039" s="138">
        <v>98</v>
      </c>
      <c r="AK1039" s="136">
        <v>56.42</v>
      </c>
      <c r="AL1039" s="139">
        <v>5</v>
      </c>
      <c r="AM1039" s="138">
        <v>5</v>
      </c>
      <c r="AS1039" s="136">
        <v>55.56</v>
      </c>
      <c r="AT1039" s="139">
        <v>15</v>
      </c>
      <c r="AU1039" s="138">
        <v>95</v>
      </c>
      <c r="BA1039" s="136">
        <v>56.58</v>
      </c>
      <c r="BB1039" s="139">
        <v>14</v>
      </c>
      <c r="BC1039" s="138">
        <v>91</v>
      </c>
    </row>
    <row r="1040" spans="5:55" x14ac:dyDescent="0.3">
      <c r="E1040" s="152">
        <v>56.63</v>
      </c>
      <c r="F1040" s="153">
        <v>12</v>
      </c>
      <c r="G1040" s="155" t="s">
        <v>868</v>
      </c>
      <c r="M1040" s="136">
        <v>57.36</v>
      </c>
      <c r="N1040" s="139">
        <v>2</v>
      </c>
      <c r="O1040" s="138" t="s">
        <v>883</v>
      </c>
      <c r="U1040" s="136">
        <v>56.46</v>
      </c>
      <c r="V1040" s="139">
        <v>3</v>
      </c>
      <c r="W1040" s="138">
        <v>1</v>
      </c>
      <c r="Y1040" s="136">
        <v>55.62</v>
      </c>
      <c r="Z1040" s="139">
        <v>15</v>
      </c>
      <c r="AA1040" s="138">
        <v>95</v>
      </c>
      <c r="AC1040" s="136">
        <v>56.51</v>
      </c>
      <c r="AD1040" s="139">
        <v>6</v>
      </c>
      <c r="AE1040" s="138">
        <v>9</v>
      </c>
      <c r="AG1040" s="136">
        <v>55.86</v>
      </c>
      <c r="AH1040" s="137">
        <v>17</v>
      </c>
      <c r="AI1040" s="138">
        <v>99</v>
      </c>
      <c r="AK1040" s="136">
        <v>56.44</v>
      </c>
      <c r="AL1040" s="139">
        <v>6</v>
      </c>
      <c r="AM1040" s="138">
        <v>9</v>
      </c>
      <c r="AS1040" s="136">
        <v>55.57</v>
      </c>
      <c r="AT1040" s="139">
        <v>16</v>
      </c>
      <c r="AU1040" s="138">
        <v>98</v>
      </c>
      <c r="BA1040" s="136">
        <v>56.61</v>
      </c>
      <c r="BB1040" s="139">
        <v>15</v>
      </c>
      <c r="BC1040" s="138">
        <v>95</v>
      </c>
    </row>
    <row r="1041" spans="5:55" x14ac:dyDescent="0.3">
      <c r="E1041" s="152">
        <v>56.64</v>
      </c>
      <c r="F1041" s="153">
        <v>13</v>
      </c>
      <c r="G1041" s="155" t="s">
        <v>869</v>
      </c>
      <c r="M1041" s="136">
        <v>57.42</v>
      </c>
      <c r="N1041" s="139">
        <v>3</v>
      </c>
      <c r="O1041" s="138">
        <v>1</v>
      </c>
      <c r="U1041" s="136">
        <v>56.49</v>
      </c>
      <c r="V1041" s="139">
        <v>4</v>
      </c>
      <c r="W1041" s="138">
        <v>2</v>
      </c>
      <c r="Y1041" s="136">
        <v>55.64</v>
      </c>
      <c r="Z1041" s="139">
        <v>16</v>
      </c>
      <c r="AA1041" s="138">
        <v>98</v>
      </c>
      <c r="AC1041" s="136">
        <v>56.54</v>
      </c>
      <c r="AD1041" s="139">
        <v>7</v>
      </c>
      <c r="AE1041" s="138">
        <v>16</v>
      </c>
      <c r="AG1041" s="136">
        <v>55.87</v>
      </c>
      <c r="AH1041" s="137">
        <v>18</v>
      </c>
      <c r="AI1041" s="138" t="s">
        <v>884</v>
      </c>
      <c r="AK1041" s="136">
        <v>56.46</v>
      </c>
      <c r="AL1041" s="139">
        <v>7</v>
      </c>
      <c r="AM1041" s="138">
        <v>16</v>
      </c>
      <c r="AS1041" s="136">
        <v>55.58</v>
      </c>
      <c r="AT1041" s="139">
        <v>17</v>
      </c>
      <c r="AU1041" s="138">
        <v>99</v>
      </c>
      <c r="BA1041" s="136">
        <v>56.64</v>
      </c>
      <c r="BB1041" s="139">
        <v>16</v>
      </c>
      <c r="BC1041" s="138">
        <v>98</v>
      </c>
    </row>
    <row r="1042" spans="5:55" x14ac:dyDescent="0.3">
      <c r="E1042" s="152">
        <v>56.65</v>
      </c>
      <c r="F1042" s="153">
        <v>14</v>
      </c>
      <c r="G1042" s="155" t="s">
        <v>870</v>
      </c>
      <c r="M1042" s="136">
        <v>57.45</v>
      </c>
      <c r="N1042" s="139">
        <v>4</v>
      </c>
      <c r="O1042" s="138">
        <v>2</v>
      </c>
      <c r="U1042" s="136">
        <v>56.51</v>
      </c>
      <c r="V1042" s="139">
        <v>5</v>
      </c>
      <c r="W1042" s="138">
        <v>5</v>
      </c>
      <c r="Y1042" s="136">
        <v>55.65</v>
      </c>
      <c r="Z1042" s="139">
        <v>17</v>
      </c>
      <c r="AA1042" s="138">
        <v>99</v>
      </c>
      <c r="AC1042" s="136">
        <v>56.56</v>
      </c>
      <c r="AD1042" s="139">
        <v>8</v>
      </c>
      <c r="AE1042" s="138">
        <v>25</v>
      </c>
      <c r="AG1042" s="136">
        <v>55.88</v>
      </c>
      <c r="AH1042" s="137">
        <v>19</v>
      </c>
      <c r="AI1042" s="138" t="s">
        <v>884</v>
      </c>
      <c r="AK1042" s="136">
        <v>56.47</v>
      </c>
      <c r="AL1042" s="139">
        <v>8</v>
      </c>
      <c r="AM1042" s="138">
        <v>25</v>
      </c>
      <c r="AS1042" s="136">
        <v>55.59</v>
      </c>
      <c r="AT1042" s="139">
        <v>18</v>
      </c>
      <c r="AU1042" s="138" t="s">
        <v>884</v>
      </c>
      <c r="BA1042" s="136">
        <v>56.66</v>
      </c>
      <c r="BB1042" s="139">
        <v>17</v>
      </c>
      <c r="BC1042" s="138">
        <v>99</v>
      </c>
    </row>
    <row r="1043" spans="5:55" x14ac:dyDescent="0.3">
      <c r="E1043" s="152">
        <v>56.66</v>
      </c>
      <c r="F1043" s="153">
        <v>15</v>
      </c>
      <c r="G1043" s="155" t="s">
        <v>871</v>
      </c>
      <c r="M1043" s="136">
        <v>57.47</v>
      </c>
      <c r="N1043" s="139">
        <v>5</v>
      </c>
      <c r="O1043" s="138">
        <v>5</v>
      </c>
      <c r="U1043" s="136">
        <v>56.54</v>
      </c>
      <c r="V1043" s="139">
        <v>6</v>
      </c>
      <c r="W1043" s="138">
        <v>9</v>
      </c>
      <c r="Y1043" s="136">
        <v>55.67</v>
      </c>
      <c r="Z1043" s="139">
        <v>18</v>
      </c>
      <c r="AA1043" s="138" t="s">
        <v>884</v>
      </c>
      <c r="AC1043" s="136">
        <v>56.59</v>
      </c>
      <c r="AD1043" s="139">
        <v>9</v>
      </c>
      <c r="AE1043" s="138">
        <v>37</v>
      </c>
      <c r="AG1043" s="136">
        <v>56</v>
      </c>
      <c r="AH1043" s="137">
        <v>1</v>
      </c>
      <c r="AI1043" s="138" t="s">
        <v>883</v>
      </c>
      <c r="AK1043" s="136">
        <v>56.49</v>
      </c>
      <c r="AL1043" s="139">
        <v>9</v>
      </c>
      <c r="AM1043" s="138">
        <v>37</v>
      </c>
      <c r="AS1043" s="136">
        <v>55.6</v>
      </c>
      <c r="AT1043" s="139">
        <v>19</v>
      </c>
      <c r="AU1043" s="138" t="s">
        <v>884</v>
      </c>
      <c r="BA1043" s="136">
        <v>56.69</v>
      </c>
      <c r="BB1043" s="139">
        <v>18</v>
      </c>
      <c r="BC1043" s="138" t="s">
        <v>884</v>
      </c>
    </row>
    <row r="1044" spans="5:55" x14ac:dyDescent="0.3">
      <c r="E1044" s="152">
        <v>56.67</v>
      </c>
      <c r="F1044" s="153">
        <v>16</v>
      </c>
      <c r="G1044" s="155" t="s">
        <v>872</v>
      </c>
      <c r="M1044" s="136">
        <v>57.49</v>
      </c>
      <c r="N1044" s="139">
        <v>6</v>
      </c>
      <c r="O1044" s="138">
        <v>9</v>
      </c>
      <c r="U1044" s="136">
        <v>56.57</v>
      </c>
      <c r="V1044" s="139">
        <v>7</v>
      </c>
      <c r="W1044" s="138">
        <v>16</v>
      </c>
      <c r="Y1044" s="136">
        <v>55.68</v>
      </c>
      <c r="Z1044" s="139">
        <v>19</v>
      </c>
      <c r="AA1044" s="138" t="s">
        <v>884</v>
      </c>
      <c r="AC1044" s="136">
        <v>56.61</v>
      </c>
      <c r="AD1044" s="139">
        <v>10</v>
      </c>
      <c r="AE1044" s="138">
        <v>50</v>
      </c>
      <c r="AG1044" s="136">
        <v>56.62</v>
      </c>
      <c r="AH1044" s="137">
        <v>2</v>
      </c>
      <c r="AI1044" s="138" t="s">
        <v>883</v>
      </c>
      <c r="AK1044" s="136">
        <v>56.5</v>
      </c>
      <c r="AL1044" s="139">
        <v>10</v>
      </c>
      <c r="AM1044" s="138">
        <v>50</v>
      </c>
      <c r="AS1044" s="136">
        <v>56</v>
      </c>
      <c r="AT1044" s="139">
        <v>1</v>
      </c>
      <c r="AU1044" s="138" t="s">
        <v>883</v>
      </c>
      <c r="BA1044" s="136">
        <v>56.72</v>
      </c>
      <c r="BB1044" s="139">
        <v>19</v>
      </c>
      <c r="BC1044" s="138" t="s">
        <v>884</v>
      </c>
    </row>
    <row r="1045" spans="5:55" x14ac:dyDescent="0.3">
      <c r="E1045" s="152">
        <v>56.68</v>
      </c>
      <c r="F1045" s="153">
        <v>17</v>
      </c>
      <c r="G1045" s="155" t="s">
        <v>873</v>
      </c>
      <c r="M1045" s="136">
        <v>57.51</v>
      </c>
      <c r="N1045" s="139">
        <v>7</v>
      </c>
      <c r="O1045" s="138">
        <v>16</v>
      </c>
      <c r="U1045" s="136">
        <v>56.6</v>
      </c>
      <c r="V1045" s="139">
        <v>8</v>
      </c>
      <c r="W1045" s="138">
        <v>25</v>
      </c>
      <c r="Y1045" s="136">
        <v>56</v>
      </c>
      <c r="Z1045" s="139">
        <v>1</v>
      </c>
      <c r="AA1045" s="138" t="s">
        <v>883</v>
      </c>
      <c r="AC1045" s="136">
        <v>56.63</v>
      </c>
      <c r="AD1045" s="139">
        <v>11</v>
      </c>
      <c r="AE1045" s="138">
        <v>63</v>
      </c>
      <c r="AG1045" s="136">
        <v>56.67</v>
      </c>
      <c r="AH1045" s="137">
        <v>3</v>
      </c>
      <c r="AI1045" s="138">
        <v>1</v>
      </c>
      <c r="AK1045" s="136">
        <v>56.51</v>
      </c>
      <c r="AL1045" s="139">
        <v>11</v>
      </c>
      <c r="AM1045" s="138">
        <v>63</v>
      </c>
      <c r="AS1045" s="136">
        <v>56.42</v>
      </c>
      <c r="AT1045" s="139">
        <v>2</v>
      </c>
      <c r="AU1045" s="138" t="s">
        <v>883</v>
      </c>
      <c r="BA1045" s="136">
        <v>57</v>
      </c>
      <c r="BB1045" s="139">
        <v>1</v>
      </c>
      <c r="BC1045" s="138" t="s">
        <v>883</v>
      </c>
    </row>
    <row r="1046" spans="5:55" x14ac:dyDescent="0.3">
      <c r="E1046" s="152">
        <v>56.69</v>
      </c>
      <c r="F1046" s="153">
        <v>18</v>
      </c>
      <c r="G1046" s="155" t="s">
        <v>874</v>
      </c>
      <c r="M1046" s="136">
        <v>57.52</v>
      </c>
      <c r="N1046" s="139">
        <v>8</v>
      </c>
      <c r="O1046" s="138">
        <v>25</v>
      </c>
      <c r="U1046" s="136">
        <v>56.62</v>
      </c>
      <c r="V1046" s="139">
        <v>9</v>
      </c>
      <c r="W1046" s="138">
        <v>37</v>
      </c>
      <c r="Y1046" s="136">
        <v>56.39</v>
      </c>
      <c r="Z1046" s="139">
        <v>2</v>
      </c>
      <c r="AA1046" s="138" t="s">
        <v>883</v>
      </c>
      <c r="AC1046" s="136">
        <v>56.66</v>
      </c>
      <c r="AD1046" s="139">
        <v>12</v>
      </c>
      <c r="AE1046" s="138">
        <v>75</v>
      </c>
      <c r="AG1046" s="136">
        <v>56.7</v>
      </c>
      <c r="AH1046" s="137">
        <v>4</v>
      </c>
      <c r="AI1046" s="138">
        <v>2</v>
      </c>
      <c r="AK1046" s="136">
        <v>56.52</v>
      </c>
      <c r="AL1046" s="139">
        <v>12</v>
      </c>
      <c r="AM1046" s="138">
        <v>75</v>
      </c>
      <c r="AS1046" s="136">
        <v>56.44</v>
      </c>
      <c r="AT1046" s="139">
        <v>3</v>
      </c>
      <c r="AU1046" s="138">
        <v>1</v>
      </c>
      <c r="BA1046" s="136">
        <v>57.29</v>
      </c>
      <c r="BB1046" s="139">
        <v>2</v>
      </c>
      <c r="BC1046" s="138" t="s">
        <v>883</v>
      </c>
    </row>
    <row r="1047" spans="5:55" x14ac:dyDescent="0.3">
      <c r="E1047" s="152">
        <v>56.7</v>
      </c>
      <c r="F1047" s="153">
        <v>19</v>
      </c>
      <c r="G1047" s="155" t="s">
        <v>874</v>
      </c>
      <c r="M1047" s="136">
        <v>57.53</v>
      </c>
      <c r="N1047" s="139">
        <v>9</v>
      </c>
      <c r="O1047" s="138">
        <v>37</v>
      </c>
      <c r="U1047" s="136">
        <v>56.64</v>
      </c>
      <c r="V1047" s="139">
        <v>10</v>
      </c>
      <c r="W1047" s="138">
        <v>50</v>
      </c>
      <c r="Y1047" s="136">
        <v>56.42</v>
      </c>
      <c r="Z1047" s="139">
        <v>3</v>
      </c>
      <c r="AA1047" s="138">
        <v>1</v>
      </c>
      <c r="AC1047" s="136">
        <v>56.68</v>
      </c>
      <c r="AD1047" s="139">
        <v>13</v>
      </c>
      <c r="AE1047" s="138">
        <v>85</v>
      </c>
      <c r="AG1047" s="136">
        <v>56.72</v>
      </c>
      <c r="AH1047" s="137">
        <v>5</v>
      </c>
      <c r="AI1047" s="138">
        <v>5</v>
      </c>
      <c r="AK1047" s="136">
        <v>56.53</v>
      </c>
      <c r="AL1047" s="139">
        <v>13</v>
      </c>
      <c r="AM1047" s="138">
        <v>85</v>
      </c>
      <c r="AS1047" s="136">
        <v>56.45</v>
      </c>
      <c r="AT1047" s="139">
        <v>4</v>
      </c>
      <c r="AU1047" s="138">
        <v>2</v>
      </c>
      <c r="BA1047" s="136">
        <v>57.33</v>
      </c>
      <c r="BB1047" s="139">
        <v>3</v>
      </c>
      <c r="BC1047" s="138">
        <v>1</v>
      </c>
    </row>
    <row r="1048" spans="5:55" x14ac:dyDescent="0.3">
      <c r="E1048" s="152">
        <v>57</v>
      </c>
      <c r="F1048" s="153">
        <v>1</v>
      </c>
      <c r="G1048" s="155" t="s">
        <v>862</v>
      </c>
      <c r="M1048" s="136">
        <v>57.54</v>
      </c>
      <c r="N1048" s="139">
        <v>10</v>
      </c>
      <c r="O1048" s="138">
        <v>50</v>
      </c>
      <c r="U1048" s="136">
        <v>56.67</v>
      </c>
      <c r="V1048" s="139">
        <v>11</v>
      </c>
      <c r="W1048" s="138">
        <v>63</v>
      </c>
      <c r="Y1048" s="136">
        <v>56.45</v>
      </c>
      <c r="Z1048" s="139">
        <v>4</v>
      </c>
      <c r="AA1048" s="138">
        <v>2</v>
      </c>
      <c r="AC1048" s="136">
        <v>56.71</v>
      </c>
      <c r="AD1048" s="139">
        <v>14</v>
      </c>
      <c r="AE1048" s="138">
        <v>91</v>
      </c>
      <c r="AG1048" s="136">
        <v>56.73</v>
      </c>
      <c r="AH1048" s="137">
        <v>6</v>
      </c>
      <c r="AI1048" s="138">
        <v>9</v>
      </c>
      <c r="AK1048" s="136">
        <v>56.54</v>
      </c>
      <c r="AL1048" s="139">
        <v>14</v>
      </c>
      <c r="AM1048" s="138">
        <v>91</v>
      </c>
      <c r="AS1048" s="136">
        <v>56.46</v>
      </c>
      <c r="AT1048" s="139">
        <v>5</v>
      </c>
      <c r="AU1048" s="138">
        <v>5</v>
      </c>
      <c r="BA1048" s="136">
        <v>57.36</v>
      </c>
      <c r="BB1048" s="139">
        <v>4</v>
      </c>
      <c r="BC1048" s="138">
        <v>2</v>
      </c>
    </row>
    <row r="1049" spans="5:55" x14ac:dyDescent="0.3">
      <c r="E1049" s="152">
        <v>57.44</v>
      </c>
      <c r="F1049" s="153">
        <v>2</v>
      </c>
      <c r="G1049" s="155" t="s">
        <v>862</v>
      </c>
      <c r="M1049" s="136">
        <v>57.55</v>
      </c>
      <c r="N1049" s="139">
        <v>11</v>
      </c>
      <c r="O1049" s="138">
        <v>63</v>
      </c>
      <c r="U1049" s="136">
        <v>56.68</v>
      </c>
      <c r="V1049" s="139">
        <v>12</v>
      </c>
      <c r="W1049" s="138">
        <v>75</v>
      </c>
      <c r="Y1049" s="136">
        <v>56.46</v>
      </c>
      <c r="Z1049" s="139">
        <v>5</v>
      </c>
      <c r="AA1049" s="138">
        <v>5</v>
      </c>
      <c r="AC1049" s="136">
        <v>56.73</v>
      </c>
      <c r="AD1049" s="139">
        <v>15</v>
      </c>
      <c r="AE1049" s="138">
        <v>95</v>
      </c>
      <c r="AG1049" s="136">
        <v>56.75</v>
      </c>
      <c r="AH1049" s="137">
        <v>7</v>
      </c>
      <c r="AI1049" s="138">
        <v>16</v>
      </c>
      <c r="AK1049" s="136">
        <v>56.55</v>
      </c>
      <c r="AL1049" s="139">
        <v>15</v>
      </c>
      <c r="AM1049" s="138">
        <v>95</v>
      </c>
      <c r="AS1049" s="136">
        <v>56.47</v>
      </c>
      <c r="AT1049" s="139">
        <v>6</v>
      </c>
      <c r="AU1049" s="138">
        <v>9</v>
      </c>
      <c r="BA1049" s="136">
        <v>57.38</v>
      </c>
      <c r="BB1049" s="139">
        <v>5</v>
      </c>
      <c r="BC1049" s="138">
        <v>5</v>
      </c>
    </row>
    <row r="1050" spans="5:55" x14ac:dyDescent="0.3">
      <c r="E1050" s="152">
        <v>57.48</v>
      </c>
      <c r="F1050" s="153">
        <v>3</v>
      </c>
      <c r="G1050" s="155" t="s">
        <v>876</v>
      </c>
      <c r="M1050" s="136">
        <v>57.56</v>
      </c>
      <c r="N1050" s="139">
        <v>12</v>
      </c>
      <c r="O1050" s="138">
        <v>75</v>
      </c>
      <c r="U1050" s="136">
        <v>56.7</v>
      </c>
      <c r="V1050" s="139">
        <v>13</v>
      </c>
      <c r="W1050" s="138">
        <v>85</v>
      </c>
      <c r="Y1050" s="136">
        <v>56.48</v>
      </c>
      <c r="Z1050" s="139">
        <v>6</v>
      </c>
      <c r="AA1050" s="138">
        <v>9</v>
      </c>
      <c r="AC1050" s="136">
        <v>56.75</v>
      </c>
      <c r="AD1050" s="139">
        <v>16</v>
      </c>
      <c r="AE1050" s="138">
        <v>98</v>
      </c>
      <c r="AG1050" s="136">
        <v>56.76</v>
      </c>
      <c r="AH1050" s="137">
        <v>8</v>
      </c>
      <c r="AI1050" s="138">
        <v>25</v>
      </c>
      <c r="AK1050" s="136">
        <v>56.56</v>
      </c>
      <c r="AL1050" s="139">
        <v>16</v>
      </c>
      <c r="AM1050" s="138">
        <v>98</v>
      </c>
      <c r="AS1050" s="136">
        <v>56.48</v>
      </c>
      <c r="AT1050" s="139">
        <v>7</v>
      </c>
      <c r="AU1050" s="138">
        <v>16</v>
      </c>
      <c r="BA1050" s="136">
        <v>57.43</v>
      </c>
      <c r="BB1050" s="139">
        <v>6</v>
      </c>
      <c r="BC1050" s="138">
        <v>9</v>
      </c>
    </row>
    <row r="1051" spans="5:55" x14ac:dyDescent="0.3">
      <c r="E1051" s="152">
        <v>57.5</v>
      </c>
      <c r="F1051" s="153">
        <v>4</v>
      </c>
      <c r="G1051" s="155" t="s">
        <v>863</v>
      </c>
      <c r="M1051" s="136">
        <v>57.57</v>
      </c>
      <c r="N1051" s="139">
        <v>13</v>
      </c>
      <c r="O1051" s="138">
        <v>85</v>
      </c>
      <c r="U1051" s="136">
        <v>56.72</v>
      </c>
      <c r="V1051" s="139">
        <v>14</v>
      </c>
      <c r="W1051" s="138">
        <v>91</v>
      </c>
      <c r="Y1051" s="136">
        <v>56.49</v>
      </c>
      <c r="Z1051" s="139">
        <v>7</v>
      </c>
      <c r="AA1051" s="138">
        <v>16</v>
      </c>
      <c r="AC1051" s="136">
        <v>56.78</v>
      </c>
      <c r="AD1051" s="139">
        <v>17</v>
      </c>
      <c r="AE1051" s="138">
        <v>99</v>
      </c>
      <c r="AG1051" s="136">
        <v>56.77</v>
      </c>
      <c r="AH1051" s="137">
        <v>9</v>
      </c>
      <c r="AI1051" s="138">
        <v>37</v>
      </c>
      <c r="AK1051" s="136">
        <v>56.57</v>
      </c>
      <c r="AL1051" s="139">
        <v>17</v>
      </c>
      <c r="AM1051" s="138">
        <v>99</v>
      </c>
      <c r="AS1051" s="136">
        <v>56.49</v>
      </c>
      <c r="AT1051" s="139">
        <v>8</v>
      </c>
      <c r="AU1051" s="138">
        <v>25</v>
      </c>
      <c r="BA1051" s="136">
        <v>57.45</v>
      </c>
      <c r="BB1051" s="139">
        <v>7</v>
      </c>
      <c r="BC1051" s="138">
        <v>16</v>
      </c>
    </row>
    <row r="1052" spans="5:55" x14ac:dyDescent="0.3">
      <c r="E1052" s="152">
        <v>57.52</v>
      </c>
      <c r="F1052" s="153">
        <v>5</v>
      </c>
      <c r="G1052" s="155" t="s">
        <v>877</v>
      </c>
      <c r="M1052" s="136">
        <v>57.58</v>
      </c>
      <c r="N1052" s="139">
        <v>15</v>
      </c>
      <c r="O1052" s="138">
        <v>95</v>
      </c>
      <c r="U1052" s="136">
        <v>56.74</v>
      </c>
      <c r="V1052" s="139">
        <v>15</v>
      </c>
      <c r="W1052" s="138">
        <v>95</v>
      </c>
      <c r="Y1052" s="136">
        <v>56.51</v>
      </c>
      <c r="Z1052" s="139">
        <v>8</v>
      </c>
      <c r="AA1052" s="138">
        <v>25</v>
      </c>
      <c r="AC1052" s="136">
        <v>56.8</v>
      </c>
      <c r="AD1052" s="139">
        <v>18</v>
      </c>
      <c r="AE1052" s="138" t="s">
        <v>884</v>
      </c>
      <c r="AG1052" s="136">
        <v>56.78</v>
      </c>
      <c r="AH1052" s="137">
        <v>10</v>
      </c>
      <c r="AI1052" s="138">
        <v>50</v>
      </c>
      <c r="AK1052" s="136">
        <v>56.58</v>
      </c>
      <c r="AL1052" s="139">
        <v>18</v>
      </c>
      <c r="AM1052" s="138" t="s">
        <v>884</v>
      </c>
      <c r="AS1052" s="136">
        <v>56.5</v>
      </c>
      <c r="AT1052" s="139">
        <v>9</v>
      </c>
      <c r="AU1052" s="138">
        <v>37</v>
      </c>
      <c r="BA1052" s="136">
        <v>57.48</v>
      </c>
      <c r="BB1052" s="139">
        <v>8</v>
      </c>
      <c r="BC1052" s="138">
        <v>25</v>
      </c>
    </row>
    <row r="1053" spans="5:55" x14ac:dyDescent="0.3">
      <c r="E1053" s="152">
        <v>57.54</v>
      </c>
      <c r="F1053" s="153">
        <v>6</v>
      </c>
      <c r="G1053" s="155" t="s">
        <v>864</v>
      </c>
      <c r="M1053" s="136">
        <v>57.59</v>
      </c>
      <c r="N1053" s="139">
        <v>17</v>
      </c>
      <c r="O1053" s="138">
        <v>99</v>
      </c>
      <c r="U1053" s="136">
        <v>56.76</v>
      </c>
      <c r="V1053" s="139">
        <v>16</v>
      </c>
      <c r="W1053" s="138">
        <v>98</v>
      </c>
      <c r="Y1053" s="136">
        <v>56.52</v>
      </c>
      <c r="Z1053" s="139">
        <v>9</v>
      </c>
      <c r="AA1053" s="138">
        <v>37</v>
      </c>
      <c r="AC1053" s="136">
        <v>56.82</v>
      </c>
      <c r="AD1053" s="139">
        <v>19</v>
      </c>
      <c r="AE1053" s="138" t="s">
        <v>884</v>
      </c>
      <c r="AG1053" s="136">
        <v>56.79</v>
      </c>
      <c r="AH1053" s="137">
        <v>11</v>
      </c>
      <c r="AI1053" s="138">
        <v>63</v>
      </c>
      <c r="AK1053" s="136">
        <v>56.59</v>
      </c>
      <c r="AL1053" s="139">
        <v>19</v>
      </c>
      <c r="AM1053" s="138" t="s">
        <v>884</v>
      </c>
      <c r="AS1053" s="136">
        <v>56.51</v>
      </c>
      <c r="AT1053" s="139">
        <v>10</v>
      </c>
      <c r="AU1053" s="138">
        <v>50</v>
      </c>
      <c r="BA1053" s="136">
        <v>57.5</v>
      </c>
      <c r="BB1053" s="139">
        <v>9</v>
      </c>
      <c r="BC1053" s="138">
        <v>37</v>
      </c>
    </row>
    <row r="1054" spans="5:55" x14ac:dyDescent="0.3">
      <c r="E1054" s="152">
        <v>57.56</v>
      </c>
      <c r="F1054" s="153">
        <v>7</v>
      </c>
      <c r="G1054" s="155" t="s">
        <v>878</v>
      </c>
      <c r="M1054" s="136">
        <v>57.6</v>
      </c>
      <c r="N1054" s="139">
        <v>19</v>
      </c>
      <c r="O1054" s="138" t="s">
        <v>884</v>
      </c>
      <c r="U1054" s="136">
        <v>56.78</v>
      </c>
      <c r="V1054" s="139">
        <v>17</v>
      </c>
      <c r="W1054" s="138">
        <v>99</v>
      </c>
      <c r="Y1054" s="136">
        <v>56.54</v>
      </c>
      <c r="Z1054" s="139">
        <v>10</v>
      </c>
      <c r="AA1054" s="138">
        <v>50</v>
      </c>
      <c r="AC1054" s="136">
        <v>57</v>
      </c>
      <c r="AD1054" s="139">
        <v>1</v>
      </c>
      <c r="AE1054" s="138" t="s">
        <v>883</v>
      </c>
      <c r="AG1054" s="136">
        <v>56.81</v>
      </c>
      <c r="AH1054" s="137">
        <v>12</v>
      </c>
      <c r="AI1054" s="138">
        <v>75</v>
      </c>
      <c r="AK1054" s="136">
        <v>57</v>
      </c>
      <c r="AL1054" s="139">
        <v>1</v>
      </c>
      <c r="AM1054" s="138" t="s">
        <v>883</v>
      </c>
      <c r="AS1054" s="136">
        <v>56.52</v>
      </c>
      <c r="AT1054" s="139">
        <v>11</v>
      </c>
      <c r="AU1054" s="138">
        <v>63</v>
      </c>
      <c r="BA1054" s="136">
        <v>57.52</v>
      </c>
      <c r="BB1054" s="139">
        <v>10</v>
      </c>
      <c r="BC1054" s="138">
        <v>50</v>
      </c>
    </row>
    <row r="1055" spans="5:55" x14ac:dyDescent="0.3">
      <c r="E1055" s="152">
        <v>57.58</v>
      </c>
      <c r="F1055" s="153">
        <v>8</v>
      </c>
      <c r="G1055" s="155" t="s">
        <v>865</v>
      </c>
      <c r="M1055" s="136">
        <v>58</v>
      </c>
      <c r="N1055" s="139">
        <v>1</v>
      </c>
      <c r="O1055" s="138" t="s">
        <v>883</v>
      </c>
      <c r="U1055" s="136">
        <v>56.8</v>
      </c>
      <c r="V1055" s="139">
        <v>18</v>
      </c>
      <c r="W1055" s="138" t="s">
        <v>884</v>
      </c>
      <c r="Y1055" s="136">
        <v>56.55</v>
      </c>
      <c r="Z1055" s="139">
        <v>11</v>
      </c>
      <c r="AA1055" s="138">
        <v>63</v>
      </c>
      <c r="AC1055" s="136">
        <v>57.42</v>
      </c>
      <c r="AD1055" s="139">
        <v>2</v>
      </c>
      <c r="AE1055" s="138" t="s">
        <v>883</v>
      </c>
      <c r="AG1055" s="136">
        <v>56.82</v>
      </c>
      <c r="AH1055" s="137">
        <v>13</v>
      </c>
      <c r="AI1055" s="138">
        <v>85</v>
      </c>
      <c r="AK1055" s="136">
        <v>57.26</v>
      </c>
      <c r="AL1055" s="139">
        <v>2</v>
      </c>
      <c r="AM1055" s="138" t="s">
        <v>883</v>
      </c>
      <c r="AS1055" s="136">
        <v>56.53</v>
      </c>
      <c r="AT1055" s="139">
        <v>12</v>
      </c>
      <c r="AU1055" s="138">
        <v>75</v>
      </c>
      <c r="BA1055" s="136">
        <v>57.54</v>
      </c>
      <c r="BB1055" s="139">
        <v>11</v>
      </c>
      <c r="BC1055" s="138">
        <v>63</v>
      </c>
    </row>
    <row r="1056" spans="5:55" x14ac:dyDescent="0.3">
      <c r="E1056" s="152">
        <v>57.59</v>
      </c>
      <c r="F1056" s="153">
        <v>9</v>
      </c>
      <c r="G1056" s="155" t="s">
        <v>879</v>
      </c>
      <c r="M1056" s="136">
        <v>58.36</v>
      </c>
      <c r="N1056" s="139">
        <v>2</v>
      </c>
      <c r="O1056" s="138" t="s">
        <v>883</v>
      </c>
      <c r="U1056" s="136">
        <v>56.82</v>
      </c>
      <c r="V1056" s="139">
        <v>19</v>
      </c>
      <c r="W1056" s="138" t="s">
        <v>884</v>
      </c>
      <c r="Y1056" s="136">
        <v>56.57</v>
      </c>
      <c r="Z1056" s="139">
        <v>12</v>
      </c>
      <c r="AA1056" s="138">
        <v>75</v>
      </c>
      <c r="AC1056" s="136">
        <v>57.45</v>
      </c>
      <c r="AD1056" s="139">
        <v>3</v>
      </c>
      <c r="AE1056" s="138">
        <v>1</v>
      </c>
      <c r="AG1056" s="136">
        <v>56.83</v>
      </c>
      <c r="AH1056" s="137">
        <v>14</v>
      </c>
      <c r="AI1056" s="138">
        <v>91</v>
      </c>
      <c r="AK1056" s="136">
        <v>57.4</v>
      </c>
      <c r="AL1056" s="139">
        <v>3</v>
      </c>
      <c r="AM1056" s="138">
        <v>1</v>
      </c>
      <c r="AS1056" s="136">
        <v>56.54</v>
      </c>
      <c r="AT1056" s="139">
        <v>13</v>
      </c>
      <c r="AU1056" s="138">
        <v>85</v>
      </c>
      <c r="BA1056" s="136">
        <v>57.56</v>
      </c>
      <c r="BB1056" s="139">
        <v>12</v>
      </c>
      <c r="BC1056" s="138">
        <v>75</v>
      </c>
    </row>
    <row r="1057" spans="5:55" x14ac:dyDescent="0.3">
      <c r="E1057" s="152">
        <v>57.61</v>
      </c>
      <c r="F1057" s="153">
        <v>10</v>
      </c>
      <c r="G1057" s="155" t="s">
        <v>866</v>
      </c>
      <c r="M1057" s="136">
        <v>58.42</v>
      </c>
      <c r="N1057" s="139">
        <v>3</v>
      </c>
      <c r="O1057" s="138">
        <v>1</v>
      </c>
      <c r="U1057" s="136">
        <v>57</v>
      </c>
      <c r="V1057" s="139">
        <v>1</v>
      </c>
      <c r="W1057" s="138" t="s">
        <v>883</v>
      </c>
      <c r="Y1057" s="136">
        <v>56.59</v>
      </c>
      <c r="Z1057" s="139">
        <v>13</v>
      </c>
      <c r="AA1057" s="138">
        <v>85</v>
      </c>
      <c r="AC1057" s="136">
        <v>57.47</v>
      </c>
      <c r="AD1057" s="139">
        <v>4</v>
      </c>
      <c r="AE1057" s="138">
        <v>2</v>
      </c>
      <c r="AG1057" s="136">
        <v>56.84</v>
      </c>
      <c r="AH1057" s="137">
        <v>15</v>
      </c>
      <c r="AI1057" s="138">
        <v>95</v>
      </c>
      <c r="AK1057" s="136">
        <v>57.42</v>
      </c>
      <c r="AL1057" s="139">
        <v>4</v>
      </c>
      <c r="AM1057" s="138">
        <v>2</v>
      </c>
      <c r="AS1057" s="136">
        <v>56.55</v>
      </c>
      <c r="AT1057" s="139">
        <v>14</v>
      </c>
      <c r="AU1057" s="138">
        <v>91</v>
      </c>
      <c r="BA1057" s="136">
        <v>57.58</v>
      </c>
      <c r="BB1057" s="139">
        <v>13</v>
      </c>
      <c r="BC1057" s="138">
        <v>85</v>
      </c>
    </row>
    <row r="1058" spans="5:55" x14ac:dyDescent="0.3">
      <c r="E1058" s="152">
        <v>57.62</v>
      </c>
      <c r="F1058" s="153">
        <v>11</v>
      </c>
      <c r="G1058" s="155" t="s">
        <v>867</v>
      </c>
      <c r="M1058" s="136">
        <v>58.45</v>
      </c>
      <c r="N1058" s="139">
        <v>4</v>
      </c>
      <c r="O1058" s="138">
        <v>2</v>
      </c>
      <c r="U1058" s="136">
        <v>57.38</v>
      </c>
      <c r="V1058" s="139">
        <v>2</v>
      </c>
      <c r="W1058" s="138" t="s">
        <v>883</v>
      </c>
      <c r="Y1058" s="136">
        <v>56.6</v>
      </c>
      <c r="Z1058" s="139">
        <v>14</v>
      </c>
      <c r="AA1058" s="138">
        <v>91</v>
      </c>
      <c r="AC1058" s="136">
        <v>57.5</v>
      </c>
      <c r="AD1058" s="139">
        <v>5</v>
      </c>
      <c r="AE1058" s="138">
        <v>5</v>
      </c>
      <c r="AG1058" s="136">
        <v>56.85</v>
      </c>
      <c r="AH1058" s="137">
        <v>16</v>
      </c>
      <c r="AI1058" s="138">
        <v>98</v>
      </c>
      <c r="AK1058" s="136">
        <v>57.44</v>
      </c>
      <c r="AL1058" s="139">
        <v>5</v>
      </c>
      <c r="AM1058" s="138">
        <v>5</v>
      </c>
      <c r="AS1058" s="136">
        <v>56.56</v>
      </c>
      <c r="AT1058" s="139">
        <v>15</v>
      </c>
      <c r="AU1058" s="138">
        <v>95</v>
      </c>
      <c r="BA1058" s="136">
        <v>57.61</v>
      </c>
      <c r="BB1058" s="139">
        <v>14</v>
      </c>
      <c r="BC1058" s="138">
        <v>91</v>
      </c>
    </row>
    <row r="1059" spans="5:55" x14ac:dyDescent="0.3">
      <c r="E1059" s="152">
        <v>57.63</v>
      </c>
      <c r="F1059" s="153">
        <v>12</v>
      </c>
      <c r="G1059" s="155" t="s">
        <v>868</v>
      </c>
      <c r="M1059" s="136">
        <v>58.47</v>
      </c>
      <c r="N1059" s="139">
        <v>5</v>
      </c>
      <c r="O1059" s="138">
        <v>5</v>
      </c>
      <c r="U1059" s="136">
        <v>57.46</v>
      </c>
      <c r="V1059" s="139">
        <v>3</v>
      </c>
      <c r="W1059" s="138">
        <v>1</v>
      </c>
      <c r="Y1059" s="136">
        <v>56.62</v>
      </c>
      <c r="Z1059" s="139">
        <v>15</v>
      </c>
      <c r="AA1059" s="138">
        <v>95</v>
      </c>
      <c r="AC1059" s="136">
        <v>57.52</v>
      </c>
      <c r="AD1059" s="139">
        <v>6</v>
      </c>
      <c r="AE1059" s="138">
        <v>9</v>
      </c>
      <c r="AG1059" s="136">
        <v>56.86</v>
      </c>
      <c r="AH1059" s="137">
        <v>17</v>
      </c>
      <c r="AI1059" s="138">
        <v>99</v>
      </c>
      <c r="AK1059" s="136">
        <v>57.46</v>
      </c>
      <c r="AL1059" s="139">
        <v>6</v>
      </c>
      <c r="AM1059" s="138">
        <v>9</v>
      </c>
      <c r="AS1059" s="136">
        <v>56.57</v>
      </c>
      <c r="AT1059" s="139">
        <v>16</v>
      </c>
      <c r="AU1059" s="138">
        <v>98</v>
      </c>
      <c r="BA1059" s="136">
        <v>57.64</v>
      </c>
      <c r="BB1059" s="139">
        <v>15</v>
      </c>
      <c r="BC1059" s="138">
        <v>95</v>
      </c>
    </row>
    <row r="1060" spans="5:55" x14ac:dyDescent="0.3">
      <c r="E1060" s="152">
        <v>57.64</v>
      </c>
      <c r="F1060" s="153">
        <v>13</v>
      </c>
      <c r="G1060" s="155" t="s">
        <v>869</v>
      </c>
      <c r="M1060" s="136">
        <v>58.49</v>
      </c>
      <c r="N1060" s="139">
        <v>6</v>
      </c>
      <c r="O1060" s="138">
        <v>9</v>
      </c>
      <c r="U1060" s="136">
        <v>57.49</v>
      </c>
      <c r="V1060" s="139">
        <v>4</v>
      </c>
      <c r="W1060" s="138">
        <v>2</v>
      </c>
      <c r="Y1060" s="136">
        <v>56.64</v>
      </c>
      <c r="Z1060" s="139">
        <v>16</v>
      </c>
      <c r="AA1060" s="138">
        <v>98</v>
      </c>
      <c r="AC1060" s="136">
        <v>57.55</v>
      </c>
      <c r="AD1060" s="139">
        <v>7</v>
      </c>
      <c r="AE1060" s="138">
        <v>16</v>
      </c>
      <c r="AG1060" s="136">
        <v>56.87</v>
      </c>
      <c r="AH1060" s="137">
        <v>18</v>
      </c>
      <c r="AI1060" s="138" t="s">
        <v>884</v>
      </c>
      <c r="AK1060" s="136">
        <v>57.48</v>
      </c>
      <c r="AL1060" s="139">
        <v>7</v>
      </c>
      <c r="AM1060" s="138">
        <v>16</v>
      </c>
      <c r="AS1060" s="136">
        <v>56.58</v>
      </c>
      <c r="AT1060" s="139">
        <v>17</v>
      </c>
      <c r="AU1060" s="138">
        <v>99</v>
      </c>
      <c r="BA1060" s="136">
        <v>57.66</v>
      </c>
      <c r="BB1060" s="139">
        <v>16</v>
      </c>
      <c r="BC1060" s="138">
        <v>98</v>
      </c>
    </row>
    <row r="1061" spans="5:55" x14ac:dyDescent="0.3">
      <c r="E1061" s="152">
        <v>57.65</v>
      </c>
      <c r="F1061" s="153">
        <v>14</v>
      </c>
      <c r="G1061" s="155" t="s">
        <v>870</v>
      </c>
      <c r="M1061" s="136">
        <v>58.51</v>
      </c>
      <c r="N1061" s="139">
        <v>7</v>
      </c>
      <c r="O1061" s="138">
        <v>16</v>
      </c>
      <c r="U1061" s="136">
        <v>57.52</v>
      </c>
      <c r="V1061" s="139">
        <v>5</v>
      </c>
      <c r="W1061" s="138">
        <v>5</v>
      </c>
      <c r="Y1061" s="136">
        <v>56.65</v>
      </c>
      <c r="Z1061" s="139">
        <v>17</v>
      </c>
      <c r="AA1061" s="138">
        <v>99</v>
      </c>
      <c r="AC1061" s="136">
        <v>57.58</v>
      </c>
      <c r="AD1061" s="139">
        <v>8</v>
      </c>
      <c r="AE1061" s="138">
        <v>25</v>
      </c>
      <c r="AG1061" s="136">
        <v>56.88</v>
      </c>
      <c r="AH1061" s="137">
        <v>19</v>
      </c>
      <c r="AI1061" s="138" t="s">
        <v>884</v>
      </c>
      <c r="AK1061" s="136">
        <v>57.49</v>
      </c>
      <c r="AL1061" s="139">
        <v>8</v>
      </c>
      <c r="AM1061" s="138">
        <v>25</v>
      </c>
      <c r="AS1061" s="136">
        <v>56.59</v>
      </c>
      <c r="AT1061" s="139">
        <v>18</v>
      </c>
      <c r="AU1061" s="168" t="s">
        <v>874</v>
      </c>
      <c r="BA1061" s="136">
        <v>57.69</v>
      </c>
      <c r="BB1061" s="139">
        <v>17</v>
      </c>
      <c r="BC1061" s="138">
        <v>99</v>
      </c>
    </row>
    <row r="1062" spans="5:55" x14ac:dyDescent="0.3">
      <c r="E1062" s="152">
        <v>57.66</v>
      </c>
      <c r="F1062" s="153">
        <v>15</v>
      </c>
      <c r="G1062" s="155" t="s">
        <v>871</v>
      </c>
      <c r="M1062" s="136">
        <v>58.52</v>
      </c>
      <c r="N1062" s="139">
        <v>8</v>
      </c>
      <c r="O1062" s="138">
        <v>25</v>
      </c>
      <c r="U1062" s="136">
        <v>57.55</v>
      </c>
      <c r="V1062" s="139">
        <v>6</v>
      </c>
      <c r="W1062" s="138">
        <v>9</v>
      </c>
      <c r="Y1062" s="136">
        <v>56.67</v>
      </c>
      <c r="Z1062" s="139">
        <v>18</v>
      </c>
      <c r="AA1062" s="138" t="s">
        <v>884</v>
      </c>
      <c r="AC1062" s="136">
        <v>57.6</v>
      </c>
      <c r="AD1062" s="139">
        <v>9</v>
      </c>
      <c r="AE1062" s="138">
        <v>37</v>
      </c>
      <c r="AG1062" s="136">
        <v>57</v>
      </c>
      <c r="AH1062" s="137">
        <v>1</v>
      </c>
      <c r="AI1062" s="138" t="s">
        <v>883</v>
      </c>
      <c r="AK1062" s="136">
        <v>57.5</v>
      </c>
      <c r="AL1062" s="139">
        <v>9</v>
      </c>
      <c r="AM1062" s="138">
        <v>37</v>
      </c>
      <c r="AS1062" s="136">
        <v>56.6</v>
      </c>
      <c r="AT1062" s="139">
        <v>19</v>
      </c>
      <c r="AU1062" s="168" t="s">
        <v>874</v>
      </c>
      <c r="BA1062" s="136">
        <v>57.71</v>
      </c>
      <c r="BB1062" s="139">
        <v>18</v>
      </c>
      <c r="BC1062" s="138" t="s">
        <v>884</v>
      </c>
    </row>
    <row r="1063" spans="5:55" x14ac:dyDescent="0.3">
      <c r="E1063" s="152">
        <v>57.67</v>
      </c>
      <c r="F1063" s="153">
        <v>16</v>
      </c>
      <c r="G1063" s="155" t="s">
        <v>872</v>
      </c>
      <c r="M1063" s="136">
        <v>58.53</v>
      </c>
      <c r="N1063" s="139">
        <v>9</v>
      </c>
      <c r="O1063" s="138">
        <v>37</v>
      </c>
      <c r="U1063" s="136">
        <v>57.58</v>
      </c>
      <c r="V1063" s="139">
        <v>7</v>
      </c>
      <c r="W1063" s="138">
        <v>16</v>
      </c>
      <c r="Y1063" s="136">
        <v>56.68</v>
      </c>
      <c r="Z1063" s="139">
        <v>19</v>
      </c>
      <c r="AA1063" s="138" t="s">
        <v>884</v>
      </c>
      <c r="AC1063" s="136">
        <v>57.62</v>
      </c>
      <c r="AD1063" s="139">
        <v>10</v>
      </c>
      <c r="AE1063" s="138">
        <v>50</v>
      </c>
      <c r="AG1063" s="136">
        <v>57.63</v>
      </c>
      <c r="AH1063" s="137">
        <v>2</v>
      </c>
      <c r="AI1063" s="138" t="s">
        <v>883</v>
      </c>
      <c r="AK1063" s="136">
        <v>57.52</v>
      </c>
      <c r="AL1063" s="139">
        <v>10</v>
      </c>
      <c r="AM1063" s="138">
        <v>50</v>
      </c>
      <c r="AS1063" s="136">
        <v>57</v>
      </c>
      <c r="AT1063" s="139">
        <v>1</v>
      </c>
      <c r="AU1063" s="138" t="s">
        <v>883</v>
      </c>
      <c r="BA1063" s="136">
        <v>57.74</v>
      </c>
      <c r="BB1063" s="139">
        <v>19</v>
      </c>
      <c r="BC1063" s="138" t="s">
        <v>884</v>
      </c>
    </row>
    <row r="1064" spans="5:55" x14ac:dyDescent="0.3">
      <c r="E1064" s="152">
        <v>57.68</v>
      </c>
      <c r="F1064" s="153">
        <v>17</v>
      </c>
      <c r="G1064" s="155" t="s">
        <v>873</v>
      </c>
      <c r="M1064" s="136">
        <v>58.54</v>
      </c>
      <c r="N1064" s="139">
        <v>10</v>
      </c>
      <c r="O1064" s="138">
        <v>50</v>
      </c>
      <c r="U1064" s="136">
        <v>57.61</v>
      </c>
      <c r="V1064" s="139">
        <v>8</v>
      </c>
      <c r="W1064" s="138">
        <v>25</v>
      </c>
      <c r="Y1064" s="136">
        <v>57</v>
      </c>
      <c r="Z1064" s="139">
        <v>1</v>
      </c>
      <c r="AA1064" s="138" t="s">
        <v>883</v>
      </c>
      <c r="AC1064" s="136">
        <v>57.64</v>
      </c>
      <c r="AD1064" s="139">
        <v>11</v>
      </c>
      <c r="AE1064" s="138">
        <v>63</v>
      </c>
      <c r="AG1064" s="136">
        <v>57.67</v>
      </c>
      <c r="AH1064" s="137">
        <v>3</v>
      </c>
      <c r="AI1064" s="138">
        <v>1</v>
      </c>
      <c r="AK1064" s="136">
        <v>57.53</v>
      </c>
      <c r="AL1064" s="139">
        <v>11</v>
      </c>
      <c r="AM1064" s="138">
        <v>63</v>
      </c>
      <c r="AS1064" s="136">
        <v>57.42</v>
      </c>
      <c r="AT1064" s="139">
        <v>2</v>
      </c>
      <c r="AU1064" s="138" t="s">
        <v>883</v>
      </c>
      <c r="BA1064" s="136">
        <v>58</v>
      </c>
      <c r="BB1064" s="139">
        <v>1</v>
      </c>
      <c r="BC1064" s="138" t="s">
        <v>883</v>
      </c>
    </row>
    <row r="1065" spans="5:55" x14ac:dyDescent="0.3">
      <c r="E1065" s="152">
        <v>57.69</v>
      </c>
      <c r="F1065" s="153">
        <v>18</v>
      </c>
      <c r="G1065" s="155" t="s">
        <v>874</v>
      </c>
      <c r="M1065" s="136">
        <v>58.55</v>
      </c>
      <c r="N1065" s="139">
        <v>11</v>
      </c>
      <c r="O1065" s="138">
        <v>63</v>
      </c>
      <c r="U1065" s="136">
        <v>57.64</v>
      </c>
      <c r="V1065" s="139">
        <v>9</v>
      </c>
      <c r="W1065" s="138">
        <v>37</v>
      </c>
      <c r="Y1065" s="136">
        <v>57.41</v>
      </c>
      <c r="Z1065" s="139">
        <v>2</v>
      </c>
      <c r="AA1065" s="138" t="s">
        <v>883</v>
      </c>
      <c r="AC1065" s="136">
        <v>57.66</v>
      </c>
      <c r="AD1065" s="139">
        <v>12</v>
      </c>
      <c r="AE1065" s="138">
        <v>75</v>
      </c>
      <c r="AG1065" s="136">
        <v>57.7</v>
      </c>
      <c r="AH1065" s="137">
        <v>4</v>
      </c>
      <c r="AI1065" s="138">
        <v>2</v>
      </c>
      <c r="AK1065" s="136">
        <v>57.54</v>
      </c>
      <c r="AL1065" s="139">
        <v>12</v>
      </c>
      <c r="AM1065" s="138">
        <v>75</v>
      </c>
      <c r="AS1065" s="136">
        <v>57.44</v>
      </c>
      <c r="AT1065" s="139">
        <v>3</v>
      </c>
      <c r="AU1065" s="138">
        <v>1</v>
      </c>
      <c r="BA1065" s="136">
        <v>58.29</v>
      </c>
      <c r="BB1065" s="139">
        <v>2</v>
      </c>
      <c r="BC1065" s="138" t="s">
        <v>883</v>
      </c>
    </row>
    <row r="1066" spans="5:55" x14ac:dyDescent="0.3">
      <c r="E1066" s="152">
        <v>57.7</v>
      </c>
      <c r="F1066" s="153">
        <v>19</v>
      </c>
      <c r="G1066" s="155" t="s">
        <v>874</v>
      </c>
      <c r="M1066" s="136">
        <v>58.56</v>
      </c>
      <c r="N1066" s="139">
        <v>12</v>
      </c>
      <c r="O1066" s="138">
        <v>75</v>
      </c>
      <c r="U1066" s="136">
        <v>57.67</v>
      </c>
      <c r="V1066" s="139">
        <v>10</v>
      </c>
      <c r="W1066" s="138">
        <v>50</v>
      </c>
      <c r="Y1066" s="136">
        <v>57.45</v>
      </c>
      <c r="Z1066" s="139">
        <v>3</v>
      </c>
      <c r="AA1066" s="138">
        <v>1</v>
      </c>
      <c r="AC1066" s="136">
        <v>57.68</v>
      </c>
      <c r="AD1066" s="139">
        <v>13</v>
      </c>
      <c r="AE1066" s="138">
        <v>85</v>
      </c>
      <c r="AG1066" s="136">
        <v>57.72</v>
      </c>
      <c r="AH1066" s="137">
        <v>5</v>
      </c>
      <c r="AI1066" s="138">
        <v>5</v>
      </c>
      <c r="AK1066" s="136">
        <v>57.55</v>
      </c>
      <c r="AL1066" s="139">
        <v>13</v>
      </c>
      <c r="AM1066" s="138">
        <v>85</v>
      </c>
      <c r="AS1066" s="136">
        <v>57.45</v>
      </c>
      <c r="AT1066" s="139">
        <v>4</v>
      </c>
      <c r="AU1066" s="138">
        <v>2</v>
      </c>
      <c r="BA1066" s="136">
        <v>58.33</v>
      </c>
      <c r="BB1066" s="139">
        <v>3</v>
      </c>
      <c r="BC1066" s="138">
        <v>1</v>
      </c>
    </row>
    <row r="1067" spans="5:55" x14ac:dyDescent="0.3">
      <c r="E1067" s="152">
        <v>58</v>
      </c>
      <c r="F1067" s="153">
        <v>1</v>
      </c>
      <c r="G1067" s="155" t="s">
        <v>862</v>
      </c>
      <c r="M1067" s="136">
        <v>58.57</v>
      </c>
      <c r="N1067" s="139">
        <v>13</v>
      </c>
      <c r="O1067" s="138">
        <v>85</v>
      </c>
      <c r="U1067" s="136">
        <v>57.68</v>
      </c>
      <c r="V1067" s="139">
        <v>11</v>
      </c>
      <c r="W1067" s="138">
        <v>63</v>
      </c>
      <c r="Y1067" s="136">
        <v>57.46</v>
      </c>
      <c r="Z1067" s="139">
        <v>4</v>
      </c>
      <c r="AA1067" s="138">
        <v>2</v>
      </c>
      <c r="AC1067" s="136">
        <v>57.71</v>
      </c>
      <c r="AD1067" s="139">
        <v>14</v>
      </c>
      <c r="AE1067" s="138">
        <v>91</v>
      </c>
      <c r="AG1067" s="136">
        <v>57.74</v>
      </c>
      <c r="AH1067" s="137">
        <v>6</v>
      </c>
      <c r="AI1067" s="138">
        <v>9</v>
      </c>
      <c r="AK1067" s="136">
        <v>57.56</v>
      </c>
      <c r="AL1067" s="139">
        <v>14</v>
      </c>
      <c r="AM1067" s="138">
        <v>91</v>
      </c>
      <c r="AS1067" s="136">
        <v>57.46</v>
      </c>
      <c r="AT1067" s="139">
        <v>5</v>
      </c>
      <c r="AU1067" s="138">
        <v>5</v>
      </c>
      <c r="BA1067" s="136">
        <v>58.36</v>
      </c>
      <c r="BB1067" s="139">
        <v>4</v>
      </c>
      <c r="BC1067" s="138">
        <v>2</v>
      </c>
    </row>
    <row r="1068" spans="5:55" x14ac:dyDescent="0.3">
      <c r="E1068" s="152">
        <v>58.44</v>
      </c>
      <c r="F1068" s="153">
        <v>2</v>
      </c>
      <c r="G1068" s="155" t="s">
        <v>862</v>
      </c>
      <c r="M1068" s="136">
        <v>58.58</v>
      </c>
      <c r="N1068" s="139">
        <v>15</v>
      </c>
      <c r="O1068" s="138">
        <v>95</v>
      </c>
      <c r="U1068" s="136">
        <v>57.7</v>
      </c>
      <c r="V1068" s="139">
        <v>12</v>
      </c>
      <c r="W1068" s="138">
        <v>75</v>
      </c>
      <c r="Y1068" s="136">
        <v>57.48</v>
      </c>
      <c r="Z1068" s="139">
        <v>5</v>
      </c>
      <c r="AA1068" s="138">
        <v>5</v>
      </c>
      <c r="AC1068" s="136">
        <v>57.73</v>
      </c>
      <c r="AD1068" s="139">
        <v>15</v>
      </c>
      <c r="AE1068" s="138">
        <v>95</v>
      </c>
      <c r="AG1068" s="136">
        <v>57.75</v>
      </c>
      <c r="AH1068" s="137">
        <v>7</v>
      </c>
      <c r="AI1068" s="138">
        <v>16</v>
      </c>
      <c r="AK1068" s="136">
        <v>57.57</v>
      </c>
      <c r="AL1068" s="139">
        <v>16</v>
      </c>
      <c r="AM1068" s="138">
        <v>98</v>
      </c>
      <c r="AS1068" s="136">
        <v>57.47</v>
      </c>
      <c r="AT1068" s="139">
        <v>6</v>
      </c>
      <c r="AU1068" s="138">
        <v>9</v>
      </c>
      <c r="BA1068" s="136">
        <v>58.38</v>
      </c>
      <c r="BB1068" s="139">
        <v>5</v>
      </c>
      <c r="BC1068" s="138">
        <v>5</v>
      </c>
    </row>
    <row r="1069" spans="5:55" x14ac:dyDescent="0.3">
      <c r="E1069" s="152">
        <v>58.48</v>
      </c>
      <c r="F1069" s="153">
        <v>3</v>
      </c>
      <c r="G1069" s="155" t="s">
        <v>876</v>
      </c>
      <c r="M1069" s="136">
        <v>58.59</v>
      </c>
      <c r="N1069" s="139">
        <v>17</v>
      </c>
      <c r="O1069" s="138">
        <v>99</v>
      </c>
      <c r="U1069" s="136">
        <v>57.72</v>
      </c>
      <c r="V1069" s="139">
        <v>13</v>
      </c>
      <c r="W1069" s="138">
        <v>85</v>
      </c>
      <c r="Y1069" s="136">
        <v>57.49</v>
      </c>
      <c r="Z1069" s="139">
        <v>6</v>
      </c>
      <c r="AA1069" s="138">
        <v>9</v>
      </c>
      <c r="AC1069" s="136">
        <v>57.75</v>
      </c>
      <c r="AD1069" s="139">
        <v>16</v>
      </c>
      <c r="AE1069" s="138">
        <v>98</v>
      </c>
      <c r="AG1069" s="136">
        <v>57.77</v>
      </c>
      <c r="AH1069" s="137">
        <v>8</v>
      </c>
      <c r="AI1069" s="138">
        <v>25</v>
      </c>
      <c r="AK1069" s="136">
        <v>57.58</v>
      </c>
      <c r="AL1069" s="139">
        <v>17</v>
      </c>
      <c r="AM1069" s="138">
        <v>99</v>
      </c>
      <c r="AS1069" s="136">
        <v>57.48</v>
      </c>
      <c r="AT1069" s="139">
        <v>7</v>
      </c>
      <c r="AU1069" s="138">
        <v>16</v>
      </c>
      <c r="BA1069" s="136">
        <v>58.43</v>
      </c>
      <c r="BB1069" s="139">
        <v>6</v>
      </c>
      <c r="BC1069" s="138">
        <v>9</v>
      </c>
    </row>
    <row r="1070" spans="5:55" x14ac:dyDescent="0.3">
      <c r="E1070" s="152">
        <v>58.5</v>
      </c>
      <c r="F1070" s="153">
        <v>4</v>
      </c>
      <c r="G1070" s="155" t="s">
        <v>863</v>
      </c>
      <c r="M1070" s="136">
        <v>58.6</v>
      </c>
      <c r="N1070" s="139">
        <v>19</v>
      </c>
      <c r="O1070" s="138" t="s">
        <v>884</v>
      </c>
      <c r="U1070" s="136">
        <v>57.74</v>
      </c>
      <c r="V1070" s="139">
        <v>14</v>
      </c>
      <c r="W1070" s="138">
        <v>91</v>
      </c>
      <c r="Y1070" s="136">
        <v>57.51</v>
      </c>
      <c r="Z1070" s="139">
        <v>7</v>
      </c>
      <c r="AA1070" s="138">
        <v>16</v>
      </c>
      <c r="AC1070" s="136">
        <v>57.78</v>
      </c>
      <c r="AD1070" s="139">
        <v>17</v>
      </c>
      <c r="AE1070" s="138">
        <v>99</v>
      </c>
      <c r="AG1070" s="136">
        <v>57.78</v>
      </c>
      <c r="AH1070" s="137">
        <v>9</v>
      </c>
      <c r="AI1070" s="138">
        <v>37</v>
      </c>
      <c r="AK1070" s="136">
        <v>57.59</v>
      </c>
      <c r="AL1070" s="139">
        <v>18</v>
      </c>
      <c r="AM1070" s="138" t="s">
        <v>884</v>
      </c>
      <c r="AS1070" s="136">
        <v>57.49</v>
      </c>
      <c r="AT1070" s="139">
        <v>8</v>
      </c>
      <c r="AU1070" s="138">
        <v>25</v>
      </c>
      <c r="BA1070" s="136">
        <v>58.45</v>
      </c>
      <c r="BB1070" s="139">
        <v>7</v>
      </c>
      <c r="BC1070" s="138">
        <v>16</v>
      </c>
    </row>
    <row r="1071" spans="5:55" x14ac:dyDescent="0.3">
      <c r="E1071" s="152">
        <v>58.52</v>
      </c>
      <c r="F1071" s="153">
        <v>5</v>
      </c>
      <c r="G1071" s="155" t="s">
        <v>877</v>
      </c>
      <c r="M1071" s="136">
        <v>59</v>
      </c>
      <c r="N1071" s="139">
        <v>1</v>
      </c>
      <c r="O1071" s="138" t="s">
        <v>883</v>
      </c>
      <c r="U1071" s="136">
        <v>57.76</v>
      </c>
      <c r="V1071" s="139">
        <v>15</v>
      </c>
      <c r="W1071" s="138">
        <v>95</v>
      </c>
      <c r="Y1071" s="136">
        <v>57.52</v>
      </c>
      <c r="Z1071" s="139">
        <v>8</v>
      </c>
      <c r="AA1071" s="138">
        <v>25</v>
      </c>
      <c r="AC1071" s="136">
        <v>57.8</v>
      </c>
      <c r="AD1071" s="139">
        <v>18</v>
      </c>
      <c r="AE1071" s="138" t="s">
        <v>884</v>
      </c>
      <c r="AG1071" s="136">
        <v>57.79</v>
      </c>
      <c r="AH1071" s="137">
        <v>10</v>
      </c>
      <c r="AI1071" s="138">
        <v>50</v>
      </c>
      <c r="AK1071" s="136">
        <v>57.6</v>
      </c>
      <c r="AL1071" s="139">
        <v>19</v>
      </c>
      <c r="AM1071" s="138" t="s">
        <v>884</v>
      </c>
      <c r="AS1071" s="136">
        <v>57.5</v>
      </c>
      <c r="AT1071" s="139">
        <v>9</v>
      </c>
      <c r="AU1071" s="138">
        <v>37</v>
      </c>
      <c r="BA1071" s="136">
        <v>58.48</v>
      </c>
      <c r="BB1071" s="139">
        <v>8</v>
      </c>
      <c r="BC1071" s="138">
        <v>25</v>
      </c>
    </row>
    <row r="1072" spans="5:55" x14ac:dyDescent="0.3">
      <c r="E1072" s="152">
        <v>58.54</v>
      </c>
      <c r="F1072" s="153">
        <v>6</v>
      </c>
      <c r="G1072" s="155" t="s">
        <v>864</v>
      </c>
      <c r="M1072" s="136">
        <v>59.36</v>
      </c>
      <c r="N1072" s="139">
        <v>2</v>
      </c>
      <c r="O1072" s="138" t="s">
        <v>883</v>
      </c>
      <c r="U1072" s="136">
        <v>57.77</v>
      </c>
      <c r="V1072" s="139">
        <v>16</v>
      </c>
      <c r="W1072" s="138">
        <v>98</v>
      </c>
      <c r="Y1072" s="136">
        <v>57.54</v>
      </c>
      <c r="Z1072" s="139">
        <v>9</v>
      </c>
      <c r="AA1072" s="138">
        <v>37</v>
      </c>
      <c r="AC1072" s="136">
        <v>57.82</v>
      </c>
      <c r="AD1072" s="139">
        <v>19</v>
      </c>
      <c r="AE1072" s="138" t="s">
        <v>884</v>
      </c>
      <c r="AG1072" s="136">
        <v>57.8</v>
      </c>
      <c r="AH1072" s="137">
        <v>11</v>
      </c>
      <c r="AI1072" s="138">
        <v>63</v>
      </c>
      <c r="AK1072" s="136">
        <v>58</v>
      </c>
      <c r="AL1072" s="139">
        <v>1</v>
      </c>
      <c r="AM1072" s="138" t="s">
        <v>883</v>
      </c>
      <c r="AS1072" s="136">
        <v>57.51</v>
      </c>
      <c r="AT1072" s="139">
        <v>10</v>
      </c>
      <c r="AU1072" s="138">
        <v>50</v>
      </c>
      <c r="BA1072" s="136">
        <v>58.5</v>
      </c>
      <c r="BB1072" s="139">
        <v>9</v>
      </c>
      <c r="BC1072" s="138">
        <v>37</v>
      </c>
    </row>
    <row r="1073" spans="5:55" x14ac:dyDescent="0.3">
      <c r="E1073" s="152">
        <v>58.56</v>
      </c>
      <c r="F1073" s="153">
        <v>7</v>
      </c>
      <c r="G1073" s="155" t="s">
        <v>878</v>
      </c>
      <c r="M1073" s="136">
        <v>59.42</v>
      </c>
      <c r="N1073" s="139">
        <v>3</v>
      </c>
      <c r="O1073" s="138">
        <v>1</v>
      </c>
      <c r="U1073" s="136">
        <v>57.79</v>
      </c>
      <c r="V1073" s="139">
        <v>17</v>
      </c>
      <c r="W1073" s="138">
        <v>99</v>
      </c>
      <c r="Y1073" s="136">
        <v>57.55</v>
      </c>
      <c r="Z1073" s="139">
        <v>10</v>
      </c>
      <c r="AA1073" s="138">
        <v>50</v>
      </c>
      <c r="AC1073" s="136">
        <v>58</v>
      </c>
      <c r="AD1073" s="139">
        <v>1</v>
      </c>
      <c r="AE1073" s="138" t="s">
        <v>883</v>
      </c>
      <c r="AG1073" s="136">
        <v>57.82</v>
      </c>
      <c r="AH1073" s="137">
        <v>12</v>
      </c>
      <c r="AI1073" s="138">
        <v>75</v>
      </c>
      <c r="AK1073" s="136">
        <v>58.36</v>
      </c>
      <c r="AL1073" s="139">
        <v>2</v>
      </c>
      <c r="AM1073" s="138" t="s">
        <v>883</v>
      </c>
      <c r="AS1073" s="136">
        <v>57.52</v>
      </c>
      <c r="AT1073" s="139">
        <v>11</v>
      </c>
      <c r="AU1073" s="138">
        <v>63</v>
      </c>
      <c r="BA1073" s="136">
        <v>58.52</v>
      </c>
      <c r="BB1073" s="139">
        <v>10</v>
      </c>
      <c r="BC1073" s="138">
        <v>50</v>
      </c>
    </row>
    <row r="1074" spans="5:55" x14ac:dyDescent="0.3">
      <c r="E1074" s="152">
        <v>58.58</v>
      </c>
      <c r="F1074" s="153">
        <v>8</v>
      </c>
      <c r="G1074" s="155" t="s">
        <v>865</v>
      </c>
      <c r="M1074" s="136">
        <v>59.45</v>
      </c>
      <c r="N1074" s="139">
        <v>4</v>
      </c>
      <c r="O1074" s="138">
        <v>2</v>
      </c>
      <c r="U1074" s="136">
        <v>57.81</v>
      </c>
      <c r="V1074" s="139">
        <v>18</v>
      </c>
      <c r="W1074" s="138" t="s">
        <v>884</v>
      </c>
      <c r="Y1074" s="136">
        <v>57.57</v>
      </c>
      <c r="Z1074" s="139">
        <v>11</v>
      </c>
      <c r="AA1074" s="138">
        <v>63</v>
      </c>
      <c r="AC1074" s="136">
        <v>58.43</v>
      </c>
      <c r="AD1074" s="139">
        <v>2</v>
      </c>
      <c r="AE1074" s="138" t="s">
        <v>883</v>
      </c>
      <c r="AG1074" s="136">
        <v>57.83</v>
      </c>
      <c r="AH1074" s="137">
        <v>13</v>
      </c>
      <c r="AI1074" s="138">
        <v>85</v>
      </c>
      <c r="AK1074" s="136">
        <v>58.4</v>
      </c>
      <c r="AL1074" s="139">
        <v>3</v>
      </c>
      <c r="AM1074" s="138">
        <v>1</v>
      </c>
      <c r="AS1074" s="136">
        <v>57.53</v>
      </c>
      <c r="AT1074" s="139">
        <v>12</v>
      </c>
      <c r="AU1074" s="138">
        <v>75</v>
      </c>
      <c r="BA1074" s="136">
        <v>58.54</v>
      </c>
      <c r="BB1074" s="139">
        <v>11</v>
      </c>
      <c r="BC1074" s="138">
        <v>63</v>
      </c>
    </row>
    <row r="1075" spans="5:55" x14ac:dyDescent="0.3">
      <c r="E1075" s="152">
        <v>58.59</v>
      </c>
      <c r="F1075" s="153">
        <v>9</v>
      </c>
      <c r="G1075" s="155" t="s">
        <v>879</v>
      </c>
      <c r="M1075" s="136">
        <v>59.47</v>
      </c>
      <c r="N1075" s="139">
        <v>5</v>
      </c>
      <c r="O1075" s="138">
        <v>5</v>
      </c>
      <c r="U1075" s="136">
        <v>57.83</v>
      </c>
      <c r="V1075" s="139">
        <v>19</v>
      </c>
      <c r="W1075" s="138" t="s">
        <v>884</v>
      </c>
      <c r="Y1075" s="136">
        <v>57.58</v>
      </c>
      <c r="Z1075" s="139">
        <v>12</v>
      </c>
      <c r="AA1075" s="138">
        <v>75</v>
      </c>
      <c r="AC1075" s="136">
        <v>58.45</v>
      </c>
      <c r="AD1075" s="139">
        <v>3</v>
      </c>
      <c r="AE1075" s="138">
        <v>1</v>
      </c>
      <c r="AG1075" s="136">
        <v>57.84</v>
      </c>
      <c r="AH1075" s="137">
        <v>14</v>
      </c>
      <c r="AI1075" s="138">
        <v>91</v>
      </c>
      <c r="AK1075" s="136">
        <v>58.42</v>
      </c>
      <c r="AL1075" s="139">
        <v>4</v>
      </c>
      <c r="AM1075" s="138">
        <v>2</v>
      </c>
      <c r="AS1075" s="136">
        <v>57.54</v>
      </c>
      <c r="AT1075" s="139">
        <v>13</v>
      </c>
      <c r="AU1075" s="138">
        <v>85</v>
      </c>
      <c r="BA1075" s="136">
        <v>58.56</v>
      </c>
      <c r="BB1075" s="139">
        <v>12</v>
      </c>
      <c r="BC1075" s="138">
        <v>75</v>
      </c>
    </row>
    <row r="1076" spans="5:55" x14ac:dyDescent="0.3">
      <c r="E1076" s="152">
        <v>58.61</v>
      </c>
      <c r="F1076" s="153">
        <v>10</v>
      </c>
      <c r="G1076" s="155" t="s">
        <v>866</v>
      </c>
      <c r="M1076" s="136">
        <v>59.49</v>
      </c>
      <c r="N1076" s="139">
        <v>6</v>
      </c>
      <c r="O1076" s="138">
        <v>9</v>
      </c>
      <c r="U1076" s="136">
        <v>58</v>
      </c>
      <c r="V1076" s="139">
        <v>1</v>
      </c>
      <c r="W1076" s="138" t="s">
        <v>883</v>
      </c>
      <c r="Y1076" s="136">
        <v>57.6</v>
      </c>
      <c r="Z1076" s="139">
        <v>13</v>
      </c>
      <c r="AA1076" s="138">
        <v>85</v>
      </c>
      <c r="AC1076" s="136">
        <v>58.47</v>
      </c>
      <c r="AD1076" s="139">
        <v>4</v>
      </c>
      <c r="AE1076" s="138">
        <v>2</v>
      </c>
      <c r="AG1076" s="136">
        <v>57.85</v>
      </c>
      <c r="AH1076" s="137">
        <v>15</v>
      </c>
      <c r="AI1076" s="138">
        <v>95</v>
      </c>
      <c r="AK1076" s="136">
        <v>58.44</v>
      </c>
      <c r="AL1076" s="139">
        <v>5</v>
      </c>
      <c r="AM1076" s="138">
        <v>5</v>
      </c>
      <c r="AS1076" s="136">
        <v>57.55</v>
      </c>
      <c r="AT1076" s="139">
        <v>14</v>
      </c>
      <c r="AU1076" s="138">
        <v>91</v>
      </c>
      <c r="BA1076" s="136">
        <v>58.58</v>
      </c>
      <c r="BB1076" s="139">
        <v>13</v>
      </c>
      <c r="BC1076" s="138">
        <v>85</v>
      </c>
    </row>
    <row r="1077" spans="5:55" x14ac:dyDescent="0.3">
      <c r="E1077" s="152">
        <v>58.62</v>
      </c>
      <c r="F1077" s="153">
        <v>11</v>
      </c>
      <c r="G1077" s="155" t="s">
        <v>867</v>
      </c>
      <c r="M1077" s="136">
        <v>59.51</v>
      </c>
      <c r="N1077" s="139">
        <v>7</v>
      </c>
      <c r="O1077" s="138">
        <v>16</v>
      </c>
      <c r="U1077" s="136">
        <v>58.38</v>
      </c>
      <c r="V1077" s="139">
        <v>2</v>
      </c>
      <c r="W1077" s="138" t="s">
        <v>883</v>
      </c>
      <c r="Y1077" s="136">
        <v>57.61</v>
      </c>
      <c r="Z1077" s="139">
        <v>14</v>
      </c>
      <c r="AA1077" s="138">
        <v>91</v>
      </c>
      <c r="AC1077" s="136">
        <v>58.5</v>
      </c>
      <c r="AD1077" s="139">
        <v>5</v>
      </c>
      <c r="AE1077" s="138">
        <v>5</v>
      </c>
      <c r="AG1077" s="136">
        <v>57.86</v>
      </c>
      <c r="AH1077" s="137">
        <v>16</v>
      </c>
      <c r="AI1077" s="138">
        <v>98</v>
      </c>
      <c r="AK1077" s="136">
        <v>58.46</v>
      </c>
      <c r="AL1077" s="139">
        <v>6</v>
      </c>
      <c r="AM1077" s="138">
        <v>9</v>
      </c>
      <c r="AS1077" s="136">
        <v>57.56</v>
      </c>
      <c r="AT1077" s="139">
        <v>15</v>
      </c>
      <c r="AU1077" s="138">
        <v>95</v>
      </c>
      <c r="BA1077" s="136">
        <v>58.61</v>
      </c>
      <c r="BB1077" s="139">
        <v>14</v>
      </c>
      <c r="BC1077" s="138">
        <v>91</v>
      </c>
    </row>
    <row r="1078" spans="5:55" x14ac:dyDescent="0.3">
      <c r="E1078" s="152">
        <v>58.63</v>
      </c>
      <c r="F1078" s="153">
        <v>12</v>
      </c>
      <c r="G1078" s="155" t="s">
        <v>868</v>
      </c>
      <c r="M1078" s="136">
        <v>59.52</v>
      </c>
      <c r="N1078" s="139">
        <v>8</v>
      </c>
      <c r="O1078" s="138">
        <v>25</v>
      </c>
      <c r="U1078" s="136">
        <v>58.46</v>
      </c>
      <c r="V1078" s="139">
        <v>3</v>
      </c>
      <c r="W1078" s="138">
        <v>1</v>
      </c>
      <c r="Y1078" s="136">
        <v>57.63</v>
      </c>
      <c r="Z1078" s="139">
        <v>15</v>
      </c>
      <c r="AA1078" s="138">
        <v>95</v>
      </c>
      <c r="AC1078" s="136">
        <v>58.52</v>
      </c>
      <c r="AD1078" s="139">
        <v>6</v>
      </c>
      <c r="AE1078" s="138">
        <v>9</v>
      </c>
      <c r="AG1078" s="136">
        <v>57.87</v>
      </c>
      <c r="AH1078" s="137">
        <v>17</v>
      </c>
      <c r="AI1078" s="138">
        <v>99</v>
      </c>
      <c r="AK1078" s="136">
        <v>58.48</v>
      </c>
      <c r="AL1078" s="139">
        <v>7</v>
      </c>
      <c r="AM1078" s="138">
        <v>16</v>
      </c>
      <c r="AS1078" s="136">
        <v>57.57</v>
      </c>
      <c r="AT1078" s="139">
        <v>16</v>
      </c>
      <c r="AU1078" s="138">
        <v>98</v>
      </c>
      <c r="BA1078" s="136">
        <v>58.64</v>
      </c>
      <c r="BB1078" s="139">
        <v>15</v>
      </c>
      <c r="BC1078" s="138">
        <v>95</v>
      </c>
    </row>
    <row r="1079" spans="5:55" x14ac:dyDescent="0.3">
      <c r="E1079" s="152">
        <v>58.64</v>
      </c>
      <c r="F1079" s="153">
        <v>13</v>
      </c>
      <c r="G1079" s="155" t="s">
        <v>869</v>
      </c>
      <c r="M1079" s="136">
        <v>59.53</v>
      </c>
      <c r="N1079" s="139">
        <v>9</v>
      </c>
      <c r="O1079" s="138">
        <v>37</v>
      </c>
      <c r="U1079" s="136">
        <v>58.49</v>
      </c>
      <c r="V1079" s="139">
        <v>4</v>
      </c>
      <c r="W1079" s="138">
        <v>2</v>
      </c>
      <c r="Y1079" s="136">
        <v>57.64</v>
      </c>
      <c r="Z1079" s="139">
        <v>16</v>
      </c>
      <c r="AA1079" s="138">
        <v>98</v>
      </c>
      <c r="AC1079" s="136">
        <v>58.55</v>
      </c>
      <c r="AD1079" s="139">
        <v>7</v>
      </c>
      <c r="AE1079" s="138">
        <v>16</v>
      </c>
      <c r="AG1079" s="136">
        <v>57.88</v>
      </c>
      <c r="AH1079" s="137">
        <v>18</v>
      </c>
      <c r="AI1079" s="138" t="s">
        <v>884</v>
      </c>
      <c r="AK1079" s="136">
        <v>58.49</v>
      </c>
      <c r="AL1079" s="139">
        <v>8</v>
      </c>
      <c r="AM1079" s="138">
        <v>25</v>
      </c>
      <c r="AS1079" s="136">
        <v>57.58</v>
      </c>
      <c r="AT1079" s="139">
        <v>17</v>
      </c>
      <c r="AU1079" s="138">
        <v>99</v>
      </c>
      <c r="BA1079" s="136">
        <v>58.66</v>
      </c>
      <c r="BB1079" s="139">
        <v>16</v>
      </c>
      <c r="BC1079" s="138">
        <v>98</v>
      </c>
    </row>
    <row r="1080" spans="5:55" x14ac:dyDescent="0.3">
      <c r="E1080" s="152">
        <v>58.65</v>
      </c>
      <c r="F1080" s="153">
        <v>14</v>
      </c>
      <c r="G1080" s="155" t="s">
        <v>870</v>
      </c>
      <c r="M1080" s="136">
        <v>59.54</v>
      </c>
      <c r="N1080" s="139">
        <v>10</v>
      </c>
      <c r="O1080" s="138">
        <v>50</v>
      </c>
      <c r="U1080" s="136">
        <v>58.52</v>
      </c>
      <c r="V1080" s="139">
        <v>5</v>
      </c>
      <c r="W1080" s="138">
        <v>5</v>
      </c>
      <c r="Y1080" s="136">
        <v>57.66</v>
      </c>
      <c r="Z1080" s="139">
        <v>17</v>
      </c>
      <c r="AA1080" s="138">
        <v>99</v>
      </c>
      <c r="AC1080" s="136">
        <v>58.58</v>
      </c>
      <c r="AD1080" s="139">
        <v>8</v>
      </c>
      <c r="AE1080" s="138">
        <v>25</v>
      </c>
      <c r="AG1080" s="136">
        <v>57.89</v>
      </c>
      <c r="AH1080" s="137">
        <v>19</v>
      </c>
      <c r="AI1080" s="138" t="s">
        <v>884</v>
      </c>
      <c r="AK1080" s="136">
        <v>58.5</v>
      </c>
      <c r="AL1080" s="139">
        <v>9</v>
      </c>
      <c r="AM1080" s="138">
        <v>37</v>
      </c>
      <c r="AS1080" s="136">
        <v>57.59</v>
      </c>
      <c r="AT1080" s="139">
        <v>18</v>
      </c>
      <c r="AU1080" s="138" t="s">
        <v>884</v>
      </c>
      <c r="BA1080" s="136">
        <v>58.69</v>
      </c>
      <c r="BB1080" s="139">
        <v>17</v>
      </c>
      <c r="BC1080" s="138">
        <v>99</v>
      </c>
    </row>
    <row r="1081" spans="5:55" x14ac:dyDescent="0.3">
      <c r="E1081" s="152">
        <v>58.66</v>
      </c>
      <c r="F1081" s="153">
        <v>15</v>
      </c>
      <c r="G1081" s="155" t="s">
        <v>871</v>
      </c>
      <c r="M1081" s="136">
        <v>59.55</v>
      </c>
      <c r="N1081" s="139">
        <v>11</v>
      </c>
      <c r="O1081" s="138">
        <v>63</v>
      </c>
      <c r="U1081" s="136">
        <v>58.55</v>
      </c>
      <c r="V1081" s="139">
        <v>6</v>
      </c>
      <c r="W1081" s="138">
        <v>9</v>
      </c>
      <c r="Y1081" s="136">
        <v>57.67</v>
      </c>
      <c r="Z1081" s="139">
        <v>18</v>
      </c>
      <c r="AA1081" s="138" t="s">
        <v>884</v>
      </c>
      <c r="AC1081" s="136">
        <v>58.6</v>
      </c>
      <c r="AD1081" s="139">
        <v>9</v>
      </c>
      <c r="AE1081" s="138">
        <v>37</v>
      </c>
      <c r="AG1081" s="136">
        <v>58</v>
      </c>
      <c r="AH1081" s="137">
        <v>1</v>
      </c>
      <c r="AI1081" s="138" t="s">
        <v>883</v>
      </c>
      <c r="AK1081" s="136">
        <v>58.52</v>
      </c>
      <c r="AL1081" s="139">
        <v>10</v>
      </c>
      <c r="AM1081" s="138">
        <v>50</v>
      </c>
      <c r="AS1081" s="136">
        <v>57.6</v>
      </c>
      <c r="AT1081" s="139">
        <v>19</v>
      </c>
      <c r="AU1081" s="138" t="s">
        <v>884</v>
      </c>
      <c r="BA1081" s="136">
        <v>58.71</v>
      </c>
      <c r="BB1081" s="139">
        <v>18</v>
      </c>
      <c r="BC1081" s="138" t="s">
        <v>884</v>
      </c>
    </row>
    <row r="1082" spans="5:55" x14ac:dyDescent="0.3">
      <c r="E1082" s="152">
        <v>58.67</v>
      </c>
      <c r="F1082" s="153">
        <v>16</v>
      </c>
      <c r="G1082" s="155" t="s">
        <v>872</v>
      </c>
      <c r="M1082" s="136">
        <v>59.56</v>
      </c>
      <c r="N1082" s="139">
        <v>12</v>
      </c>
      <c r="O1082" s="138">
        <v>75</v>
      </c>
      <c r="U1082" s="136">
        <v>58.58</v>
      </c>
      <c r="V1082" s="139">
        <v>7</v>
      </c>
      <c r="W1082" s="138">
        <v>16</v>
      </c>
      <c r="Y1082" s="136">
        <v>57.69</v>
      </c>
      <c r="Z1082" s="139">
        <v>19</v>
      </c>
      <c r="AA1082" s="138" t="s">
        <v>884</v>
      </c>
      <c r="AC1082" s="136">
        <v>58.62</v>
      </c>
      <c r="AD1082" s="139">
        <v>10</v>
      </c>
      <c r="AE1082" s="138">
        <v>50</v>
      </c>
      <c r="AG1082" s="136">
        <v>58.63</v>
      </c>
      <c r="AH1082" s="137">
        <v>2</v>
      </c>
      <c r="AI1082" s="138" t="s">
        <v>883</v>
      </c>
      <c r="AK1082" s="136">
        <v>58.53</v>
      </c>
      <c r="AL1082" s="139">
        <v>11</v>
      </c>
      <c r="AM1082" s="138">
        <v>63</v>
      </c>
      <c r="AS1082" s="136">
        <v>58</v>
      </c>
      <c r="AT1082" s="139">
        <v>1</v>
      </c>
      <c r="AU1082" s="138" t="s">
        <v>883</v>
      </c>
      <c r="BA1082" s="136">
        <v>58.74</v>
      </c>
      <c r="BB1082" s="139">
        <v>19</v>
      </c>
      <c r="BC1082" s="138" t="s">
        <v>884</v>
      </c>
    </row>
    <row r="1083" spans="5:55" x14ac:dyDescent="0.3">
      <c r="E1083" s="152">
        <v>58.68</v>
      </c>
      <c r="F1083" s="153">
        <v>17</v>
      </c>
      <c r="G1083" s="155" t="s">
        <v>873</v>
      </c>
      <c r="M1083" s="136">
        <v>59.57</v>
      </c>
      <c r="N1083" s="139">
        <v>13</v>
      </c>
      <c r="O1083" s="138">
        <v>85</v>
      </c>
      <c r="U1083" s="136">
        <v>58.61</v>
      </c>
      <c r="V1083" s="139">
        <v>8</v>
      </c>
      <c r="W1083" s="138">
        <v>25</v>
      </c>
      <c r="Y1083" s="136">
        <v>58</v>
      </c>
      <c r="Z1083" s="139">
        <v>1</v>
      </c>
      <c r="AA1083" s="138" t="s">
        <v>883</v>
      </c>
      <c r="AC1083" s="136">
        <v>58.64</v>
      </c>
      <c r="AD1083" s="139">
        <v>11</v>
      </c>
      <c r="AE1083" s="138">
        <v>63</v>
      </c>
      <c r="AG1083" s="136">
        <v>58.67</v>
      </c>
      <c r="AH1083" s="137">
        <v>3</v>
      </c>
      <c r="AI1083" s="138">
        <v>1</v>
      </c>
      <c r="AK1083" s="136">
        <v>58.54</v>
      </c>
      <c r="AL1083" s="139">
        <v>12</v>
      </c>
      <c r="AM1083" s="138">
        <v>75</v>
      </c>
      <c r="AS1083" s="136">
        <v>58.42</v>
      </c>
      <c r="AT1083" s="139">
        <v>2</v>
      </c>
      <c r="AU1083" s="138" t="s">
        <v>883</v>
      </c>
    </row>
    <row r="1084" spans="5:55" x14ac:dyDescent="0.3">
      <c r="E1084" s="152">
        <v>58.69</v>
      </c>
      <c r="F1084" s="153">
        <v>18</v>
      </c>
      <c r="G1084" s="155" t="s">
        <v>874</v>
      </c>
      <c r="M1084" s="136">
        <v>59.58</v>
      </c>
      <c r="N1084" s="139">
        <v>15</v>
      </c>
      <c r="O1084" s="138">
        <v>95</v>
      </c>
      <c r="U1084" s="136">
        <v>58.64</v>
      </c>
      <c r="V1084" s="139">
        <v>9</v>
      </c>
      <c r="W1084" s="138">
        <v>37</v>
      </c>
      <c r="Y1084" s="136">
        <v>58.41</v>
      </c>
      <c r="Z1084" s="139">
        <v>2</v>
      </c>
      <c r="AA1084" s="138" t="s">
        <v>883</v>
      </c>
      <c r="AC1084" s="136">
        <v>58.66</v>
      </c>
      <c r="AD1084" s="139">
        <v>12</v>
      </c>
      <c r="AE1084" s="138">
        <v>75</v>
      </c>
      <c r="AG1084" s="136">
        <v>58.7</v>
      </c>
      <c r="AH1084" s="137">
        <v>4</v>
      </c>
      <c r="AI1084" s="138">
        <v>2</v>
      </c>
      <c r="AK1084" s="136">
        <v>58.55</v>
      </c>
      <c r="AL1084" s="139">
        <v>13</v>
      </c>
      <c r="AM1084" s="138">
        <v>85</v>
      </c>
      <c r="AS1084" s="136">
        <v>58.44</v>
      </c>
      <c r="AT1084" s="139">
        <v>3</v>
      </c>
      <c r="AU1084" s="138">
        <v>1</v>
      </c>
    </row>
    <row r="1085" spans="5:55" x14ac:dyDescent="0.3">
      <c r="E1085" s="152">
        <v>58.7</v>
      </c>
      <c r="F1085" s="153">
        <v>19</v>
      </c>
      <c r="G1085" s="155" t="s">
        <v>874</v>
      </c>
      <c r="M1085" s="136">
        <v>59.59</v>
      </c>
      <c r="N1085" s="139">
        <v>17</v>
      </c>
      <c r="O1085" s="138">
        <v>99</v>
      </c>
      <c r="U1085" s="136">
        <v>58.67</v>
      </c>
      <c r="V1085" s="139">
        <v>10</v>
      </c>
      <c r="W1085" s="138">
        <v>50</v>
      </c>
      <c r="Y1085" s="136">
        <v>58.45</v>
      </c>
      <c r="Z1085" s="139">
        <v>3</v>
      </c>
      <c r="AA1085" s="138">
        <v>1</v>
      </c>
      <c r="AC1085" s="136">
        <v>58.68</v>
      </c>
      <c r="AD1085" s="139">
        <v>13</v>
      </c>
      <c r="AE1085" s="138">
        <v>85</v>
      </c>
      <c r="AG1085" s="136">
        <v>58.72</v>
      </c>
      <c r="AH1085" s="137">
        <v>5</v>
      </c>
      <c r="AI1085" s="138">
        <v>5</v>
      </c>
      <c r="AK1085" s="136">
        <v>58.56</v>
      </c>
      <c r="AL1085" s="139">
        <v>14</v>
      </c>
      <c r="AM1085" s="138">
        <v>91</v>
      </c>
      <c r="AS1085" s="136">
        <v>58.45</v>
      </c>
      <c r="AT1085" s="139">
        <v>4</v>
      </c>
      <c r="AU1085" s="138">
        <v>2</v>
      </c>
    </row>
    <row r="1086" spans="5:55" x14ac:dyDescent="0.3">
      <c r="E1086" s="152">
        <v>59</v>
      </c>
      <c r="F1086" s="153">
        <v>1</v>
      </c>
      <c r="G1086" s="155" t="s">
        <v>862</v>
      </c>
      <c r="M1086" s="136">
        <v>59.6</v>
      </c>
      <c r="N1086" s="139">
        <v>19</v>
      </c>
      <c r="O1086" s="138" t="s">
        <v>884</v>
      </c>
      <c r="U1086" s="136">
        <v>58.68</v>
      </c>
      <c r="V1086" s="139">
        <v>11</v>
      </c>
      <c r="W1086" s="138">
        <v>63</v>
      </c>
      <c r="Y1086" s="136">
        <v>58.46</v>
      </c>
      <c r="Z1086" s="139">
        <v>4</v>
      </c>
      <c r="AA1086" s="138">
        <v>2</v>
      </c>
      <c r="AC1086" s="136">
        <v>58.71</v>
      </c>
      <c r="AD1086" s="139">
        <v>14</v>
      </c>
      <c r="AE1086" s="138">
        <v>91</v>
      </c>
      <c r="AG1086" s="136">
        <v>58.74</v>
      </c>
      <c r="AH1086" s="137">
        <v>6</v>
      </c>
      <c r="AI1086" s="138">
        <v>9</v>
      </c>
      <c r="AK1086" s="136">
        <v>58.57</v>
      </c>
      <c r="AL1086" s="139">
        <v>16</v>
      </c>
      <c r="AM1086" s="138">
        <v>98</v>
      </c>
      <c r="AS1086" s="136">
        <v>58.46</v>
      </c>
      <c r="AT1086" s="139">
        <v>5</v>
      </c>
      <c r="AU1086" s="138">
        <v>5</v>
      </c>
    </row>
    <row r="1087" spans="5:55" x14ac:dyDescent="0.3">
      <c r="E1087" s="152">
        <v>59.44</v>
      </c>
      <c r="F1087" s="153">
        <v>2</v>
      </c>
      <c r="G1087" s="155" t="s">
        <v>862</v>
      </c>
      <c r="U1087" s="136">
        <v>58.7</v>
      </c>
      <c r="V1087" s="139">
        <v>12</v>
      </c>
      <c r="W1087" s="138">
        <v>75</v>
      </c>
      <c r="Y1087" s="136">
        <v>58.48</v>
      </c>
      <c r="Z1087" s="139">
        <v>5</v>
      </c>
      <c r="AA1087" s="138">
        <v>5</v>
      </c>
      <c r="AC1087" s="136">
        <v>58.73</v>
      </c>
      <c r="AD1087" s="139">
        <v>15</v>
      </c>
      <c r="AE1087" s="138">
        <v>95</v>
      </c>
      <c r="AG1087" s="136">
        <v>58.75</v>
      </c>
      <c r="AH1087" s="137">
        <v>7</v>
      </c>
      <c r="AI1087" s="138">
        <v>16</v>
      </c>
      <c r="AK1087" s="136">
        <v>58.58</v>
      </c>
      <c r="AL1087" s="139">
        <v>17</v>
      </c>
      <c r="AM1087" s="138">
        <v>99</v>
      </c>
      <c r="AS1087" s="136">
        <v>58.47</v>
      </c>
      <c r="AT1087" s="139">
        <v>6</v>
      </c>
      <c r="AU1087" s="138">
        <v>9</v>
      </c>
    </row>
    <row r="1088" spans="5:55" x14ac:dyDescent="0.3">
      <c r="E1088" s="152">
        <v>59.48</v>
      </c>
      <c r="F1088" s="153">
        <v>3</v>
      </c>
      <c r="G1088" s="155" t="s">
        <v>876</v>
      </c>
      <c r="U1088" s="136">
        <v>58.72</v>
      </c>
      <c r="V1088" s="139">
        <v>13</v>
      </c>
      <c r="W1088" s="138">
        <v>85</v>
      </c>
      <c r="Y1088" s="136">
        <v>58.49</v>
      </c>
      <c r="Z1088" s="139">
        <v>6</v>
      </c>
      <c r="AA1088" s="138">
        <v>9</v>
      </c>
      <c r="AC1088" s="136">
        <v>58.75</v>
      </c>
      <c r="AD1088" s="139">
        <v>16</v>
      </c>
      <c r="AE1088" s="138">
        <v>98</v>
      </c>
      <c r="AG1088" s="136">
        <v>58.77</v>
      </c>
      <c r="AH1088" s="137">
        <v>8</v>
      </c>
      <c r="AI1088" s="138">
        <v>25</v>
      </c>
      <c r="AK1088" s="136">
        <v>58.59</v>
      </c>
      <c r="AL1088" s="139">
        <v>18</v>
      </c>
      <c r="AM1088" s="138" t="s">
        <v>884</v>
      </c>
      <c r="AS1088" s="136">
        <v>58.48</v>
      </c>
      <c r="AT1088" s="139">
        <v>7</v>
      </c>
      <c r="AU1088" s="138">
        <v>16</v>
      </c>
    </row>
    <row r="1089" spans="5:47" x14ac:dyDescent="0.3">
      <c r="E1089" s="152">
        <v>59.5</v>
      </c>
      <c r="F1089" s="153">
        <v>4</v>
      </c>
      <c r="G1089" s="155" t="s">
        <v>863</v>
      </c>
      <c r="U1089" s="136">
        <v>58.74</v>
      </c>
      <c r="V1089" s="139">
        <v>14</v>
      </c>
      <c r="W1089" s="138">
        <v>91</v>
      </c>
      <c r="Y1089" s="136">
        <v>58.51</v>
      </c>
      <c r="Z1089" s="139">
        <v>7</v>
      </c>
      <c r="AA1089" s="138">
        <v>16</v>
      </c>
      <c r="AC1089" s="136">
        <v>58.78</v>
      </c>
      <c r="AD1089" s="139">
        <v>17</v>
      </c>
      <c r="AE1089" s="138">
        <v>99</v>
      </c>
      <c r="AG1089" s="136">
        <v>58.78</v>
      </c>
      <c r="AH1089" s="137">
        <v>9</v>
      </c>
      <c r="AI1089" s="138">
        <v>37</v>
      </c>
      <c r="AK1089" s="136">
        <v>58.6</v>
      </c>
      <c r="AL1089" s="139">
        <v>19</v>
      </c>
      <c r="AM1089" s="138" t="s">
        <v>884</v>
      </c>
      <c r="AS1089" s="136">
        <v>58.49</v>
      </c>
      <c r="AT1089" s="139">
        <v>8</v>
      </c>
      <c r="AU1089" s="138">
        <v>25</v>
      </c>
    </row>
    <row r="1090" spans="5:47" x14ac:dyDescent="0.3">
      <c r="E1090" s="152">
        <v>59.52</v>
      </c>
      <c r="F1090" s="153">
        <v>5</v>
      </c>
      <c r="G1090" s="155" t="s">
        <v>877</v>
      </c>
      <c r="U1090" s="136">
        <v>58.76</v>
      </c>
      <c r="V1090" s="139">
        <v>15</v>
      </c>
      <c r="W1090" s="138">
        <v>95</v>
      </c>
      <c r="Y1090" s="136">
        <v>58.52</v>
      </c>
      <c r="Z1090" s="139">
        <v>8</v>
      </c>
      <c r="AA1090" s="138">
        <v>25</v>
      </c>
      <c r="AC1090" s="136">
        <v>58.8</v>
      </c>
      <c r="AD1090" s="139">
        <v>18</v>
      </c>
      <c r="AE1090" s="138" t="s">
        <v>884</v>
      </c>
      <c r="AG1090" s="136">
        <v>58.79</v>
      </c>
      <c r="AH1090" s="137">
        <v>10</v>
      </c>
      <c r="AI1090" s="138">
        <v>50</v>
      </c>
      <c r="AK1090" s="136">
        <v>59</v>
      </c>
      <c r="AL1090" s="139">
        <v>1</v>
      </c>
      <c r="AM1090" s="138" t="s">
        <v>883</v>
      </c>
      <c r="AS1090" s="136">
        <v>58.5</v>
      </c>
      <c r="AT1090" s="139">
        <v>9</v>
      </c>
      <c r="AU1090" s="138">
        <v>37</v>
      </c>
    </row>
    <row r="1091" spans="5:47" x14ac:dyDescent="0.3">
      <c r="E1091" s="152">
        <v>59.54</v>
      </c>
      <c r="F1091" s="153">
        <v>6</v>
      </c>
      <c r="G1091" s="155" t="s">
        <v>864</v>
      </c>
      <c r="U1091" s="136">
        <v>58.77</v>
      </c>
      <c r="V1091" s="139">
        <v>16</v>
      </c>
      <c r="W1091" s="138">
        <v>98</v>
      </c>
      <c r="Y1091" s="136">
        <v>58.54</v>
      </c>
      <c r="Z1091" s="139">
        <v>9</v>
      </c>
      <c r="AA1091" s="138">
        <v>37</v>
      </c>
      <c r="AC1091" s="136">
        <v>58.82</v>
      </c>
      <c r="AD1091" s="139">
        <v>19</v>
      </c>
      <c r="AE1091" s="138" t="s">
        <v>884</v>
      </c>
      <c r="AG1091" s="136">
        <v>58.8</v>
      </c>
      <c r="AH1091" s="137">
        <v>11</v>
      </c>
      <c r="AI1091" s="138">
        <v>63</v>
      </c>
      <c r="AK1091" s="136">
        <v>59.36</v>
      </c>
      <c r="AL1091" s="139">
        <v>2</v>
      </c>
      <c r="AM1091" s="138" t="s">
        <v>883</v>
      </c>
      <c r="AS1091" s="136">
        <v>58.51</v>
      </c>
      <c r="AT1091" s="139">
        <v>10</v>
      </c>
      <c r="AU1091" s="138">
        <v>50</v>
      </c>
    </row>
    <row r="1092" spans="5:47" x14ac:dyDescent="0.3">
      <c r="E1092" s="152">
        <v>59.56</v>
      </c>
      <c r="F1092" s="153">
        <v>7</v>
      </c>
      <c r="G1092" s="155" t="s">
        <v>878</v>
      </c>
      <c r="U1092" s="136">
        <v>58.79</v>
      </c>
      <c r="V1092" s="139">
        <v>17</v>
      </c>
      <c r="W1092" s="138">
        <v>99</v>
      </c>
      <c r="Y1092" s="136">
        <v>58.55</v>
      </c>
      <c r="Z1092" s="139">
        <v>10</v>
      </c>
      <c r="AA1092" s="138">
        <v>50</v>
      </c>
      <c r="AC1092" s="136">
        <v>59</v>
      </c>
      <c r="AD1092" s="139">
        <v>1</v>
      </c>
      <c r="AE1092" s="138" t="s">
        <v>883</v>
      </c>
      <c r="AG1092" s="136">
        <v>58.82</v>
      </c>
      <c r="AH1092" s="137">
        <v>12</v>
      </c>
      <c r="AI1092" s="138">
        <v>75</v>
      </c>
      <c r="AK1092" s="136">
        <v>59.4</v>
      </c>
      <c r="AL1092" s="139">
        <v>3</v>
      </c>
      <c r="AM1092" s="138">
        <v>1</v>
      </c>
      <c r="AS1092" s="136">
        <v>58.52</v>
      </c>
      <c r="AT1092" s="139">
        <v>11</v>
      </c>
      <c r="AU1092" s="138">
        <v>63</v>
      </c>
    </row>
    <row r="1093" spans="5:47" x14ac:dyDescent="0.3">
      <c r="E1093" s="152">
        <v>59.58</v>
      </c>
      <c r="F1093" s="153">
        <v>8</v>
      </c>
      <c r="G1093" s="155" t="s">
        <v>865</v>
      </c>
      <c r="U1093" s="136">
        <v>58.81</v>
      </c>
      <c r="V1093" s="139">
        <v>18</v>
      </c>
      <c r="W1093" s="138" t="s">
        <v>884</v>
      </c>
      <c r="Y1093" s="136">
        <v>58.57</v>
      </c>
      <c r="Z1093" s="139">
        <v>11</v>
      </c>
      <c r="AA1093" s="138">
        <v>63</v>
      </c>
      <c r="AC1093" s="136">
        <v>59.43</v>
      </c>
      <c r="AD1093" s="139">
        <v>2</v>
      </c>
      <c r="AE1093" s="138" t="s">
        <v>883</v>
      </c>
      <c r="AG1093" s="136">
        <v>58.83</v>
      </c>
      <c r="AH1093" s="137">
        <v>13</v>
      </c>
      <c r="AI1093" s="138">
        <v>85</v>
      </c>
      <c r="AK1093" s="136">
        <v>59.42</v>
      </c>
      <c r="AL1093" s="139">
        <v>4</v>
      </c>
      <c r="AM1093" s="138">
        <v>2</v>
      </c>
      <c r="AS1093" s="136">
        <v>58.53</v>
      </c>
      <c r="AT1093" s="139">
        <v>12</v>
      </c>
      <c r="AU1093" s="138">
        <v>75</v>
      </c>
    </row>
    <row r="1094" spans="5:47" x14ac:dyDescent="0.3">
      <c r="E1094" s="152">
        <v>59.59</v>
      </c>
      <c r="F1094" s="153">
        <v>9</v>
      </c>
      <c r="G1094" s="155" t="s">
        <v>879</v>
      </c>
      <c r="U1094" s="136">
        <v>58.83</v>
      </c>
      <c r="V1094" s="139">
        <v>19</v>
      </c>
      <c r="W1094" s="138" t="s">
        <v>884</v>
      </c>
      <c r="Y1094" s="136">
        <v>58.58</v>
      </c>
      <c r="Z1094" s="139">
        <v>12</v>
      </c>
      <c r="AA1094" s="138">
        <v>75</v>
      </c>
      <c r="AC1094" s="136">
        <v>59.45</v>
      </c>
      <c r="AD1094" s="139">
        <v>3</v>
      </c>
      <c r="AE1094" s="138">
        <v>1</v>
      </c>
      <c r="AG1094" s="136">
        <v>58.84</v>
      </c>
      <c r="AH1094" s="137">
        <v>14</v>
      </c>
      <c r="AI1094" s="138">
        <v>91</v>
      </c>
      <c r="AK1094" s="136">
        <v>59.44</v>
      </c>
      <c r="AL1094" s="139">
        <v>5</v>
      </c>
      <c r="AM1094" s="138">
        <v>5</v>
      </c>
      <c r="AS1094" s="136">
        <v>58.54</v>
      </c>
      <c r="AT1094" s="139">
        <v>13</v>
      </c>
      <c r="AU1094" s="138">
        <v>85</v>
      </c>
    </row>
    <row r="1095" spans="5:47" x14ac:dyDescent="0.3">
      <c r="E1095" s="152">
        <v>59.61</v>
      </c>
      <c r="F1095" s="153">
        <v>10</v>
      </c>
      <c r="G1095" s="155" t="s">
        <v>866</v>
      </c>
      <c r="U1095" s="136">
        <v>59</v>
      </c>
      <c r="V1095" s="139">
        <v>1</v>
      </c>
      <c r="W1095" s="138" t="s">
        <v>883</v>
      </c>
      <c r="Y1095" s="136">
        <v>58.6</v>
      </c>
      <c r="Z1095" s="139">
        <v>13</v>
      </c>
      <c r="AA1095" s="138">
        <v>85</v>
      </c>
      <c r="AC1095" s="136">
        <v>59.47</v>
      </c>
      <c r="AD1095" s="139">
        <v>4</v>
      </c>
      <c r="AE1095" s="138">
        <v>2</v>
      </c>
      <c r="AG1095" s="136">
        <v>58.85</v>
      </c>
      <c r="AH1095" s="137">
        <v>15</v>
      </c>
      <c r="AI1095" s="138">
        <v>95</v>
      </c>
      <c r="AK1095" s="136">
        <v>59.46</v>
      </c>
      <c r="AL1095" s="139">
        <v>6</v>
      </c>
      <c r="AM1095" s="138">
        <v>9</v>
      </c>
      <c r="AS1095" s="136">
        <v>58.55</v>
      </c>
      <c r="AT1095" s="139">
        <v>14</v>
      </c>
      <c r="AU1095" s="138">
        <v>91</v>
      </c>
    </row>
    <row r="1096" spans="5:47" x14ac:dyDescent="0.3">
      <c r="E1096" s="152">
        <v>59.62</v>
      </c>
      <c r="F1096" s="153">
        <v>11</v>
      </c>
      <c r="G1096" s="155" t="s">
        <v>867</v>
      </c>
      <c r="U1096" s="136">
        <v>59.38</v>
      </c>
      <c r="V1096" s="139">
        <v>2</v>
      </c>
      <c r="W1096" s="138" t="s">
        <v>883</v>
      </c>
      <c r="Y1096" s="136">
        <v>58.61</v>
      </c>
      <c r="Z1096" s="139">
        <v>14</v>
      </c>
      <c r="AA1096" s="138">
        <v>91</v>
      </c>
      <c r="AC1096" s="136">
        <v>59.5</v>
      </c>
      <c r="AD1096" s="139">
        <v>5</v>
      </c>
      <c r="AE1096" s="138">
        <v>5</v>
      </c>
      <c r="AG1096" s="136">
        <v>58.86</v>
      </c>
      <c r="AH1096" s="137">
        <v>16</v>
      </c>
      <c r="AI1096" s="138">
        <v>98</v>
      </c>
      <c r="AK1096" s="136">
        <v>59.48</v>
      </c>
      <c r="AL1096" s="139">
        <v>7</v>
      </c>
      <c r="AM1096" s="138">
        <v>16</v>
      </c>
      <c r="AS1096" s="136">
        <v>58.56</v>
      </c>
      <c r="AT1096" s="139">
        <v>15</v>
      </c>
      <c r="AU1096" s="138">
        <v>95</v>
      </c>
    </row>
    <row r="1097" spans="5:47" x14ac:dyDescent="0.3">
      <c r="E1097" s="152">
        <v>59.63</v>
      </c>
      <c r="F1097" s="153">
        <v>12</v>
      </c>
      <c r="G1097" s="155" t="s">
        <v>868</v>
      </c>
      <c r="U1097" s="136">
        <v>59.46</v>
      </c>
      <c r="V1097" s="139">
        <v>3</v>
      </c>
      <c r="W1097" s="138">
        <v>1</v>
      </c>
      <c r="Y1097" s="136">
        <v>58.63</v>
      </c>
      <c r="Z1097" s="139">
        <v>15</v>
      </c>
      <c r="AA1097" s="138">
        <v>95</v>
      </c>
      <c r="AC1097" s="136">
        <v>59.52</v>
      </c>
      <c r="AD1097" s="139">
        <v>6</v>
      </c>
      <c r="AE1097" s="138">
        <v>9</v>
      </c>
      <c r="AG1097" s="136">
        <v>58.87</v>
      </c>
      <c r="AH1097" s="137">
        <v>17</v>
      </c>
      <c r="AI1097" s="138">
        <v>99</v>
      </c>
      <c r="AK1097" s="136">
        <v>59.49</v>
      </c>
      <c r="AL1097" s="139">
        <v>8</v>
      </c>
      <c r="AM1097" s="138">
        <v>25</v>
      </c>
      <c r="AS1097" s="136">
        <v>58.57</v>
      </c>
      <c r="AT1097" s="139">
        <v>16</v>
      </c>
      <c r="AU1097" s="138">
        <v>98</v>
      </c>
    </row>
    <row r="1098" spans="5:47" x14ac:dyDescent="0.3">
      <c r="E1098" s="152">
        <v>59.64</v>
      </c>
      <c r="F1098" s="153">
        <v>13</v>
      </c>
      <c r="G1098" s="155" t="s">
        <v>869</v>
      </c>
      <c r="U1098" s="136">
        <v>59.49</v>
      </c>
      <c r="V1098" s="139">
        <v>4</v>
      </c>
      <c r="W1098" s="138">
        <v>2</v>
      </c>
      <c r="Y1098" s="136">
        <v>58.64</v>
      </c>
      <c r="Z1098" s="139">
        <v>16</v>
      </c>
      <c r="AA1098" s="138">
        <v>98</v>
      </c>
      <c r="AC1098" s="136">
        <v>59.55</v>
      </c>
      <c r="AD1098" s="139">
        <v>7</v>
      </c>
      <c r="AE1098" s="138">
        <v>16</v>
      </c>
      <c r="AG1098" s="136">
        <v>58.88</v>
      </c>
      <c r="AH1098" s="137">
        <v>18</v>
      </c>
      <c r="AI1098" s="138" t="s">
        <v>884</v>
      </c>
      <c r="AK1098" s="136">
        <v>59.5</v>
      </c>
      <c r="AL1098" s="139">
        <v>9</v>
      </c>
      <c r="AM1098" s="138">
        <v>37</v>
      </c>
      <c r="AS1098" s="136">
        <v>58.58</v>
      </c>
      <c r="AT1098" s="139">
        <v>17</v>
      </c>
      <c r="AU1098" s="138">
        <v>99</v>
      </c>
    </row>
    <row r="1099" spans="5:47" x14ac:dyDescent="0.3">
      <c r="E1099" s="152">
        <v>59.65</v>
      </c>
      <c r="F1099" s="153">
        <v>14</v>
      </c>
      <c r="G1099" s="155" t="s">
        <v>870</v>
      </c>
      <c r="U1099" s="136">
        <v>59.52</v>
      </c>
      <c r="V1099" s="139">
        <v>5</v>
      </c>
      <c r="W1099" s="138">
        <v>5</v>
      </c>
      <c r="Y1099" s="136">
        <v>58.66</v>
      </c>
      <c r="Z1099" s="139">
        <v>17</v>
      </c>
      <c r="AA1099" s="138">
        <v>99</v>
      </c>
      <c r="AC1099" s="136">
        <v>59.58</v>
      </c>
      <c r="AD1099" s="139">
        <v>8</v>
      </c>
      <c r="AE1099" s="138">
        <v>25</v>
      </c>
      <c r="AG1099" s="136">
        <v>58.89</v>
      </c>
      <c r="AH1099" s="137">
        <v>19</v>
      </c>
      <c r="AI1099" s="138" t="s">
        <v>884</v>
      </c>
      <c r="AK1099" s="136">
        <v>59.52</v>
      </c>
      <c r="AL1099" s="139">
        <v>10</v>
      </c>
      <c r="AM1099" s="138">
        <v>50</v>
      </c>
      <c r="AS1099" s="136">
        <v>58.59</v>
      </c>
      <c r="AT1099" s="139">
        <v>18</v>
      </c>
      <c r="AU1099" s="138" t="s">
        <v>884</v>
      </c>
    </row>
    <row r="1100" spans="5:47" x14ac:dyDescent="0.3">
      <c r="E1100" s="152">
        <v>59.66</v>
      </c>
      <c r="F1100" s="153">
        <v>15</v>
      </c>
      <c r="G1100" s="155" t="s">
        <v>871</v>
      </c>
      <c r="U1100" s="136">
        <v>59.55</v>
      </c>
      <c r="V1100" s="139">
        <v>6</v>
      </c>
      <c r="W1100" s="138">
        <v>9</v>
      </c>
      <c r="Y1100" s="136">
        <v>58.67</v>
      </c>
      <c r="Z1100" s="139">
        <v>18</v>
      </c>
      <c r="AA1100" s="138" t="s">
        <v>884</v>
      </c>
      <c r="AC1100" s="136">
        <v>59.6</v>
      </c>
      <c r="AD1100" s="139">
        <v>9</v>
      </c>
      <c r="AE1100" s="138">
        <v>37</v>
      </c>
      <c r="AG1100" s="136">
        <v>59</v>
      </c>
      <c r="AH1100" s="137">
        <v>1</v>
      </c>
      <c r="AI1100" s="138" t="s">
        <v>883</v>
      </c>
      <c r="AK1100" s="136">
        <v>59.53</v>
      </c>
      <c r="AL1100" s="139">
        <v>11</v>
      </c>
      <c r="AM1100" s="138">
        <v>63</v>
      </c>
      <c r="AS1100" s="136">
        <v>58.6</v>
      </c>
      <c r="AT1100" s="139">
        <v>19</v>
      </c>
      <c r="AU1100" s="138" t="s">
        <v>884</v>
      </c>
    </row>
    <row r="1101" spans="5:47" x14ac:dyDescent="0.3">
      <c r="E1101" s="152">
        <v>59.67</v>
      </c>
      <c r="F1101" s="153">
        <v>16</v>
      </c>
      <c r="G1101" s="155" t="s">
        <v>872</v>
      </c>
      <c r="U1101" s="136">
        <v>59.58</v>
      </c>
      <c r="V1101" s="139">
        <v>7</v>
      </c>
      <c r="W1101" s="138">
        <v>16</v>
      </c>
      <c r="Y1101" s="136">
        <v>58.69</v>
      </c>
      <c r="Z1101" s="139">
        <v>19</v>
      </c>
      <c r="AA1101" s="138" t="s">
        <v>884</v>
      </c>
      <c r="AC1101" s="136">
        <v>59.62</v>
      </c>
      <c r="AD1101" s="139">
        <v>10</v>
      </c>
      <c r="AE1101" s="138">
        <v>50</v>
      </c>
      <c r="AG1101" s="136">
        <v>59.63</v>
      </c>
      <c r="AH1101" s="137">
        <v>2</v>
      </c>
      <c r="AI1101" s="138" t="s">
        <v>883</v>
      </c>
      <c r="AK1101" s="136">
        <v>59.54</v>
      </c>
      <c r="AL1101" s="139">
        <v>12</v>
      </c>
      <c r="AM1101" s="138">
        <v>75</v>
      </c>
    </row>
    <row r="1102" spans="5:47" x14ac:dyDescent="0.3">
      <c r="E1102" s="152">
        <v>59.68</v>
      </c>
      <c r="F1102" s="153">
        <v>17</v>
      </c>
      <c r="G1102" s="155" t="s">
        <v>873</v>
      </c>
      <c r="U1102" s="136">
        <v>59.61</v>
      </c>
      <c r="V1102" s="139">
        <v>8</v>
      </c>
      <c r="W1102" s="138">
        <v>25</v>
      </c>
      <c r="Y1102" s="136">
        <v>59</v>
      </c>
      <c r="Z1102" s="139">
        <v>1</v>
      </c>
      <c r="AA1102" s="138" t="s">
        <v>883</v>
      </c>
      <c r="AC1102" s="136">
        <v>59.64</v>
      </c>
      <c r="AD1102" s="139">
        <v>11</v>
      </c>
      <c r="AE1102" s="138">
        <v>63</v>
      </c>
      <c r="AG1102" s="136">
        <v>59.67</v>
      </c>
      <c r="AH1102" s="137">
        <v>3</v>
      </c>
      <c r="AI1102" s="138">
        <v>1</v>
      </c>
      <c r="AK1102" s="136">
        <v>59.55</v>
      </c>
      <c r="AL1102" s="139">
        <v>13</v>
      </c>
      <c r="AM1102" s="138">
        <v>85</v>
      </c>
    </row>
    <row r="1103" spans="5:47" x14ac:dyDescent="0.3">
      <c r="E1103" s="152">
        <v>59.69</v>
      </c>
      <c r="F1103" s="153">
        <v>18</v>
      </c>
      <c r="G1103" s="155" t="s">
        <v>874</v>
      </c>
      <c r="U1103" s="136">
        <v>59.64</v>
      </c>
      <c r="V1103" s="139">
        <v>9</v>
      </c>
      <c r="W1103" s="138">
        <v>37</v>
      </c>
      <c r="Y1103" s="136">
        <v>59.41</v>
      </c>
      <c r="Z1103" s="139">
        <v>2</v>
      </c>
      <c r="AA1103" s="138" t="s">
        <v>883</v>
      </c>
      <c r="AC1103" s="136">
        <v>59.66</v>
      </c>
      <c r="AD1103" s="139">
        <v>12</v>
      </c>
      <c r="AE1103" s="138">
        <v>75</v>
      </c>
      <c r="AG1103" s="136">
        <v>59.7</v>
      </c>
      <c r="AH1103" s="137">
        <v>4</v>
      </c>
      <c r="AI1103" s="138">
        <v>2</v>
      </c>
      <c r="AK1103" s="136">
        <v>59.56</v>
      </c>
      <c r="AL1103" s="139">
        <v>14</v>
      </c>
      <c r="AM1103" s="138">
        <v>91</v>
      </c>
    </row>
    <row r="1104" spans="5:47" ht="19.5" thickBot="1" x14ac:dyDescent="0.35">
      <c r="E1104" s="152">
        <v>59.7</v>
      </c>
      <c r="F1104" s="158">
        <v>19</v>
      </c>
      <c r="G1104" s="159" t="s">
        <v>874</v>
      </c>
      <c r="U1104" s="136">
        <v>59.67</v>
      </c>
      <c r="V1104" s="139">
        <v>10</v>
      </c>
      <c r="W1104" s="138">
        <v>50</v>
      </c>
      <c r="Y1104" s="136">
        <v>59.45</v>
      </c>
      <c r="Z1104" s="139">
        <v>3</v>
      </c>
      <c r="AA1104" s="138">
        <v>1</v>
      </c>
      <c r="AC1104" s="136">
        <v>59.68</v>
      </c>
      <c r="AD1104" s="139">
        <v>13</v>
      </c>
      <c r="AE1104" s="138">
        <v>85</v>
      </c>
      <c r="AG1104" s="136">
        <v>59.72</v>
      </c>
      <c r="AH1104" s="137">
        <v>5</v>
      </c>
      <c r="AI1104" s="138">
        <v>5</v>
      </c>
      <c r="AK1104" s="136">
        <v>59.57</v>
      </c>
      <c r="AL1104" s="139">
        <v>16</v>
      </c>
      <c r="AM1104" s="138">
        <v>98</v>
      </c>
    </row>
    <row r="1105" spans="21:39" x14ac:dyDescent="0.3">
      <c r="U1105" s="136">
        <v>59.68</v>
      </c>
      <c r="V1105" s="139">
        <v>11</v>
      </c>
      <c r="W1105" s="138">
        <v>63</v>
      </c>
      <c r="Y1105" s="136">
        <v>59.46</v>
      </c>
      <c r="Z1105" s="139">
        <v>4</v>
      </c>
      <c r="AA1105" s="138">
        <v>2</v>
      </c>
      <c r="AC1105" s="136">
        <v>59.71</v>
      </c>
      <c r="AD1105" s="139">
        <v>14</v>
      </c>
      <c r="AE1105" s="138">
        <v>91</v>
      </c>
      <c r="AG1105" s="136">
        <v>59.74</v>
      </c>
      <c r="AH1105" s="137">
        <v>6</v>
      </c>
      <c r="AI1105" s="138">
        <v>9</v>
      </c>
      <c r="AK1105" s="136">
        <v>59.58</v>
      </c>
      <c r="AL1105" s="139">
        <v>17</v>
      </c>
      <c r="AM1105" s="138">
        <v>99</v>
      </c>
    </row>
    <row r="1106" spans="21:39" x14ac:dyDescent="0.3">
      <c r="U1106" s="136">
        <v>59.7</v>
      </c>
      <c r="V1106" s="139">
        <v>12</v>
      </c>
      <c r="W1106" s="138">
        <v>75</v>
      </c>
      <c r="Y1106" s="136">
        <v>59.48</v>
      </c>
      <c r="Z1106" s="139">
        <v>5</v>
      </c>
      <c r="AA1106" s="138">
        <v>5</v>
      </c>
      <c r="AC1106" s="136">
        <v>59.73</v>
      </c>
      <c r="AD1106" s="139">
        <v>15</v>
      </c>
      <c r="AE1106" s="138">
        <v>95</v>
      </c>
      <c r="AG1106" s="136">
        <v>59.75</v>
      </c>
      <c r="AH1106" s="137">
        <v>7</v>
      </c>
      <c r="AI1106" s="138">
        <v>16</v>
      </c>
      <c r="AK1106" s="136">
        <v>59.59</v>
      </c>
      <c r="AL1106" s="139">
        <v>18</v>
      </c>
      <c r="AM1106" s="138" t="s">
        <v>884</v>
      </c>
    </row>
    <row r="1107" spans="21:39" x14ac:dyDescent="0.3">
      <c r="U1107" s="136">
        <v>59.72</v>
      </c>
      <c r="V1107" s="139">
        <v>13</v>
      </c>
      <c r="W1107" s="138">
        <v>85</v>
      </c>
      <c r="Y1107" s="136">
        <v>59.49</v>
      </c>
      <c r="Z1107" s="139">
        <v>6</v>
      </c>
      <c r="AA1107" s="138">
        <v>9</v>
      </c>
      <c r="AC1107" s="136">
        <v>59.75</v>
      </c>
      <c r="AD1107" s="139">
        <v>16</v>
      </c>
      <c r="AE1107" s="138">
        <v>98</v>
      </c>
      <c r="AG1107" s="136">
        <v>59.77</v>
      </c>
      <c r="AH1107" s="137">
        <v>8</v>
      </c>
      <c r="AI1107" s="138">
        <v>25</v>
      </c>
      <c r="AK1107" s="136">
        <v>59.6</v>
      </c>
      <c r="AL1107" s="139">
        <v>19</v>
      </c>
      <c r="AM1107" s="138" t="s">
        <v>884</v>
      </c>
    </row>
    <row r="1108" spans="21:39" x14ac:dyDescent="0.3">
      <c r="U1108" s="136">
        <v>59.74</v>
      </c>
      <c r="V1108" s="139">
        <v>14</v>
      </c>
      <c r="W1108" s="138">
        <v>91</v>
      </c>
      <c r="Y1108" s="136">
        <v>59.51</v>
      </c>
      <c r="Z1108" s="139">
        <v>7</v>
      </c>
      <c r="AA1108" s="138">
        <v>16</v>
      </c>
      <c r="AC1108" s="136">
        <v>59.78</v>
      </c>
      <c r="AD1108" s="139">
        <v>17</v>
      </c>
      <c r="AE1108" s="138">
        <v>99</v>
      </c>
      <c r="AG1108" s="136">
        <v>59.78</v>
      </c>
      <c r="AH1108" s="137">
        <v>9</v>
      </c>
      <c r="AI1108" s="138">
        <v>37</v>
      </c>
    </row>
    <row r="1109" spans="21:39" x14ac:dyDescent="0.3">
      <c r="U1109" s="136">
        <v>59.76</v>
      </c>
      <c r="V1109" s="139">
        <v>15</v>
      </c>
      <c r="W1109" s="138">
        <v>95</v>
      </c>
      <c r="Y1109" s="136">
        <v>59.52</v>
      </c>
      <c r="Z1109" s="139">
        <v>8</v>
      </c>
      <c r="AA1109" s="138">
        <v>25</v>
      </c>
      <c r="AC1109" s="136">
        <v>59.8</v>
      </c>
      <c r="AD1109" s="139">
        <v>18</v>
      </c>
      <c r="AE1109" s="138" t="s">
        <v>884</v>
      </c>
      <c r="AG1109" s="136">
        <v>59.79</v>
      </c>
      <c r="AH1109" s="137">
        <v>10</v>
      </c>
      <c r="AI1109" s="138">
        <v>50</v>
      </c>
    </row>
    <row r="1110" spans="21:39" x14ac:dyDescent="0.3">
      <c r="U1110" s="136">
        <v>59.77</v>
      </c>
      <c r="V1110" s="139">
        <v>16</v>
      </c>
      <c r="W1110" s="138">
        <v>98</v>
      </c>
      <c r="Y1110" s="136">
        <v>59.54</v>
      </c>
      <c r="Z1110" s="139">
        <v>9</v>
      </c>
      <c r="AA1110" s="138">
        <v>37</v>
      </c>
      <c r="AC1110" s="136">
        <v>59.82</v>
      </c>
      <c r="AD1110" s="139">
        <v>19</v>
      </c>
      <c r="AE1110" s="138" t="s">
        <v>884</v>
      </c>
      <c r="AG1110" s="136">
        <v>59.8</v>
      </c>
      <c r="AH1110" s="137">
        <v>11</v>
      </c>
      <c r="AI1110" s="138">
        <v>63</v>
      </c>
    </row>
    <row r="1111" spans="21:39" x14ac:dyDescent="0.3">
      <c r="U1111" s="136">
        <v>59.79</v>
      </c>
      <c r="V1111" s="139">
        <v>17</v>
      </c>
      <c r="W1111" s="138">
        <v>99</v>
      </c>
      <c r="Y1111" s="136">
        <v>59.55</v>
      </c>
      <c r="Z1111" s="139">
        <v>10</v>
      </c>
      <c r="AA1111" s="138">
        <v>50</v>
      </c>
      <c r="AG1111" s="136">
        <v>59.82</v>
      </c>
      <c r="AH1111" s="137">
        <v>12</v>
      </c>
      <c r="AI1111" s="138">
        <v>75</v>
      </c>
    </row>
    <row r="1112" spans="21:39" x14ac:dyDescent="0.3">
      <c r="U1112" s="136">
        <v>59.81</v>
      </c>
      <c r="V1112" s="139">
        <v>18</v>
      </c>
      <c r="W1112" s="138" t="s">
        <v>884</v>
      </c>
      <c r="Y1112" s="136">
        <v>59.57</v>
      </c>
      <c r="Z1112" s="139">
        <v>11</v>
      </c>
      <c r="AA1112" s="138">
        <v>63</v>
      </c>
      <c r="AG1112" s="136">
        <v>59.83</v>
      </c>
      <c r="AH1112" s="137">
        <v>13</v>
      </c>
      <c r="AI1112" s="138">
        <v>85</v>
      </c>
    </row>
    <row r="1113" spans="21:39" x14ac:dyDescent="0.3">
      <c r="U1113" s="136">
        <v>59.83</v>
      </c>
      <c r="V1113" s="139">
        <v>19</v>
      </c>
      <c r="W1113" s="138" t="s">
        <v>884</v>
      </c>
      <c r="Y1113" s="136">
        <v>59.58</v>
      </c>
      <c r="Z1113" s="139">
        <v>12</v>
      </c>
      <c r="AA1113" s="138">
        <v>75</v>
      </c>
      <c r="AG1113" s="136">
        <v>59.84</v>
      </c>
      <c r="AH1113" s="137">
        <v>14</v>
      </c>
      <c r="AI1113" s="138">
        <v>91</v>
      </c>
    </row>
    <row r="1114" spans="21:39" x14ac:dyDescent="0.3">
      <c r="Y1114" s="136">
        <v>59.6</v>
      </c>
      <c r="Z1114" s="139">
        <v>13</v>
      </c>
      <c r="AA1114" s="138">
        <v>85</v>
      </c>
      <c r="AG1114" s="136">
        <v>59.85</v>
      </c>
      <c r="AH1114" s="137">
        <v>15</v>
      </c>
      <c r="AI1114" s="138">
        <v>95</v>
      </c>
    </row>
    <row r="1115" spans="21:39" x14ac:dyDescent="0.3">
      <c r="Y1115" s="136">
        <v>59.61</v>
      </c>
      <c r="Z1115" s="139">
        <v>14</v>
      </c>
      <c r="AA1115" s="138">
        <v>91</v>
      </c>
      <c r="AG1115" s="136">
        <v>59.86</v>
      </c>
      <c r="AH1115" s="137">
        <v>16</v>
      </c>
      <c r="AI1115" s="138">
        <v>98</v>
      </c>
    </row>
    <row r="1116" spans="21:39" x14ac:dyDescent="0.3">
      <c r="Y1116" s="136">
        <v>59.63</v>
      </c>
      <c r="Z1116" s="139">
        <v>15</v>
      </c>
      <c r="AA1116" s="138">
        <v>95</v>
      </c>
      <c r="AG1116" s="136">
        <v>59.87</v>
      </c>
      <c r="AH1116" s="137">
        <v>17</v>
      </c>
      <c r="AI1116" s="138">
        <v>99</v>
      </c>
    </row>
    <row r="1117" spans="21:39" x14ac:dyDescent="0.3">
      <c r="Y1117" s="136">
        <v>59.64</v>
      </c>
      <c r="Z1117" s="139">
        <v>16</v>
      </c>
      <c r="AA1117" s="138">
        <v>98</v>
      </c>
      <c r="AG1117" s="136">
        <v>59.88</v>
      </c>
      <c r="AH1117" s="137">
        <v>18</v>
      </c>
      <c r="AI1117" s="138" t="s">
        <v>884</v>
      </c>
    </row>
    <row r="1118" spans="21:39" x14ac:dyDescent="0.3">
      <c r="Y1118" s="136">
        <v>59.66</v>
      </c>
      <c r="Z1118" s="139">
        <v>17</v>
      </c>
      <c r="AA1118" s="138">
        <v>99</v>
      </c>
      <c r="AG1118" s="136">
        <v>59.89</v>
      </c>
      <c r="AH1118" s="137">
        <v>19</v>
      </c>
      <c r="AI1118" s="138" t="s">
        <v>884</v>
      </c>
    </row>
    <row r="1119" spans="21:39" x14ac:dyDescent="0.3">
      <c r="Y1119" s="136">
        <v>59.67</v>
      </c>
      <c r="Z1119" s="139">
        <v>18</v>
      </c>
      <c r="AA1119" s="138" t="s">
        <v>884</v>
      </c>
    </row>
    <row r="1120" spans="21:39" x14ac:dyDescent="0.3">
      <c r="Y1120" s="136">
        <v>59.69</v>
      </c>
      <c r="Z1120" s="139">
        <v>19</v>
      </c>
      <c r="AA1120" s="138" t="s">
        <v>884</v>
      </c>
    </row>
  </sheetData>
  <sheetProtection algorithmName="SHA-512" hashValue="PhduT6s1GXDWMng2R/tYCK+sS7oCon3ELIVmjd+0EyUtAnWLEck4cnXAHjI722VZDfD0bbYbtgYWmoS+cS4Fow==" saltValue="zX19adUDevfkX5tMMvmEtg==" spinCount="100000" sheet="1" objects="1" scenarios="1"/>
  <mergeCells count="13">
    <mergeCell ref="AV3:AY3"/>
    <mergeCell ref="AZ3:BC3"/>
    <mergeCell ref="AN3:AQ3"/>
    <mergeCell ref="AR3:AU3"/>
    <mergeCell ref="X3:AA3"/>
    <mergeCell ref="AB3:AE3"/>
    <mergeCell ref="AF3:AI3"/>
    <mergeCell ref="AJ3:AM3"/>
    <mergeCell ref="D3:G3"/>
    <mergeCell ref="H3:K3"/>
    <mergeCell ref="L3:O3"/>
    <mergeCell ref="P3:S3"/>
    <mergeCell ref="T3:W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4DC3-C856-4739-86BF-665BB28F4B5F}">
  <dimension ref="B1:G112"/>
  <sheetViews>
    <sheetView topLeftCell="A10" workbookViewId="0">
      <selection activeCell="E12" sqref="E12:E102"/>
    </sheetView>
  </sheetViews>
  <sheetFormatPr defaultRowHeight="15" x14ac:dyDescent="0.25"/>
  <cols>
    <col min="2" max="2" width="15.140625" style="2" customWidth="1"/>
    <col min="3" max="4" width="9.140625" style="175"/>
    <col min="5" max="5" width="12.42578125" style="2" customWidth="1"/>
    <col min="6" max="7" width="9.140625" style="2"/>
  </cols>
  <sheetData>
    <row r="1" spans="2:7" ht="30.75" thickBot="1" x14ac:dyDescent="0.3">
      <c r="B1" s="170" t="s">
        <v>902</v>
      </c>
      <c r="C1" s="172" t="s">
        <v>903</v>
      </c>
      <c r="D1" s="172" t="s">
        <v>904</v>
      </c>
      <c r="E1" s="171" t="s">
        <v>905</v>
      </c>
      <c r="F1" s="171" t="s">
        <v>906</v>
      </c>
      <c r="G1" s="180" t="s">
        <v>907</v>
      </c>
    </row>
    <row r="2" spans="2:7" x14ac:dyDescent="0.25">
      <c r="B2" s="105">
        <v>45</v>
      </c>
      <c r="C2" s="173" t="s">
        <v>862</v>
      </c>
      <c r="D2" s="173" t="s">
        <v>862</v>
      </c>
      <c r="E2" s="21"/>
      <c r="F2" s="177">
        <v>-3.67</v>
      </c>
      <c r="G2" s="37">
        <v>13</v>
      </c>
    </row>
    <row r="3" spans="2:7" x14ac:dyDescent="0.25">
      <c r="B3" s="31">
        <v>46</v>
      </c>
      <c r="C3" s="174" t="s">
        <v>862</v>
      </c>
      <c r="D3" s="174" t="s">
        <v>862</v>
      </c>
      <c r="E3" s="8"/>
      <c r="F3" s="178">
        <v>-3.6</v>
      </c>
      <c r="G3" s="181">
        <v>14</v>
      </c>
    </row>
    <row r="4" spans="2:7" x14ac:dyDescent="0.25">
      <c r="B4" s="31">
        <v>47</v>
      </c>
      <c r="C4" s="174" t="s">
        <v>862</v>
      </c>
      <c r="D4" s="174" t="s">
        <v>862</v>
      </c>
      <c r="E4" s="8"/>
      <c r="F4" s="178">
        <v>-3.53</v>
      </c>
      <c r="G4" s="181">
        <v>15</v>
      </c>
    </row>
    <row r="5" spans="2:7" x14ac:dyDescent="0.25">
      <c r="B5" s="31">
        <v>48</v>
      </c>
      <c r="C5" s="174" t="s">
        <v>862</v>
      </c>
      <c r="D5" s="174" t="s">
        <v>862</v>
      </c>
      <c r="E5" s="8"/>
      <c r="F5" s="178">
        <v>-3.47</v>
      </c>
      <c r="G5" s="181">
        <v>15</v>
      </c>
    </row>
    <row r="6" spans="2:7" x14ac:dyDescent="0.25">
      <c r="B6" s="31">
        <v>49</v>
      </c>
      <c r="C6" s="174" t="s">
        <v>862</v>
      </c>
      <c r="D6" s="174" t="s">
        <v>862</v>
      </c>
      <c r="E6" s="8"/>
      <c r="F6" s="178">
        <v>-3.4</v>
      </c>
      <c r="G6" s="181">
        <v>16</v>
      </c>
    </row>
    <row r="7" spans="2:7" x14ac:dyDescent="0.25">
      <c r="B7" s="31">
        <v>50</v>
      </c>
      <c r="C7" s="174" t="s">
        <v>862</v>
      </c>
      <c r="D7" s="174" t="s">
        <v>862</v>
      </c>
      <c r="E7" s="8"/>
      <c r="F7" s="178">
        <v>-3.33</v>
      </c>
      <c r="G7" s="181">
        <v>17</v>
      </c>
    </row>
    <row r="8" spans="2:7" x14ac:dyDescent="0.25">
      <c r="B8" s="31">
        <v>51</v>
      </c>
      <c r="C8" s="174" t="s">
        <v>862</v>
      </c>
      <c r="D8" s="174" t="s">
        <v>862</v>
      </c>
      <c r="E8" s="8"/>
      <c r="F8" s="178">
        <v>-3.27</v>
      </c>
      <c r="G8" s="181">
        <v>17</v>
      </c>
    </row>
    <row r="9" spans="2:7" x14ac:dyDescent="0.25">
      <c r="B9" s="31">
        <v>52</v>
      </c>
      <c r="C9" s="174" t="s">
        <v>908</v>
      </c>
      <c r="D9" s="174" t="s">
        <v>862</v>
      </c>
      <c r="E9" s="8"/>
      <c r="F9" s="178">
        <v>-3.2</v>
      </c>
      <c r="G9" s="181">
        <v>18</v>
      </c>
    </row>
    <row r="10" spans="2:7" x14ac:dyDescent="0.25">
      <c r="B10" s="31">
        <v>53</v>
      </c>
      <c r="C10" s="174" t="s">
        <v>908</v>
      </c>
      <c r="D10" s="174" t="s">
        <v>862</v>
      </c>
      <c r="E10" s="8"/>
      <c r="F10" s="178">
        <v>-3.13</v>
      </c>
      <c r="G10" s="181">
        <v>19</v>
      </c>
    </row>
    <row r="11" spans="2:7" x14ac:dyDescent="0.25">
      <c r="B11" s="31">
        <v>54</v>
      </c>
      <c r="C11" s="174" t="s">
        <v>908</v>
      </c>
      <c r="D11" s="174" t="s">
        <v>862</v>
      </c>
      <c r="E11" s="8"/>
      <c r="F11" s="178">
        <v>-3.07</v>
      </c>
      <c r="G11" s="181">
        <v>19</v>
      </c>
    </row>
    <row r="12" spans="2:7" x14ac:dyDescent="0.25">
      <c r="B12" s="31">
        <v>55</v>
      </c>
      <c r="C12" s="174" t="s">
        <v>908</v>
      </c>
      <c r="D12" s="174" t="s">
        <v>862</v>
      </c>
      <c r="E12" s="8">
        <v>1</v>
      </c>
      <c r="F12" s="178">
        <v>-3</v>
      </c>
      <c r="G12" s="181">
        <v>20</v>
      </c>
    </row>
    <row r="13" spans="2:7" x14ac:dyDescent="0.25">
      <c r="B13" s="31">
        <v>56</v>
      </c>
      <c r="C13" s="174" t="s">
        <v>909</v>
      </c>
      <c r="D13" s="174" t="s">
        <v>862</v>
      </c>
      <c r="E13" s="8"/>
      <c r="F13" s="178">
        <v>-2.93</v>
      </c>
      <c r="G13" s="181">
        <v>21</v>
      </c>
    </row>
    <row r="14" spans="2:7" x14ac:dyDescent="0.25">
      <c r="B14" s="31">
        <v>57</v>
      </c>
      <c r="C14" s="174" t="s">
        <v>909</v>
      </c>
      <c r="D14" s="174" t="s">
        <v>862</v>
      </c>
      <c r="E14" s="8"/>
      <c r="F14" s="178">
        <v>-2.87</v>
      </c>
      <c r="G14" s="181">
        <v>21</v>
      </c>
    </row>
    <row r="15" spans="2:7" x14ac:dyDescent="0.25">
      <c r="B15" s="31">
        <v>58</v>
      </c>
      <c r="C15" s="174" t="s">
        <v>910</v>
      </c>
      <c r="D15" s="174" t="s">
        <v>862</v>
      </c>
      <c r="E15" s="8"/>
      <c r="F15" s="178">
        <v>-2.8</v>
      </c>
      <c r="G15" s="181">
        <v>22</v>
      </c>
    </row>
    <row r="16" spans="2:7" x14ac:dyDescent="0.25">
      <c r="B16" s="31">
        <v>59</v>
      </c>
      <c r="C16" s="174" t="s">
        <v>910</v>
      </c>
      <c r="D16" s="174" t="s">
        <v>862</v>
      </c>
      <c r="E16" s="8"/>
      <c r="F16" s="178">
        <v>-2.73</v>
      </c>
      <c r="G16" s="181">
        <v>23</v>
      </c>
    </row>
    <row r="17" spans="2:7" x14ac:dyDescent="0.25">
      <c r="B17" s="31">
        <v>60</v>
      </c>
      <c r="C17" s="174" t="s">
        <v>911</v>
      </c>
      <c r="D17" s="174" t="s">
        <v>862</v>
      </c>
      <c r="E17" s="8">
        <v>2</v>
      </c>
      <c r="F17" s="178">
        <v>-3.67</v>
      </c>
      <c r="G17" s="181">
        <v>23</v>
      </c>
    </row>
    <row r="18" spans="2:7" x14ac:dyDescent="0.25">
      <c r="B18" s="31">
        <v>61</v>
      </c>
      <c r="C18" s="174" t="s">
        <v>912</v>
      </c>
      <c r="D18" s="174" t="s">
        <v>862</v>
      </c>
      <c r="E18" s="8"/>
      <c r="F18" s="178">
        <v>-2.6</v>
      </c>
      <c r="G18" s="181">
        <v>24</v>
      </c>
    </row>
    <row r="19" spans="2:7" x14ac:dyDescent="0.25">
      <c r="B19" s="31">
        <v>62</v>
      </c>
      <c r="C19" s="174" t="s">
        <v>876</v>
      </c>
      <c r="D19" s="174" t="s">
        <v>862</v>
      </c>
      <c r="E19" s="8"/>
      <c r="F19" s="178">
        <v>-3.53</v>
      </c>
      <c r="G19" s="181">
        <v>25</v>
      </c>
    </row>
    <row r="20" spans="2:7" x14ac:dyDescent="0.25">
      <c r="B20" s="31">
        <v>63</v>
      </c>
      <c r="C20" s="174" t="s">
        <v>876</v>
      </c>
      <c r="D20" s="174" t="s">
        <v>862</v>
      </c>
      <c r="E20" s="8"/>
      <c r="F20" s="178">
        <v>-2.4700000000000002</v>
      </c>
      <c r="G20" s="181">
        <v>25</v>
      </c>
    </row>
    <row r="21" spans="2:7" x14ac:dyDescent="0.25">
      <c r="B21" s="31">
        <v>64</v>
      </c>
      <c r="C21" s="174" t="s">
        <v>876</v>
      </c>
      <c r="D21" s="174" t="s">
        <v>862</v>
      </c>
      <c r="E21" s="8"/>
      <c r="F21" s="178">
        <v>-2.4</v>
      </c>
      <c r="G21" s="181">
        <v>26</v>
      </c>
    </row>
    <row r="22" spans="2:7" x14ac:dyDescent="0.25">
      <c r="B22" s="31">
        <v>65</v>
      </c>
      <c r="C22" s="174" t="s">
        <v>876</v>
      </c>
      <c r="D22" s="174" t="s">
        <v>876</v>
      </c>
      <c r="E22" s="8">
        <v>3</v>
      </c>
      <c r="F22" s="178">
        <v>-2.33</v>
      </c>
      <c r="G22" s="181">
        <v>27</v>
      </c>
    </row>
    <row r="23" spans="2:7" x14ac:dyDescent="0.25">
      <c r="B23" s="31">
        <v>66</v>
      </c>
      <c r="C23" s="174" t="s">
        <v>876</v>
      </c>
      <c r="D23" s="174" t="s">
        <v>863</v>
      </c>
      <c r="E23" s="8"/>
      <c r="F23" s="178">
        <v>-2.27</v>
      </c>
      <c r="G23" s="181">
        <v>27</v>
      </c>
    </row>
    <row r="24" spans="2:7" x14ac:dyDescent="0.25">
      <c r="B24" s="31">
        <v>67</v>
      </c>
      <c r="C24" s="174" t="s">
        <v>876</v>
      </c>
      <c r="D24" s="174" t="s">
        <v>914</v>
      </c>
      <c r="E24" s="8"/>
      <c r="F24" s="178">
        <v>-2.2000000000000002</v>
      </c>
      <c r="G24" s="181">
        <v>28</v>
      </c>
    </row>
    <row r="25" spans="2:7" x14ac:dyDescent="0.25">
      <c r="B25" s="31">
        <v>68</v>
      </c>
      <c r="C25" s="174" t="s">
        <v>863</v>
      </c>
      <c r="D25" s="174" t="s">
        <v>877</v>
      </c>
      <c r="E25" s="8"/>
      <c r="F25" s="178">
        <v>-2.13</v>
      </c>
      <c r="G25" s="181">
        <v>29</v>
      </c>
    </row>
    <row r="26" spans="2:7" x14ac:dyDescent="0.25">
      <c r="B26" s="31">
        <v>69</v>
      </c>
      <c r="C26" s="174" t="s">
        <v>863</v>
      </c>
      <c r="D26" s="174" t="s">
        <v>915</v>
      </c>
      <c r="E26" s="8"/>
      <c r="F26" s="178">
        <v>-2.0699999999999998</v>
      </c>
      <c r="G26" s="181">
        <v>29</v>
      </c>
    </row>
    <row r="27" spans="2:7" x14ac:dyDescent="0.25">
      <c r="B27" s="31">
        <v>70</v>
      </c>
      <c r="C27" s="174" t="s">
        <v>863</v>
      </c>
      <c r="D27" s="174" t="s">
        <v>917</v>
      </c>
      <c r="E27" s="8">
        <v>4</v>
      </c>
      <c r="F27" s="178">
        <v>-2</v>
      </c>
      <c r="G27" s="181">
        <v>30</v>
      </c>
    </row>
    <row r="28" spans="2:7" x14ac:dyDescent="0.25">
      <c r="B28" s="31">
        <v>71</v>
      </c>
      <c r="C28" s="174" t="s">
        <v>913</v>
      </c>
      <c r="D28" s="174" t="s">
        <v>864</v>
      </c>
      <c r="E28" s="8"/>
      <c r="F28" s="178">
        <v>-1.93</v>
      </c>
      <c r="G28" s="181">
        <v>31</v>
      </c>
    </row>
    <row r="29" spans="2:7" x14ac:dyDescent="0.25">
      <c r="B29" s="31">
        <v>72</v>
      </c>
      <c r="C29" s="174" t="s">
        <v>913</v>
      </c>
      <c r="D29" s="174" t="s">
        <v>959</v>
      </c>
      <c r="E29" s="8"/>
      <c r="F29" s="178">
        <v>-1.87</v>
      </c>
      <c r="G29" s="181">
        <v>31</v>
      </c>
    </row>
    <row r="30" spans="2:7" x14ac:dyDescent="0.25">
      <c r="B30" s="31">
        <v>73</v>
      </c>
      <c r="C30" s="174" t="s">
        <v>914</v>
      </c>
      <c r="D30" s="174" t="s">
        <v>918</v>
      </c>
      <c r="E30" s="8"/>
      <c r="F30" s="178">
        <v>-1.8</v>
      </c>
      <c r="G30" s="181">
        <v>32</v>
      </c>
    </row>
    <row r="31" spans="2:7" x14ac:dyDescent="0.25">
      <c r="B31" s="31">
        <v>74</v>
      </c>
      <c r="C31" s="174" t="s">
        <v>914</v>
      </c>
      <c r="D31" s="174" t="s">
        <v>919</v>
      </c>
      <c r="E31" s="8"/>
      <c r="F31" s="178">
        <v>-1.73</v>
      </c>
      <c r="G31" s="181">
        <v>33</v>
      </c>
    </row>
    <row r="32" spans="2:7" x14ac:dyDescent="0.25">
      <c r="B32" s="31">
        <v>75</v>
      </c>
      <c r="C32" s="174" t="s">
        <v>877</v>
      </c>
      <c r="D32" s="174" t="s">
        <v>880</v>
      </c>
      <c r="E32" s="8">
        <v>5</v>
      </c>
      <c r="F32" s="178">
        <v>-1.67</v>
      </c>
      <c r="G32" s="181">
        <v>33</v>
      </c>
    </row>
    <row r="33" spans="2:7" x14ac:dyDescent="0.25">
      <c r="B33" s="31">
        <v>76</v>
      </c>
      <c r="C33" s="174" t="s">
        <v>877</v>
      </c>
      <c r="D33" s="174" t="s">
        <v>878</v>
      </c>
      <c r="E33" s="8"/>
      <c r="F33" s="178">
        <v>-1.6</v>
      </c>
      <c r="G33" s="181">
        <v>34</v>
      </c>
    </row>
    <row r="34" spans="2:7" x14ac:dyDescent="0.25">
      <c r="B34" s="31">
        <v>77</v>
      </c>
      <c r="C34" s="174" t="s">
        <v>915</v>
      </c>
      <c r="D34" s="174" t="s">
        <v>875</v>
      </c>
      <c r="E34" s="8"/>
      <c r="F34" s="178">
        <v>-1.53</v>
      </c>
      <c r="G34" s="181">
        <v>35</v>
      </c>
    </row>
    <row r="35" spans="2:7" x14ac:dyDescent="0.25">
      <c r="B35" s="31">
        <v>78</v>
      </c>
      <c r="C35" s="174" t="s">
        <v>916</v>
      </c>
      <c r="D35" s="174" t="s">
        <v>921</v>
      </c>
      <c r="E35" s="8"/>
      <c r="F35" s="178">
        <v>-1.47</v>
      </c>
      <c r="G35" s="181">
        <v>35</v>
      </c>
    </row>
    <row r="36" spans="2:7" x14ac:dyDescent="0.25">
      <c r="B36" s="31">
        <v>79</v>
      </c>
      <c r="C36" s="174" t="s">
        <v>917</v>
      </c>
      <c r="D36" s="174" t="s">
        <v>922</v>
      </c>
      <c r="E36" s="8"/>
      <c r="F36" s="178">
        <v>-1.4</v>
      </c>
      <c r="G36" s="181">
        <v>36</v>
      </c>
    </row>
    <row r="37" spans="2:7" x14ac:dyDescent="0.25">
      <c r="B37" s="31">
        <v>80</v>
      </c>
      <c r="C37" s="174" t="s">
        <v>864</v>
      </c>
      <c r="D37" s="174" t="s">
        <v>960</v>
      </c>
      <c r="E37" s="8">
        <v>6</v>
      </c>
      <c r="F37" s="178">
        <v>-1.33</v>
      </c>
      <c r="G37" s="181">
        <v>37</v>
      </c>
    </row>
    <row r="38" spans="2:7" x14ac:dyDescent="0.25">
      <c r="B38" s="31">
        <v>81</v>
      </c>
      <c r="C38" s="174" t="s">
        <v>882</v>
      </c>
      <c r="D38" s="174" t="s">
        <v>923</v>
      </c>
      <c r="E38" s="8"/>
      <c r="F38" s="178">
        <v>-1.27</v>
      </c>
      <c r="G38" s="181">
        <v>37</v>
      </c>
    </row>
    <row r="39" spans="2:7" x14ac:dyDescent="0.25">
      <c r="B39" s="31">
        <v>82</v>
      </c>
      <c r="C39" s="174" t="s">
        <v>918</v>
      </c>
      <c r="D39" s="174" t="s">
        <v>865</v>
      </c>
      <c r="E39" s="8"/>
      <c r="F39" s="178">
        <v>-1.2</v>
      </c>
      <c r="G39" s="181">
        <v>38</v>
      </c>
    </row>
    <row r="40" spans="2:7" x14ac:dyDescent="0.25">
      <c r="B40" s="31">
        <v>83</v>
      </c>
      <c r="C40" s="174" t="s">
        <v>919</v>
      </c>
      <c r="D40" s="174" t="s">
        <v>961</v>
      </c>
      <c r="E40" s="8"/>
      <c r="F40" s="178">
        <v>-1.1299999999999999</v>
      </c>
      <c r="G40" s="181">
        <v>39</v>
      </c>
    </row>
    <row r="41" spans="2:7" x14ac:dyDescent="0.25">
      <c r="B41" s="31">
        <v>84</v>
      </c>
      <c r="C41" s="174" t="s">
        <v>920</v>
      </c>
      <c r="D41" s="174" t="s">
        <v>962</v>
      </c>
      <c r="E41" s="8"/>
      <c r="F41" s="178">
        <v>-1.07</v>
      </c>
      <c r="G41" s="181">
        <v>39</v>
      </c>
    </row>
    <row r="42" spans="2:7" x14ac:dyDescent="0.25">
      <c r="B42" s="31">
        <v>85</v>
      </c>
      <c r="C42" s="174" t="s">
        <v>878</v>
      </c>
      <c r="D42" s="174" t="s">
        <v>963</v>
      </c>
      <c r="E42" s="8">
        <v>7</v>
      </c>
      <c r="F42" s="178">
        <v>-1</v>
      </c>
      <c r="G42" s="181">
        <v>40</v>
      </c>
    </row>
    <row r="43" spans="2:7" x14ac:dyDescent="0.25">
      <c r="B43" s="31">
        <v>86</v>
      </c>
      <c r="C43" s="174" t="s">
        <v>875</v>
      </c>
      <c r="D43" s="174" t="s">
        <v>925</v>
      </c>
      <c r="E43" s="8"/>
      <c r="F43" s="178">
        <v>-0.93</v>
      </c>
      <c r="G43" s="181">
        <v>41</v>
      </c>
    </row>
    <row r="44" spans="2:7" x14ac:dyDescent="0.25">
      <c r="B44" s="31">
        <v>87</v>
      </c>
      <c r="C44" s="174" t="s">
        <v>921</v>
      </c>
      <c r="D44" s="174" t="s">
        <v>926</v>
      </c>
      <c r="E44" s="8"/>
      <c r="F44" s="178">
        <v>-0.87</v>
      </c>
      <c r="G44" s="181">
        <v>41</v>
      </c>
    </row>
    <row r="45" spans="2:7" x14ac:dyDescent="0.25">
      <c r="B45" s="31">
        <v>88</v>
      </c>
      <c r="C45" s="174" t="s">
        <v>922</v>
      </c>
      <c r="D45" s="174" t="s">
        <v>964</v>
      </c>
      <c r="E45" s="8"/>
      <c r="F45" s="178">
        <v>-0.8</v>
      </c>
      <c r="G45" s="181">
        <v>42</v>
      </c>
    </row>
    <row r="46" spans="2:7" x14ac:dyDescent="0.25">
      <c r="B46" s="31">
        <v>89</v>
      </c>
      <c r="C46" s="174" t="s">
        <v>923</v>
      </c>
      <c r="D46" s="174" t="s">
        <v>965</v>
      </c>
      <c r="E46" s="8"/>
      <c r="F46" s="178">
        <v>-0.73</v>
      </c>
      <c r="G46" s="181">
        <v>43</v>
      </c>
    </row>
    <row r="47" spans="2:7" x14ac:dyDescent="0.25">
      <c r="B47" s="31">
        <v>90</v>
      </c>
      <c r="C47" s="174" t="s">
        <v>865</v>
      </c>
      <c r="D47" s="174" t="s">
        <v>966</v>
      </c>
      <c r="E47" s="8">
        <v>8</v>
      </c>
      <c r="F47" s="178">
        <v>-0.67</v>
      </c>
      <c r="G47" s="181">
        <v>43</v>
      </c>
    </row>
    <row r="48" spans="2:7" x14ac:dyDescent="0.25">
      <c r="B48" s="31">
        <v>91</v>
      </c>
      <c r="C48" s="174" t="s">
        <v>924</v>
      </c>
      <c r="D48" s="174" t="s">
        <v>879</v>
      </c>
      <c r="E48" s="8"/>
      <c r="F48" s="178">
        <v>-0.6</v>
      </c>
      <c r="G48" s="181">
        <v>44</v>
      </c>
    </row>
    <row r="49" spans="2:7" x14ac:dyDescent="0.25">
      <c r="B49" s="31">
        <v>92</v>
      </c>
      <c r="C49" s="174" t="s">
        <v>925</v>
      </c>
      <c r="D49" s="174" t="s">
        <v>928</v>
      </c>
      <c r="E49" s="8"/>
      <c r="F49" s="178">
        <v>-0.53</v>
      </c>
      <c r="G49" s="181">
        <v>45</v>
      </c>
    </row>
    <row r="50" spans="2:7" x14ac:dyDescent="0.25">
      <c r="B50" s="31">
        <v>93</v>
      </c>
      <c r="C50" s="174" t="s">
        <v>926</v>
      </c>
      <c r="D50" s="174" t="s">
        <v>967</v>
      </c>
      <c r="E50" s="8"/>
      <c r="F50" s="178">
        <v>-0.47</v>
      </c>
      <c r="G50" s="181">
        <v>45</v>
      </c>
    </row>
    <row r="51" spans="2:7" x14ac:dyDescent="0.25">
      <c r="B51" s="31">
        <v>94</v>
      </c>
      <c r="C51" s="174" t="s">
        <v>927</v>
      </c>
      <c r="D51" s="174" t="s">
        <v>929</v>
      </c>
      <c r="E51" s="8"/>
      <c r="F51" s="178">
        <v>-0.4</v>
      </c>
      <c r="G51" s="181">
        <v>46</v>
      </c>
    </row>
    <row r="52" spans="2:7" x14ac:dyDescent="0.25">
      <c r="B52" s="31">
        <v>95</v>
      </c>
      <c r="C52" s="174" t="s">
        <v>879</v>
      </c>
      <c r="D52" s="174" t="s">
        <v>968</v>
      </c>
      <c r="E52" s="8">
        <v>9</v>
      </c>
      <c r="F52" s="178">
        <v>-0.33</v>
      </c>
      <c r="G52" s="181">
        <v>47</v>
      </c>
    </row>
    <row r="53" spans="2:7" x14ac:dyDescent="0.25">
      <c r="B53" s="31">
        <v>96</v>
      </c>
      <c r="C53" s="174" t="s">
        <v>928</v>
      </c>
      <c r="D53" s="174" t="s">
        <v>969</v>
      </c>
      <c r="E53" s="8"/>
      <c r="F53" s="178">
        <v>-0.27</v>
      </c>
      <c r="G53" s="181">
        <v>47</v>
      </c>
    </row>
    <row r="54" spans="2:7" x14ac:dyDescent="0.25">
      <c r="B54" s="31">
        <v>97</v>
      </c>
      <c r="C54" s="174" t="s">
        <v>929</v>
      </c>
      <c r="D54" s="174" t="s">
        <v>970</v>
      </c>
      <c r="E54" s="8"/>
      <c r="F54" s="178">
        <v>-0.2</v>
      </c>
      <c r="G54" s="181">
        <v>48</v>
      </c>
    </row>
    <row r="55" spans="2:7" x14ac:dyDescent="0.25">
      <c r="B55" s="31">
        <v>98</v>
      </c>
      <c r="C55" s="174" t="s">
        <v>930</v>
      </c>
      <c r="D55" s="174" t="s">
        <v>931</v>
      </c>
      <c r="E55" s="8"/>
      <c r="F55" s="178">
        <v>-0.13</v>
      </c>
      <c r="G55" s="181">
        <v>49</v>
      </c>
    </row>
    <row r="56" spans="2:7" x14ac:dyDescent="0.25">
      <c r="B56" s="31">
        <v>99</v>
      </c>
      <c r="C56" s="174" t="s">
        <v>931</v>
      </c>
      <c r="D56" s="174" t="s">
        <v>971</v>
      </c>
      <c r="E56" s="8"/>
      <c r="F56" s="178" t="s">
        <v>986</v>
      </c>
      <c r="G56" s="181">
        <v>49</v>
      </c>
    </row>
    <row r="57" spans="2:7" x14ac:dyDescent="0.25">
      <c r="B57" s="31">
        <v>100</v>
      </c>
      <c r="C57" s="174" t="s">
        <v>866</v>
      </c>
      <c r="D57" s="174" t="s">
        <v>866</v>
      </c>
      <c r="E57" s="8">
        <v>10</v>
      </c>
      <c r="F57" s="178">
        <v>0</v>
      </c>
      <c r="G57" s="181">
        <v>50</v>
      </c>
    </row>
    <row r="58" spans="2:7" x14ac:dyDescent="0.25">
      <c r="B58" s="31">
        <v>101</v>
      </c>
      <c r="C58" s="174" t="s">
        <v>932</v>
      </c>
      <c r="D58" s="174" t="s">
        <v>972</v>
      </c>
      <c r="E58" s="8"/>
      <c r="F58" s="178">
        <v>7.0000000000000007E-2</v>
      </c>
      <c r="G58" s="181">
        <v>51</v>
      </c>
    </row>
    <row r="59" spans="2:7" x14ac:dyDescent="0.25">
      <c r="B59" s="31">
        <v>102</v>
      </c>
      <c r="C59" s="174" t="s">
        <v>933</v>
      </c>
      <c r="D59" s="174" t="s">
        <v>932</v>
      </c>
      <c r="E59" s="8"/>
      <c r="F59" s="178">
        <v>0.13</v>
      </c>
      <c r="G59" s="181">
        <v>51</v>
      </c>
    </row>
    <row r="60" spans="2:7" x14ac:dyDescent="0.25">
      <c r="B60" s="31">
        <v>103</v>
      </c>
      <c r="C60" s="174" t="s">
        <v>934</v>
      </c>
      <c r="D60" s="174" t="s">
        <v>973</v>
      </c>
      <c r="E60" s="8"/>
      <c r="F60" s="178">
        <v>0.2</v>
      </c>
      <c r="G60" s="181">
        <v>52</v>
      </c>
    </row>
    <row r="61" spans="2:7" x14ac:dyDescent="0.25">
      <c r="B61" s="31">
        <v>104</v>
      </c>
      <c r="C61" s="174" t="s">
        <v>935</v>
      </c>
      <c r="D61" s="174" t="s">
        <v>974</v>
      </c>
      <c r="E61" s="8"/>
      <c r="F61" s="178">
        <v>0.27</v>
      </c>
      <c r="G61" s="181">
        <v>53</v>
      </c>
    </row>
    <row r="62" spans="2:7" x14ac:dyDescent="0.25">
      <c r="B62" s="31">
        <v>105</v>
      </c>
      <c r="C62" s="174" t="s">
        <v>867</v>
      </c>
      <c r="D62" s="174" t="s">
        <v>975</v>
      </c>
      <c r="E62" s="8">
        <v>11</v>
      </c>
      <c r="F62" s="178">
        <v>0.33</v>
      </c>
      <c r="G62" s="181">
        <v>53</v>
      </c>
    </row>
    <row r="63" spans="2:7" x14ac:dyDescent="0.25">
      <c r="B63" s="31">
        <v>106</v>
      </c>
      <c r="C63" s="174" t="s">
        <v>936</v>
      </c>
      <c r="D63" s="174" t="s">
        <v>934</v>
      </c>
      <c r="E63" s="8"/>
      <c r="F63" s="178">
        <v>0.4</v>
      </c>
      <c r="G63" s="181">
        <v>54</v>
      </c>
    </row>
    <row r="64" spans="2:7" x14ac:dyDescent="0.25">
      <c r="B64" s="31">
        <v>107</v>
      </c>
      <c r="C64" s="174" t="s">
        <v>937</v>
      </c>
      <c r="D64" s="174" t="s">
        <v>976</v>
      </c>
      <c r="E64" s="8"/>
      <c r="F64" s="178">
        <v>0.47</v>
      </c>
      <c r="G64" s="181">
        <v>55</v>
      </c>
    </row>
    <row r="65" spans="2:7" x14ac:dyDescent="0.25">
      <c r="B65" s="31">
        <v>108</v>
      </c>
      <c r="C65" s="174" t="s">
        <v>938</v>
      </c>
      <c r="D65" s="174" t="s">
        <v>935</v>
      </c>
      <c r="E65" s="8"/>
      <c r="F65" s="178">
        <v>0.53</v>
      </c>
      <c r="G65" s="181">
        <v>55</v>
      </c>
    </row>
    <row r="66" spans="2:7" x14ac:dyDescent="0.25">
      <c r="B66" s="31">
        <v>109</v>
      </c>
      <c r="C66" s="174" t="s">
        <v>939</v>
      </c>
      <c r="D66" s="174" t="s">
        <v>867</v>
      </c>
      <c r="E66" s="8"/>
      <c r="F66" s="178">
        <v>0.6</v>
      </c>
      <c r="G66" s="181">
        <v>56</v>
      </c>
    </row>
    <row r="67" spans="2:7" x14ac:dyDescent="0.25">
      <c r="B67" s="31">
        <v>110</v>
      </c>
      <c r="C67" s="174" t="s">
        <v>868</v>
      </c>
      <c r="D67" s="174" t="s">
        <v>977</v>
      </c>
      <c r="E67" s="8">
        <v>12</v>
      </c>
      <c r="F67" s="178">
        <v>0.67</v>
      </c>
      <c r="G67" s="181">
        <v>57</v>
      </c>
    </row>
    <row r="68" spans="2:7" x14ac:dyDescent="0.25">
      <c r="B68" s="31">
        <v>111</v>
      </c>
      <c r="C68" s="174" t="s">
        <v>940</v>
      </c>
      <c r="D68" s="174" t="s">
        <v>978</v>
      </c>
      <c r="E68" s="8"/>
      <c r="F68" s="178">
        <v>0.73</v>
      </c>
      <c r="G68" s="181">
        <v>57</v>
      </c>
    </row>
    <row r="69" spans="2:7" x14ac:dyDescent="0.25">
      <c r="B69" s="31">
        <v>112</v>
      </c>
      <c r="C69" s="174" t="s">
        <v>941</v>
      </c>
      <c r="D69" s="174" t="s">
        <v>979</v>
      </c>
      <c r="E69" s="8"/>
      <c r="F69" s="178">
        <v>0.8</v>
      </c>
      <c r="G69" s="181">
        <v>58</v>
      </c>
    </row>
    <row r="70" spans="2:7" x14ac:dyDescent="0.25">
      <c r="B70" s="31">
        <v>113</v>
      </c>
      <c r="C70" s="174" t="s">
        <v>942</v>
      </c>
      <c r="D70" s="174" t="s">
        <v>937</v>
      </c>
      <c r="E70" s="8"/>
      <c r="F70" s="178">
        <v>0.87</v>
      </c>
      <c r="G70" s="181">
        <v>59</v>
      </c>
    </row>
    <row r="71" spans="2:7" x14ac:dyDescent="0.25">
      <c r="B71" s="31">
        <v>114</v>
      </c>
      <c r="C71" s="174" t="s">
        <v>943</v>
      </c>
      <c r="D71" s="174" t="s">
        <v>938</v>
      </c>
      <c r="E71" s="8"/>
      <c r="F71" s="178">
        <v>0.93</v>
      </c>
      <c r="G71" s="181">
        <v>59</v>
      </c>
    </row>
    <row r="72" spans="2:7" x14ac:dyDescent="0.25">
      <c r="B72" s="31">
        <v>115</v>
      </c>
      <c r="C72" s="174" t="s">
        <v>869</v>
      </c>
      <c r="D72" s="174" t="s">
        <v>980</v>
      </c>
      <c r="E72" s="8">
        <v>13</v>
      </c>
      <c r="F72" s="178">
        <v>1</v>
      </c>
      <c r="G72" s="181">
        <v>60</v>
      </c>
    </row>
    <row r="73" spans="2:7" x14ac:dyDescent="0.25">
      <c r="B73" s="31">
        <v>116</v>
      </c>
      <c r="C73" s="174" t="s">
        <v>944</v>
      </c>
      <c r="D73" s="174" t="s">
        <v>981</v>
      </c>
      <c r="E73" s="8"/>
      <c r="F73" s="178">
        <v>1.07</v>
      </c>
      <c r="G73" s="181">
        <v>61</v>
      </c>
    </row>
    <row r="74" spans="2:7" x14ac:dyDescent="0.25">
      <c r="B74" s="31">
        <v>117</v>
      </c>
      <c r="C74" s="174" t="s">
        <v>945</v>
      </c>
      <c r="D74" s="174" t="s">
        <v>982</v>
      </c>
      <c r="E74" s="8"/>
      <c r="F74" s="178">
        <v>1.1299999999999999</v>
      </c>
      <c r="G74" s="181">
        <v>61</v>
      </c>
    </row>
    <row r="75" spans="2:7" x14ac:dyDescent="0.25">
      <c r="B75" s="31">
        <v>118</v>
      </c>
      <c r="C75" s="174" t="s">
        <v>946</v>
      </c>
      <c r="D75" s="174" t="s">
        <v>868</v>
      </c>
      <c r="E75" s="8"/>
      <c r="F75" s="178">
        <v>1.2</v>
      </c>
      <c r="G75" s="181">
        <v>62</v>
      </c>
    </row>
    <row r="76" spans="2:7" x14ac:dyDescent="0.25">
      <c r="B76" s="31">
        <v>119</v>
      </c>
      <c r="C76" s="174" t="s">
        <v>947</v>
      </c>
      <c r="D76" s="174" t="s">
        <v>940</v>
      </c>
      <c r="E76" s="8"/>
      <c r="F76" s="178">
        <v>1.27</v>
      </c>
      <c r="G76" s="181">
        <v>63</v>
      </c>
    </row>
    <row r="77" spans="2:7" x14ac:dyDescent="0.25">
      <c r="B77" s="31">
        <v>120</v>
      </c>
      <c r="C77" s="174" t="s">
        <v>870</v>
      </c>
      <c r="D77" s="174" t="s">
        <v>983</v>
      </c>
      <c r="E77" s="8">
        <v>14</v>
      </c>
      <c r="F77" s="178">
        <v>1.33</v>
      </c>
      <c r="G77" s="181">
        <v>63</v>
      </c>
    </row>
    <row r="78" spans="2:7" x14ac:dyDescent="0.25">
      <c r="B78" s="31">
        <v>121</v>
      </c>
      <c r="C78" s="174" t="s">
        <v>948</v>
      </c>
      <c r="D78" s="174" t="s">
        <v>941</v>
      </c>
      <c r="E78" s="8"/>
      <c r="F78" s="178">
        <v>1.4</v>
      </c>
      <c r="G78" s="181">
        <v>64</v>
      </c>
    </row>
    <row r="79" spans="2:7" x14ac:dyDescent="0.25">
      <c r="B79" s="31">
        <v>122</v>
      </c>
      <c r="C79" s="174" t="s">
        <v>949</v>
      </c>
      <c r="D79" s="174" t="s">
        <v>942</v>
      </c>
      <c r="E79" s="8"/>
      <c r="F79" s="178">
        <v>1.47</v>
      </c>
      <c r="G79" s="181">
        <v>65</v>
      </c>
    </row>
    <row r="80" spans="2:7" x14ac:dyDescent="0.25">
      <c r="B80" s="31">
        <v>123</v>
      </c>
      <c r="C80" s="174" t="s">
        <v>950</v>
      </c>
      <c r="D80" s="174" t="s">
        <v>943</v>
      </c>
      <c r="E80" s="8"/>
      <c r="F80" s="178">
        <v>1.53</v>
      </c>
      <c r="G80" s="181">
        <v>65</v>
      </c>
    </row>
    <row r="81" spans="2:7" x14ac:dyDescent="0.25">
      <c r="B81" s="31">
        <v>124</v>
      </c>
      <c r="C81" s="174" t="s">
        <v>871</v>
      </c>
      <c r="D81" s="174" t="s">
        <v>869</v>
      </c>
      <c r="E81" s="8"/>
      <c r="F81" s="178">
        <v>1.6</v>
      </c>
      <c r="G81" s="181">
        <v>66</v>
      </c>
    </row>
    <row r="82" spans="2:7" x14ac:dyDescent="0.25">
      <c r="B82" s="31">
        <v>125</v>
      </c>
      <c r="C82" s="174" t="s">
        <v>871</v>
      </c>
      <c r="D82" s="174" t="s">
        <v>984</v>
      </c>
      <c r="E82" s="8">
        <v>15</v>
      </c>
      <c r="F82" s="178">
        <v>1.67</v>
      </c>
      <c r="G82" s="181">
        <v>67</v>
      </c>
    </row>
    <row r="83" spans="2:7" x14ac:dyDescent="0.25">
      <c r="B83" s="31">
        <v>126</v>
      </c>
      <c r="C83" s="174" t="s">
        <v>951</v>
      </c>
      <c r="D83" s="174" t="s">
        <v>869</v>
      </c>
      <c r="E83" s="8"/>
      <c r="F83" s="178">
        <v>1.73</v>
      </c>
      <c r="G83" s="181">
        <v>67</v>
      </c>
    </row>
    <row r="84" spans="2:7" x14ac:dyDescent="0.25">
      <c r="B84" s="31">
        <v>127</v>
      </c>
      <c r="C84" s="174" t="s">
        <v>951</v>
      </c>
      <c r="D84" s="174" t="s">
        <v>946</v>
      </c>
      <c r="E84" s="8"/>
      <c r="F84" s="178">
        <v>1.8</v>
      </c>
      <c r="G84" s="181">
        <v>68</v>
      </c>
    </row>
    <row r="85" spans="2:7" x14ac:dyDescent="0.25">
      <c r="B85" s="31">
        <v>128</v>
      </c>
      <c r="C85" s="174" t="s">
        <v>952</v>
      </c>
      <c r="D85" s="174" t="s">
        <v>985</v>
      </c>
      <c r="E85" s="8"/>
      <c r="F85" s="178">
        <v>1.87</v>
      </c>
      <c r="G85" s="181">
        <v>69</v>
      </c>
    </row>
    <row r="86" spans="2:7" x14ac:dyDescent="0.25">
      <c r="B86" s="31">
        <v>129</v>
      </c>
      <c r="C86" s="174" t="s">
        <v>952</v>
      </c>
      <c r="D86" s="174" t="s">
        <v>870</v>
      </c>
      <c r="E86" s="8"/>
      <c r="F86" s="178">
        <v>1.93</v>
      </c>
      <c r="G86" s="181">
        <v>69</v>
      </c>
    </row>
    <row r="87" spans="2:7" x14ac:dyDescent="0.25">
      <c r="B87" s="31">
        <v>130</v>
      </c>
      <c r="C87" s="174" t="s">
        <v>872</v>
      </c>
      <c r="D87" s="174" t="s">
        <v>948</v>
      </c>
      <c r="E87" s="8">
        <v>16</v>
      </c>
      <c r="F87" s="178">
        <v>2</v>
      </c>
      <c r="G87" s="181">
        <v>40</v>
      </c>
    </row>
    <row r="88" spans="2:7" x14ac:dyDescent="0.25">
      <c r="B88" s="31">
        <v>131</v>
      </c>
      <c r="C88" s="174" t="s">
        <v>872</v>
      </c>
      <c r="D88" s="174" t="s">
        <v>950</v>
      </c>
      <c r="E88" s="8"/>
      <c r="F88" s="178">
        <v>2.0699999999999998</v>
      </c>
      <c r="G88" s="181">
        <v>71</v>
      </c>
    </row>
    <row r="89" spans="2:7" x14ac:dyDescent="0.25">
      <c r="B89" s="31">
        <v>132</v>
      </c>
      <c r="C89" s="174" t="s">
        <v>872</v>
      </c>
      <c r="D89" s="174" t="s">
        <v>871</v>
      </c>
      <c r="E89" s="8"/>
      <c r="F89" s="178">
        <v>2.13</v>
      </c>
      <c r="G89" s="181">
        <v>71</v>
      </c>
    </row>
    <row r="90" spans="2:7" x14ac:dyDescent="0.25">
      <c r="B90" s="31">
        <v>133</v>
      </c>
      <c r="C90" s="174" t="s">
        <v>873</v>
      </c>
      <c r="D90" s="174" t="s">
        <v>951</v>
      </c>
      <c r="E90" s="8"/>
      <c r="F90" s="178">
        <v>2.2000000000000002</v>
      </c>
      <c r="G90" s="181">
        <v>72</v>
      </c>
    </row>
    <row r="91" spans="2:7" x14ac:dyDescent="0.25">
      <c r="B91" s="31">
        <v>134</v>
      </c>
      <c r="C91" s="174" t="s">
        <v>873</v>
      </c>
      <c r="D91" s="174" t="s">
        <v>872</v>
      </c>
      <c r="E91" s="8"/>
      <c r="F91" s="178">
        <v>2.27</v>
      </c>
      <c r="G91" s="181">
        <v>73</v>
      </c>
    </row>
    <row r="92" spans="2:7" x14ac:dyDescent="0.25">
      <c r="B92" s="31">
        <v>135</v>
      </c>
      <c r="C92" s="174" t="s">
        <v>873</v>
      </c>
      <c r="D92" s="174" t="s">
        <v>873</v>
      </c>
      <c r="E92" s="8">
        <v>17</v>
      </c>
      <c r="F92" s="178">
        <v>2.33</v>
      </c>
      <c r="G92" s="181">
        <v>73</v>
      </c>
    </row>
    <row r="93" spans="2:7" x14ac:dyDescent="0.25">
      <c r="B93" s="31">
        <v>136</v>
      </c>
      <c r="C93" s="174" t="s">
        <v>873</v>
      </c>
      <c r="D93" s="174" t="s">
        <v>874</v>
      </c>
      <c r="E93" s="8"/>
      <c r="F93" s="178">
        <v>2.4</v>
      </c>
      <c r="G93" s="181">
        <v>74</v>
      </c>
    </row>
    <row r="94" spans="2:7" x14ac:dyDescent="0.25">
      <c r="B94" s="31">
        <v>137</v>
      </c>
      <c r="C94" s="174" t="s">
        <v>873</v>
      </c>
      <c r="D94" s="174" t="s">
        <v>874</v>
      </c>
      <c r="E94" s="8"/>
      <c r="F94" s="178">
        <v>2.4700000000000002</v>
      </c>
      <c r="G94" s="181">
        <v>75</v>
      </c>
    </row>
    <row r="95" spans="2:7" x14ac:dyDescent="0.25">
      <c r="B95" s="31">
        <v>138</v>
      </c>
      <c r="C95" s="174" t="s">
        <v>873</v>
      </c>
      <c r="D95" s="174" t="s">
        <v>874</v>
      </c>
      <c r="E95" s="8"/>
      <c r="F95" s="178">
        <v>2.5299999999999998</v>
      </c>
      <c r="G95" s="181">
        <v>75</v>
      </c>
    </row>
    <row r="96" spans="2:7" x14ac:dyDescent="0.25">
      <c r="B96" s="31">
        <v>139</v>
      </c>
      <c r="C96" s="174" t="s">
        <v>953</v>
      </c>
      <c r="D96" s="174" t="s">
        <v>874</v>
      </c>
      <c r="E96" s="8"/>
      <c r="F96" s="178">
        <v>2.6</v>
      </c>
      <c r="G96" s="181">
        <v>76</v>
      </c>
    </row>
    <row r="97" spans="2:7" x14ac:dyDescent="0.25">
      <c r="B97" s="31">
        <v>140</v>
      </c>
      <c r="C97" s="174" t="s">
        <v>954</v>
      </c>
      <c r="D97" s="174" t="s">
        <v>874</v>
      </c>
      <c r="E97" s="8">
        <v>18</v>
      </c>
      <c r="F97" s="178">
        <v>2.67</v>
      </c>
      <c r="G97" s="181">
        <v>77</v>
      </c>
    </row>
    <row r="98" spans="2:7" x14ac:dyDescent="0.25">
      <c r="B98" s="31">
        <v>141</v>
      </c>
      <c r="C98" s="174" t="s">
        <v>955</v>
      </c>
      <c r="D98" s="174" t="s">
        <v>874</v>
      </c>
      <c r="E98" s="8"/>
      <c r="F98" s="178">
        <v>2.73</v>
      </c>
      <c r="G98" s="181">
        <v>77</v>
      </c>
    </row>
    <row r="99" spans="2:7" x14ac:dyDescent="0.25">
      <c r="B99" s="31">
        <v>142</v>
      </c>
      <c r="C99" s="174" t="s">
        <v>955</v>
      </c>
      <c r="D99" s="174" t="s">
        <v>874</v>
      </c>
      <c r="E99" s="8"/>
      <c r="F99" s="178">
        <v>2.8</v>
      </c>
      <c r="G99" s="181">
        <v>78</v>
      </c>
    </row>
    <row r="100" spans="2:7" x14ac:dyDescent="0.25">
      <c r="B100" s="31">
        <v>143</v>
      </c>
      <c r="C100" s="174" t="s">
        <v>956</v>
      </c>
      <c r="D100" s="174" t="s">
        <v>874</v>
      </c>
      <c r="E100" s="8"/>
      <c r="F100" s="178">
        <v>2.87</v>
      </c>
      <c r="G100" s="181">
        <v>79</v>
      </c>
    </row>
    <row r="101" spans="2:7" x14ac:dyDescent="0.25">
      <c r="B101" s="31">
        <v>144</v>
      </c>
      <c r="C101" s="174" t="s">
        <v>956</v>
      </c>
      <c r="D101" s="174" t="s">
        <v>874</v>
      </c>
      <c r="E101" s="8"/>
      <c r="F101" s="178">
        <v>2.93</v>
      </c>
      <c r="G101" s="181">
        <v>79</v>
      </c>
    </row>
    <row r="102" spans="2:7" x14ac:dyDescent="0.25">
      <c r="B102" s="31">
        <v>145</v>
      </c>
      <c r="C102" s="174" t="s">
        <v>957</v>
      </c>
      <c r="D102" s="174" t="s">
        <v>874</v>
      </c>
      <c r="E102" s="8">
        <v>19</v>
      </c>
      <c r="F102" s="178">
        <v>3</v>
      </c>
      <c r="G102" s="181">
        <v>80</v>
      </c>
    </row>
    <row r="103" spans="2:7" x14ac:dyDescent="0.25">
      <c r="B103" s="31">
        <v>146</v>
      </c>
      <c r="C103" s="174" t="s">
        <v>957</v>
      </c>
      <c r="D103" s="174" t="s">
        <v>874</v>
      </c>
      <c r="E103" s="8"/>
      <c r="F103" s="178">
        <v>3.07</v>
      </c>
      <c r="G103" s="181">
        <v>81</v>
      </c>
    </row>
    <row r="104" spans="2:7" x14ac:dyDescent="0.25">
      <c r="B104" s="31">
        <v>147</v>
      </c>
      <c r="C104" s="174" t="s">
        <v>957</v>
      </c>
      <c r="D104" s="174" t="s">
        <v>874</v>
      </c>
      <c r="E104" s="8"/>
      <c r="F104" s="178">
        <v>3.13</v>
      </c>
      <c r="G104" s="181">
        <v>81</v>
      </c>
    </row>
    <row r="105" spans="2:7" x14ac:dyDescent="0.25">
      <c r="B105" s="31">
        <v>148</v>
      </c>
      <c r="C105" s="174" t="s">
        <v>957</v>
      </c>
      <c r="D105" s="174" t="s">
        <v>874</v>
      </c>
      <c r="E105" s="8"/>
      <c r="F105" s="178">
        <v>3.2</v>
      </c>
      <c r="G105" s="181">
        <v>82</v>
      </c>
    </row>
    <row r="106" spans="2:7" x14ac:dyDescent="0.25">
      <c r="B106" s="31">
        <v>149</v>
      </c>
      <c r="C106" s="174" t="s">
        <v>958</v>
      </c>
      <c r="D106" s="174" t="s">
        <v>874</v>
      </c>
      <c r="E106" s="8"/>
      <c r="F106" s="178">
        <v>3.27</v>
      </c>
      <c r="G106" s="181">
        <v>83</v>
      </c>
    </row>
    <row r="107" spans="2:7" x14ac:dyDescent="0.25">
      <c r="B107" s="31">
        <v>150</v>
      </c>
      <c r="C107" s="174" t="s">
        <v>958</v>
      </c>
      <c r="D107" s="174" t="s">
        <v>874</v>
      </c>
      <c r="E107" s="8"/>
      <c r="F107" s="178">
        <v>3.33</v>
      </c>
      <c r="G107" s="181">
        <v>83</v>
      </c>
    </row>
    <row r="108" spans="2:7" x14ac:dyDescent="0.25">
      <c r="B108" s="31">
        <v>151</v>
      </c>
      <c r="C108" s="174" t="s">
        <v>958</v>
      </c>
      <c r="D108" s="174" t="s">
        <v>874</v>
      </c>
      <c r="E108" s="8"/>
      <c r="F108" s="178">
        <v>3.4</v>
      </c>
      <c r="G108" s="181">
        <v>84</v>
      </c>
    </row>
    <row r="109" spans="2:7" x14ac:dyDescent="0.25">
      <c r="B109" s="31">
        <v>152</v>
      </c>
      <c r="C109" s="174" t="s">
        <v>958</v>
      </c>
      <c r="D109" s="174" t="s">
        <v>874</v>
      </c>
      <c r="E109" s="8"/>
      <c r="F109" s="178">
        <v>3.47</v>
      </c>
      <c r="G109" s="181">
        <v>85</v>
      </c>
    </row>
    <row r="110" spans="2:7" x14ac:dyDescent="0.25">
      <c r="B110" s="31">
        <v>153</v>
      </c>
      <c r="C110" s="174" t="s">
        <v>958</v>
      </c>
      <c r="D110" s="174" t="s">
        <v>874</v>
      </c>
      <c r="E110" s="8"/>
      <c r="F110" s="178">
        <v>3.53</v>
      </c>
      <c r="G110" s="181">
        <v>85</v>
      </c>
    </row>
    <row r="111" spans="2:7" x14ac:dyDescent="0.25">
      <c r="B111" s="31">
        <v>154</v>
      </c>
      <c r="C111" s="174" t="s">
        <v>958</v>
      </c>
      <c r="D111" s="174" t="s">
        <v>874</v>
      </c>
      <c r="E111" s="8"/>
      <c r="F111" s="178">
        <v>3.6</v>
      </c>
      <c r="G111" s="181">
        <v>86</v>
      </c>
    </row>
    <row r="112" spans="2:7" ht="15.75" thickBot="1" x14ac:dyDescent="0.3">
      <c r="B112" s="33">
        <v>155</v>
      </c>
      <c r="C112" s="176" t="s">
        <v>958</v>
      </c>
      <c r="D112" s="176" t="s">
        <v>874</v>
      </c>
      <c r="E112" s="17"/>
      <c r="F112" s="179">
        <v>3.67</v>
      </c>
      <c r="G112" s="182">
        <v>87</v>
      </c>
    </row>
  </sheetData>
  <sheetProtection algorithmName="SHA-512" hashValue="TmKkejXHujL0zxnpHdR5Hc6AZy6WAQCReAiwPt83qDEH10OU/Gx8uWsJAN89zRjldL2zccu9eipATRlF3hJZ0w==" saltValue="CGqNxg5Ud6xc/DApNq6JNQ==" spinCount="100000" sheet="1" objects="1" scenarios="1"/>
  <pageMargins left="0.7" right="0.7" top="0.75" bottom="0.75" header="0.3" footer="0.3"/>
  <ignoredErrors>
    <ignoredError sqref="C1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04C1-0C75-49CA-AD9D-652E697D2CB2}">
  <dimension ref="B1:AS62"/>
  <sheetViews>
    <sheetView workbookViewId="0">
      <selection activeCell="I11" sqref="I11"/>
    </sheetView>
  </sheetViews>
  <sheetFormatPr defaultRowHeight="15" x14ac:dyDescent="0.25"/>
  <cols>
    <col min="2" max="2" width="10" bestFit="1" customWidth="1"/>
    <col min="4" max="5" width="11.5703125" customWidth="1"/>
    <col min="8" max="8" width="10.5703125" customWidth="1"/>
    <col min="11" max="11" width="9.85546875" customWidth="1"/>
    <col min="19" max="19" width="8.140625" customWidth="1"/>
    <col min="20" max="20" width="10" customWidth="1"/>
    <col min="29" max="29" width="10.28515625" customWidth="1"/>
    <col min="33" max="33" width="10.42578125" customWidth="1"/>
    <col min="38" max="38" width="10.5703125" customWidth="1"/>
  </cols>
  <sheetData>
    <row r="1" spans="2:45" ht="15.75" thickBot="1" x14ac:dyDescent="0.3">
      <c r="C1" s="351" t="str">
        <f>_xlfn.CONCAT("DQ.ADP_",IF(AND(Summary!$L$8&gt;0,Summary!$L$8&lt;=23),"0_23_Months",IF(AND(Summary!$L$8&gt;=24,Summary!$L$8&lt;=71),"24_71_Months","??")))</f>
        <v>DQ.ADP_24_71_Months</v>
      </c>
      <c r="D1" s="351"/>
      <c r="E1" s="351"/>
      <c r="G1" t="s">
        <v>4</v>
      </c>
      <c r="L1" s="351" t="str">
        <f>_xlfn.CONCAT("DQ.PS_",IF(AND(Summary!$L$8&gt;0,Summary!$L$8&lt;=23),"0_23_Months",IF(AND(Summary!$L$8&gt;=24,Summary!$L$8&lt;=71),"24_71_Months","??")))</f>
        <v>DQ.PS_24_71_Months</v>
      </c>
      <c r="M1" s="351"/>
      <c r="N1" s="351"/>
      <c r="U1" s="351" t="str">
        <f>_xlfn.CONCAT("DQ.COM_",IF(AND(Summary!$L$8&gt;0,Summary!$L$8&lt;=23),"0_23_Months",IF(AND(Summary!$L$8&gt;=24,Summary!$L$8&lt;=71),"24_71_Months","??")))</f>
        <v>DQ.COM_24_71_Months</v>
      </c>
      <c r="V1" s="351"/>
      <c r="W1" s="351"/>
      <c r="AD1" s="351" t="str">
        <f>_xlfn.CONCAT("DQ.MOT_",IF(AND(Summary!$L$8&gt;0,Summary!$L$8&lt;=23),"0_23_Months",IF(AND(Summary!$L$8&gt;=24,Summary!$L$8&lt;=71),"24_71_Months","??")))</f>
        <v>DQ.MOT_24_71_Months</v>
      </c>
      <c r="AE1" s="351"/>
      <c r="AF1" s="351"/>
      <c r="AM1" s="351" t="str">
        <f>_xlfn.CONCAT("DQ.COG_",IF(AND(Summary!$L$8&gt;0,Summary!$L$8&lt;=23),"0_23_Months",IF(AND(Summary!$L$8&gt;=24,Summary!$L$8&lt;=71),"24_71_Months","??")))</f>
        <v>DQ.COG_24_71_Months</v>
      </c>
      <c r="AN1" s="351"/>
      <c r="AO1" s="351"/>
    </row>
    <row r="2" spans="2:45" x14ac:dyDescent="0.25">
      <c r="B2" s="218" t="s">
        <v>0</v>
      </c>
      <c r="C2" s="219"/>
      <c r="D2" s="219"/>
      <c r="E2" s="219"/>
      <c r="F2" s="219"/>
      <c r="G2" s="219"/>
      <c r="H2" s="219"/>
      <c r="I2" s="220"/>
      <c r="K2" s="218" t="s">
        <v>169</v>
      </c>
      <c r="L2" s="219"/>
      <c r="M2" s="219"/>
      <c r="N2" s="219"/>
      <c r="O2" s="219"/>
      <c r="P2" s="219"/>
      <c r="Q2" s="219"/>
      <c r="R2" s="220"/>
      <c r="T2" s="218" t="s">
        <v>1140</v>
      </c>
      <c r="U2" s="219"/>
      <c r="V2" s="219"/>
      <c r="W2" s="219"/>
      <c r="X2" s="219"/>
      <c r="Y2" s="219"/>
      <c r="Z2" s="219"/>
      <c r="AA2" s="220"/>
      <c r="AC2" s="218" t="s">
        <v>44</v>
      </c>
      <c r="AD2" s="219"/>
      <c r="AE2" s="219"/>
      <c r="AF2" s="219"/>
      <c r="AG2" s="219"/>
      <c r="AH2" s="219"/>
      <c r="AI2" s="219"/>
      <c r="AJ2" s="220"/>
      <c r="AL2" s="218" t="s">
        <v>1244</v>
      </c>
      <c r="AM2" s="219"/>
      <c r="AN2" s="219"/>
      <c r="AO2" s="219"/>
      <c r="AP2" s="219"/>
      <c r="AQ2" s="219"/>
      <c r="AR2" s="219"/>
      <c r="AS2" s="220"/>
    </row>
    <row r="3" spans="2:45" ht="15.75" thickBot="1" x14ac:dyDescent="0.3">
      <c r="B3" s="221"/>
      <c r="C3" s="222"/>
      <c r="D3" s="222"/>
      <c r="E3" s="222"/>
      <c r="F3" s="222"/>
      <c r="G3" s="222"/>
      <c r="H3" s="222"/>
      <c r="I3" s="223"/>
      <c r="K3" s="221"/>
      <c r="L3" s="222"/>
      <c r="M3" s="222"/>
      <c r="N3" s="222"/>
      <c r="O3" s="222"/>
      <c r="P3" s="222"/>
      <c r="Q3" s="222"/>
      <c r="R3" s="223"/>
      <c r="T3" s="221"/>
      <c r="U3" s="222"/>
      <c r="V3" s="222"/>
      <c r="W3" s="222"/>
      <c r="X3" s="222"/>
      <c r="Y3" s="222"/>
      <c r="Z3" s="222"/>
      <c r="AA3" s="223"/>
      <c r="AC3" s="221"/>
      <c r="AD3" s="222"/>
      <c r="AE3" s="222"/>
      <c r="AF3" s="222"/>
      <c r="AG3" s="222"/>
      <c r="AH3" s="222"/>
      <c r="AI3" s="222"/>
      <c r="AJ3" s="223"/>
      <c r="AL3" s="221"/>
      <c r="AM3" s="222"/>
      <c r="AN3" s="222"/>
      <c r="AO3" s="222"/>
      <c r="AP3" s="222"/>
      <c r="AQ3" s="222"/>
      <c r="AR3" s="222"/>
      <c r="AS3" s="223"/>
    </row>
    <row r="4" spans="2:45" x14ac:dyDescent="0.25">
      <c r="B4" s="224" t="s">
        <v>1009</v>
      </c>
      <c r="C4" s="225"/>
      <c r="D4" s="225"/>
      <c r="E4" s="226"/>
      <c r="F4" s="227" t="s">
        <v>1048</v>
      </c>
      <c r="G4" s="228"/>
      <c r="H4" s="228"/>
      <c r="I4" s="229"/>
      <c r="K4" s="224" t="s">
        <v>1009</v>
      </c>
      <c r="L4" s="225"/>
      <c r="M4" s="225"/>
      <c r="N4" s="226"/>
      <c r="O4" s="227" t="s">
        <v>1048</v>
      </c>
      <c r="P4" s="228"/>
      <c r="Q4" s="228"/>
      <c r="R4" s="229"/>
      <c r="T4" s="224" t="s">
        <v>1009</v>
      </c>
      <c r="U4" s="225"/>
      <c r="V4" s="225"/>
      <c r="W4" s="226"/>
      <c r="X4" s="227" t="s">
        <v>1048</v>
      </c>
      <c r="Y4" s="228"/>
      <c r="Z4" s="228"/>
      <c r="AA4" s="229"/>
      <c r="AC4" s="224" t="s">
        <v>1009</v>
      </c>
      <c r="AD4" s="225"/>
      <c r="AE4" s="225"/>
      <c r="AF4" s="226"/>
      <c r="AG4" s="227" t="s">
        <v>1048</v>
      </c>
      <c r="AH4" s="228"/>
      <c r="AI4" s="228"/>
      <c r="AJ4" s="229"/>
      <c r="AL4" s="224" t="s">
        <v>1009</v>
      </c>
      <c r="AM4" s="225"/>
      <c r="AN4" s="225"/>
      <c r="AO4" s="226"/>
      <c r="AP4" s="227" t="s">
        <v>1048</v>
      </c>
      <c r="AQ4" s="228"/>
      <c r="AR4" s="228"/>
      <c r="AS4" s="229"/>
    </row>
    <row r="5" spans="2:45" x14ac:dyDescent="0.25">
      <c r="B5" s="242" t="s">
        <v>1207</v>
      </c>
      <c r="C5" s="243"/>
      <c r="D5" s="243"/>
      <c r="E5" s="349"/>
      <c r="F5" s="350" t="s">
        <v>1208</v>
      </c>
      <c r="G5" s="243"/>
      <c r="H5" s="243"/>
      <c r="I5" s="244"/>
      <c r="K5" s="344"/>
      <c r="L5" s="345"/>
      <c r="M5" s="345"/>
      <c r="N5" s="345"/>
      <c r="O5" s="346"/>
      <c r="P5" s="347"/>
      <c r="Q5" s="347"/>
      <c r="R5" s="348"/>
      <c r="T5" s="242" t="s">
        <v>1209</v>
      </c>
      <c r="U5" s="243"/>
      <c r="V5" s="243"/>
      <c r="W5" s="349"/>
      <c r="X5" s="350" t="s">
        <v>1210</v>
      </c>
      <c r="Y5" s="243"/>
      <c r="Z5" s="243"/>
      <c r="AA5" s="244"/>
      <c r="AC5" s="242" t="s">
        <v>1242</v>
      </c>
      <c r="AD5" s="243"/>
      <c r="AE5" s="243"/>
      <c r="AF5" s="349"/>
      <c r="AG5" s="350" t="s">
        <v>1243</v>
      </c>
      <c r="AH5" s="243"/>
      <c r="AI5" s="243"/>
      <c r="AJ5" s="244"/>
      <c r="AL5" s="242" t="s">
        <v>1245</v>
      </c>
      <c r="AM5" s="243"/>
      <c r="AN5" s="243"/>
      <c r="AO5" s="349"/>
      <c r="AP5" s="350" t="s">
        <v>1246</v>
      </c>
      <c r="AQ5" s="243"/>
      <c r="AR5" s="243"/>
      <c r="AS5" s="244"/>
    </row>
    <row r="6" spans="2:45" ht="15.75" thickBot="1" x14ac:dyDescent="0.3">
      <c r="B6" s="195" t="s">
        <v>987</v>
      </c>
      <c r="C6" s="193" t="s">
        <v>988</v>
      </c>
      <c r="D6" s="196" t="s">
        <v>1008</v>
      </c>
      <c r="E6" s="196" t="s">
        <v>1047</v>
      </c>
      <c r="F6" s="199" t="s">
        <v>987</v>
      </c>
      <c r="G6" s="193" t="s">
        <v>988</v>
      </c>
      <c r="H6" s="193" t="s">
        <v>1008</v>
      </c>
      <c r="I6" s="194" t="s">
        <v>1047</v>
      </c>
      <c r="K6" s="204" t="s">
        <v>987</v>
      </c>
      <c r="L6" s="29" t="s">
        <v>988</v>
      </c>
      <c r="M6" s="205" t="s">
        <v>1008</v>
      </c>
      <c r="N6" s="205" t="s">
        <v>1047</v>
      </c>
      <c r="O6" s="206" t="s">
        <v>987</v>
      </c>
      <c r="P6" s="29" t="s">
        <v>988</v>
      </c>
      <c r="Q6" s="29" t="s">
        <v>1008</v>
      </c>
      <c r="R6" s="207" t="s">
        <v>1047</v>
      </c>
      <c r="T6" s="217" t="s">
        <v>987</v>
      </c>
      <c r="U6" s="29" t="s">
        <v>988</v>
      </c>
      <c r="V6" s="205" t="s">
        <v>1008</v>
      </c>
      <c r="W6" s="205" t="s">
        <v>1047</v>
      </c>
      <c r="X6" s="206" t="s">
        <v>987</v>
      </c>
      <c r="Y6" s="29" t="s">
        <v>988</v>
      </c>
      <c r="Z6" s="29" t="s">
        <v>1008</v>
      </c>
      <c r="AA6" s="207" t="s">
        <v>1047</v>
      </c>
      <c r="AC6" s="204" t="s">
        <v>987</v>
      </c>
      <c r="AD6" s="29" t="s">
        <v>988</v>
      </c>
      <c r="AE6" s="205" t="s">
        <v>1008</v>
      </c>
      <c r="AF6" s="205" t="s">
        <v>1047</v>
      </c>
      <c r="AG6" s="206" t="s">
        <v>987</v>
      </c>
      <c r="AH6" s="29" t="s">
        <v>988</v>
      </c>
      <c r="AI6" s="29" t="s">
        <v>1008</v>
      </c>
      <c r="AJ6" s="207" t="s">
        <v>1047</v>
      </c>
      <c r="AL6" s="204" t="s">
        <v>987</v>
      </c>
      <c r="AM6" s="29" t="s">
        <v>988</v>
      </c>
      <c r="AN6" s="205" t="s">
        <v>1008</v>
      </c>
      <c r="AO6" s="205" t="s">
        <v>1047</v>
      </c>
      <c r="AP6" s="206" t="s">
        <v>987</v>
      </c>
      <c r="AQ6" s="29" t="s">
        <v>988</v>
      </c>
      <c r="AR6" s="29" t="s">
        <v>1008</v>
      </c>
      <c r="AS6" s="207" t="s">
        <v>1047</v>
      </c>
    </row>
    <row r="7" spans="2:45" x14ac:dyDescent="0.25">
      <c r="B7" s="31">
        <v>1</v>
      </c>
      <c r="C7" s="8">
        <v>55</v>
      </c>
      <c r="D7" s="197" t="s">
        <v>989</v>
      </c>
      <c r="E7" s="197" t="s">
        <v>908</v>
      </c>
      <c r="F7" s="200">
        <v>2</v>
      </c>
      <c r="G7" s="8">
        <v>55</v>
      </c>
      <c r="H7" s="8" t="s">
        <v>1010</v>
      </c>
      <c r="I7" s="36">
        <v>0.1</v>
      </c>
      <c r="K7" s="202">
        <v>2</v>
      </c>
      <c r="L7" s="203">
        <v>55</v>
      </c>
      <c r="M7" s="208" t="s">
        <v>989</v>
      </c>
      <c r="N7" s="212">
        <v>0.1</v>
      </c>
      <c r="O7" s="214">
        <v>3</v>
      </c>
      <c r="P7" s="203">
        <v>55</v>
      </c>
      <c r="Q7" s="203" t="s">
        <v>1085</v>
      </c>
      <c r="R7" s="209">
        <v>0.1</v>
      </c>
      <c r="T7" s="202">
        <v>2</v>
      </c>
      <c r="U7" s="203">
        <v>55</v>
      </c>
      <c r="V7" s="216" t="s">
        <v>1141</v>
      </c>
      <c r="W7" s="212">
        <v>0.1</v>
      </c>
      <c r="X7" s="214">
        <v>2</v>
      </c>
      <c r="Y7" s="203">
        <v>55</v>
      </c>
      <c r="Z7" s="216" t="s">
        <v>1178</v>
      </c>
      <c r="AA7" s="209">
        <v>0.1</v>
      </c>
      <c r="AC7" s="202">
        <v>2</v>
      </c>
      <c r="AD7" s="203">
        <v>55</v>
      </c>
      <c r="AE7" s="203" t="s">
        <v>1178</v>
      </c>
      <c r="AF7" s="354">
        <v>0.1</v>
      </c>
      <c r="AG7" s="214">
        <v>2</v>
      </c>
      <c r="AH7" s="203" t="s">
        <v>4</v>
      </c>
      <c r="AI7" s="203" t="s">
        <v>4</v>
      </c>
      <c r="AJ7" s="209" t="s">
        <v>4</v>
      </c>
      <c r="AL7" s="202">
        <v>2</v>
      </c>
      <c r="AM7" s="203">
        <v>55</v>
      </c>
      <c r="AN7" s="203" t="s">
        <v>1247</v>
      </c>
      <c r="AO7" s="354">
        <v>0.1</v>
      </c>
      <c r="AP7" s="214">
        <v>2</v>
      </c>
      <c r="AQ7" s="203"/>
      <c r="AR7" s="203"/>
      <c r="AS7" s="209"/>
    </row>
    <row r="8" spans="2:45" x14ac:dyDescent="0.25">
      <c r="B8" s="31">
        <v>2</v>
      </c>
      <c r="C8" s="8">
        <v>60</v>
      </c>
      <c r="D8" s="197" t="s">
        <v>990</v>
      </c>
      <c r="E8" s="197" t="s">
        <v>911</v>
      </c>
      <c r="F8" s="200">
        <v>3</v>
      </c>
      <c r="G8" s="8">
        <v>58</v>
      </c>
      <c r="H8" s="8" t="s">
        <v>1011</v>
      </c>
      <c r="I8" s="36">
        <v>0.3</v>
      </c>
      <c r="K8" s="31">
        <v>3</v>
      </c>
      <c r="L8" s="8">
        <v>57</v>
      </c>
      <c r="M8" s="174" t="s">
        <v>1050</v>
      </c>
      <c r="N8" s="185">
        <v>0.2</v>
      </c>
      <c r="O8" s="200">
        <v>4</v>
      </c>
      <c r="P8" s="8">
        <v>58</v>
      </c>
      <c r="Q8" s="8" t="s">
        <v>1086</v>
      </c>
      <c r="R8" s="36">
        <v>0.3</v>
      </c>
      <c r="T8" s="31">
        <v>3</v>
      </c>
      <c r="U8" s="8">
        <v>57</v>
      </c>
      <c r="V8" s="9" t="s">
        <v>1142</v>
      </c>
      <c r="W8" s="185">
        <v>0.2</v>
      </c>
      <c r="X8" s="200">
        <v>3</v>
      </c>
      <c r="Y8" s="8">
        <v>58</v>
      </c>
      <c r="Z8" s="9" t="s">
        <v>1179</v>
      </c>
      <c r="AA8" s="36">
        <v>0.3</v>
      </c>
      <c r="AC8" s="31">
        <v>3</v>
      </c>
      <c r="AD8" s="8">
        <v>57</v>
      </c>
      <c r="AE8" s="8" t="s">
        <v>1202</v>
      </c>
      <c r="AF8" s="355">
        <v>0.2</v>
      </c>
      <c r="AG8" s="200">
        <v>3</v>
      </c>
      <c r="AH8" s="8">
        <v>55</v>
      </c>
      <c r="AI8" s="8" t="s">
        <v>1010</v>
      </c>
      <c r="AJ8" s="36">
        <v>0.1</v>
      </c>
      <c r="AL8" s="31">
        <v>3</v>
      </c>
      <c r="AM8" s="8">
        <v>55</v>
      </c>
      <c r="AN8" s="8" t="s">
        <v>1248</v>
      </c>
      <c r="AO8" s="355">
        <v>0.1</v>
      </c>
      <c r="AP8" s="200">
        <v>3</v>
      </c>
      <c r="AQ8" s="8">
        <v>55</v>
      </c>
      <c r="AR8" s="8" t="s">
        <v>1141</v>
      </c>
      <c r="AS8" s="36">
        <v>0.1</v>
      </c>
    </row>
    <row r="9" spans="2:45" x14ac:dyDescent="0.25">
      <c r="B9" s="31">
        <v>3</v>
      </c>
      <c r="C9" s="8">
        <v>65</v>
      </c>
      <c r="D9" s="197" t="s">
        <v>991</v>
      </c>
      <c r="E9" s="197" t="s">
        <v>876</v>
      </c>
      <c r="F9" s="200">
        <v>4</v>
      </c>
      <c r="G9" s="8">
        <v>61</v>
      </c>
      <c r="H9" s="8" t="s">
        <v>1012</v>
      </c>
      <c r="I9" s="36">
        <v>0.5</v>
      </c>
      <c r="K9" s="31">
        <v>4</v>
      </c>
      <c r="L9" s="8">
        <v>59</v>
      </c>
      <c r="M9" s="174" t="s">
        <v>1051</v>
      </c>
      <c r="N9" s="185">
        <v>3</v>
      </c>
      <c r="O9" s="200">
        <v>5</v>
      </c>
      <c r="P9" s="8">
        <v>61</v>
      </c>
      <c r="Q9" s="8" t="s">
        <v>1087</v>
      </c>
      <c r="R9" s="36">
        <v>0.5</v>
      </c>
      <c r="T9" s="31">
        <v>4</v>
      </c>
      <c r="U9" s="8">
        <v>59</v>
      </c>
      <c r="V9" s="9" t="s">
        <v>1143</v>
      </c>
      <c r="W9" s="185">
        <v>0.3</v>
      </c>
      <c r="X9" s="200">
        <v>4</v>
      </c>
      <c r="Y9" s="8">
        <v>61</v>
      </c>
      <c r="Z9" s="9" t="s">
        <v>1180</v>
      </c>
      <c r="AA9" s="36">
        <v>0.5</v>
      </c>
      <c r="AC9" s="31">
        <v>4</v>
      </c>
      <c r="AD9" s="8">
        <v>59</v>
      </c>
      <c r="AE9" s="8" t="s">
        <v>1051</v>
      </c>
      <c r="AF9" s="355">
        <v>0.3</v>
      </c>
      <c r="AG9" s="200">
        <v>4</v>
      </c>
      <c r="AH9" s="8">
        <v>56</v>
      </c>
      <c r="AI9" s="8" t="s">
        <v>1218</v>
      </c>
      <c r="AJ9" s="36">
        <v>0.2</v>
      </c>
      <c r="AL9" s="31">
        <v>4</v>
      </c>
      <c r="AM9" s="8">
        <v>56</v>
      </c>
      <c r="AN9" s="8" t="s">
        <v>989</v>
      </c>
      <c r="AO9" s="355">
        <v>0.2</v>
      </c>
      <c r="AP9" s="200">
        <v>4</v>
      </c>
      <c r="AQ9" s="8">
        <v>57</v>
      </c>
      <c r="AR9" s="8" t="s">
        <v>1142</v>
      </c>
      <c r="AS9" s="36">
        <v>0.2</v>
      </c>
    </row>
    <row r="10" spans="2:45" x14ac:dyDescent="0.25">
      <c r="B10" s="31">
        <v>4</v>
      </c>
      <c r="C10" s="8">
        <v>70</v>
      </c>
      <c r="D10" s="197" t="s">
        <v>992</v>
      </c>
      <c r="E10" s="197" t="s">
        <v>863</v>
      </c>
      <c r="F10" s="200">
        <v>5</v>
      </c>
      <c r="G10" s="8">
        <v>64</v>
      </c>
      <c r="H10" s="8" t="s">
        <v>1013</v>
      </c>
      <c r="I10" s="36">
        <v>1</v>
      </c>
      <c r="K10" s="31">
        <v>5</v>
      </c>
      <c r="L10" s="8">
        <v>62</v>
      </c>
      <c r="M10" s="174" t="s">
        <v>1049</v>
      </c>
      <c r="N10" s="185">
        <v>1</v>
      </c>
      <c r="O10" s="200">
        <v>6</v>
      </c>
      <c r="P10" s="8">
        <v>64</v>
      </c>
      <c r="Q10" s="8" t="s">
        <v>1088</v>
      </c>
      <c r="R10" s="36">
        <v>1</v>
      </c>
      <c r="T10" s="31">
        <v>5</v>
      </c>
      <c r="U10" s="8">
        <v>61</v>
      </c>
      <c r="V10" s="9" t="s">
        <v>1144</v>
      </c>
      <c r="W10" s="185">
        <v>0.5</v>
      </c>
      <c r="X10" s="200">
        <v>5</v>
      </c>
      <c r="Y10" s="8">
        <v>63</v>
      </c>
      <c r="Z10" s="9" t="s">
        <v>1049</v>
      </c>
      <c r="AA10" s="36">
        <v>1</v>
      </c>
      <c r="AC10" s="31">
        <v>5</v>
      </c>
      <c r="AD10" s="8">
        <v>61</v>
      </c>
      <c r="AE10" s="8" t="s">
        <v>1180</v>
      </c>
      <c r="AF10" s="355">
        <v>0.5</v>
      </c>
      <c r="AG10" s="200">
        <v>5</v>
      </c>
      <c r="AH10" s="8">
        <v>57</v>
      </c>
      <c r="AI10" s="8" t="s">
        <v>1218</v>
      </c>
      <c r="AJ10" s="36">
        <v>0.2</v>
      </c>
      <c r="AL10" s="31">
        <v>5</v>
      </c>
      <c r="AM10" s="8">
        <v>57</v>
      </c>
      <c r="AN10" s="8" t="s">
        <v>1249</v>
      </c>
      <c r="AO10" s="355">
        <v>2</v>
      </c>
      <c r="AP10" s="200">
        <v>5</v>
      </c>
      <c r="AQ10" s="8">
        <v>58</v>
      </c>
      <c r="AR10" s="8" t="s">
        <v>1272</v>
      </c>
      <c r="AS10" s="36">
        <v>0.3</v>
      </c>
    </row>
    <row r="11" spans="2:45" x14ac:dyDescent="0.25">
      <c r="B11" s="31">
        <v>5</v>
      </c>
      <c r="C11" s="8">
        <v>75</v>
      </c>
      <c r="D11" s="197" t="s">
        <v>993</v>
      </c>
      <c r="E11" s="197" t="s">
        <v>877</v>
      </c>
      <c r="F11" s="200">
        <v>6</v>
      </c>
      <c r="G11" s="8">
        <v>67</v>
      </c>
      <c r="H11" s="8" t="s">
        <v>1014</v>
      </c>
      <c r="I11" s="36">
        <v>1</v>
      </c>
      <c r="K11" s="31">
        <v>6</v>
      </c>
      <c r="L11" s="8">
        <v>65</v>
      </c>
      <c r="M11" s="174" t="s">
        <v>1052</v>
      </c>
      <c r="N11" s="185">
        <v>1</v>
      </c>
      <c r="O11" s="200">
        <v>7</v>
      </c>
      <c r="P11" s="8">
        <v>67</v>
      </c>
      <c r="Q11" s="8" t="s">
        <v>1089</v>
      </c>
      <c r="R11" s="36">
        <v>1</v>
      </c>
      <c r="T11" s="31">
        <v>6</v>
      </c>
      <c r="U11" s="8">
        <v>63</v>
      </c>
      <c r="V11" s="9" t="s">
        <v>1145</v>
      </c>
      <c r="W11" s="185">
        <v>1</v>
      </c>
      <c r="X11" s="200">
        <v>6</v>
      </c>
      <c r="Y11" s="8">
        <v>66</v>
      </c>
      <c r="Z11" s="9" t="s">
        <v>1052</v>
      </c>
      <c r="AA11" s="36">
        <v>1</v>
      </c>
      <c r="AC11" s="31">
        <v>6</v>
      </c>
      <c r="AD11" s="8">
        <v>64</v>
      </c>
      <c r="AE11" s="8" t="s">
        <v>1203</v>
      </c>
      <c r="AF11" s="355">
        <v>1</v>
      </c>
      <c r="AG11" s="200">
        <v>6</v>
      </c>
      <c r="AH11" s="8">
        <v>58</v>
      </c>
      <c r="AI11" s="8" t="s">
        <v>1011</v>
      </c>
      <c r="AJ11" s="36">
        <v>0.3</v>
      </c>
      <c r="AL11" s="31">
        <v>6</v>
      </c>
      <c r="AM11" s="8">
        <v>58</v>
      </c>
      <c r="AN11" s="8" t="s">
        <v>1250</v>
      </c>
      <c r="AO11" s="355">
        <v>0.3</v>
      </c>
      <c r="AP11" s="200">
        <v>6</v>
      </c>
      <c r="AQ11" s="8">
        <v>59</v>
      </c>
      <c r="AR11" s="8" t="s">
        <v>1272</v>
      </c>
      <c r="AS11" s="36">
        <v>0.3</v>
      </c>
    </row>
    <row r="12" spans="2:45" x14ac:dyDescent="0.25">
      <c r="B12" s="31">
        <v>6</v>
      </c>
      <c r="C12" s="8">
        <v>80</v>
      </c>
      <c r="D12" s="197" t="s">
        <v>994</v>
      </c>
      <c r="E12" s="197" t="s">
        <v>864</v>
      </c>
      <c r="F12" s="200">
        <v>7</v>
      </c>
      <c r="G12" s="8">
        <v>70</v>
      </c>
      <c r="H12" s="8" t="s">
        <v>1015</v>
      </c>
      <c r="I12" s="36">
        <v>2</v>
      </c>
      <c r="K12" s="31">
        <v>7</v>
      </c>
      <c r="L12" s="8">
        <v>67</v>
      </c>
      <c r="M12" s="174" t="s">
        <v>1054</v>
      </c>
      <c r="N12" s="185">
        <v>1</v>
      </c>
      <c r="O12" s="200">
        <v>8</v>
      </c>
      <c r="P12" s="8">
        <v>70</v>
      </c>
      <c r="Q12" s="8" t="s">
        <v>1093</v>
      </c>
      <c r="R12" s="36">
        <v>2</v>
      </c>
      <c r="T12" s="31">
        <v>7</v>
      </c>
      <c r="U12" s="8">
        <v>65</v>
      </c>
      <c r="V12" s="9" t="s">
        <v>1146</v>
      </c>
      <c r="W12" s="185">
        <v>1</v>
      </c>
      <c r="X12" s="200">
        <v>7</v>
      </c>
      <c r="Y12" s="8">
        <v>69</v>
      </c>
      <c r="Z12" s="9" t="s">
        <v>1181</v>
      </c>
      <c r="AA12" s="36">
        <v>2</v>
      </c>
      <c r="AC12" s="31">
        <v>7</v>
      </c>
      <c r="AD12" s="8">
        <v>66</v>
      </c>
      <c r="AE12" s="8" t="s">
        <v>1204</v>
      </c>
      <c r="AF12" s="355">
        <v>1</v>
      </c>
      <c r="AG12" s="200">
        <v>7</v>
      </c>
      <c r="AH12" s="8">
        <v>59</v>
      </c>
      <c r="AI12" s="8" t="s">
        <v>1219</v>
      </c>
      <c r="AJ12" s="36">
        <v>0.3</v>
      </c>
      <c r="AL12" s="31">
        <v>7</v>
      </c>
      <c r="AM12" s="8">
        <v>59</v>
      </c>
      <c r="AN12" s="8" t="s">
        <v>1251</v>
      </c>
      <c r="AO12" s="355">
        <v>0.2</v>
      </c>
      <c r="AP12" s="200">
        <v>7</v>
      </c>
      <c r="AQ12" s="8">
        <v>60</v>
      </c>
      <c r="AR12" s="8" t="s">
        <v>1143</v>
      </c>
      <c r="AS12" s="36">
        <v>0.4</v>
      </c>
    </row>
    <row r="13" spans="2:45" x14ac:dyDescent="0.25">
      <c r="B13" s="31">
        <v>7</v>
      </c>
      <c r="C13" s="8">
        <v>85</v>
      </c>
      <c r="D13" s="197" t="s">
        <v>995</v>
      </c>
      <c r="E13" s="197" t="s">
        <v>878</v>
      </c>
      <c r="F13" s="200">
        <v>8</v>
      </c>
      <c r="G13" s="8">
        <v>73</v>
      </c>
      <c r="H13" s="8" t="s">
        <v>1016</v>
      </c>
      <c r="I13" s="36">
        <v>4</v>
      </c>
      <c r="K13" s="31">
        <v>8</v>
      </c>
      <c r="L13" s="8">
        <v>70</v>
      </c>
      <c r="M13" s="174" t="s">
        <v>1053</v>
      </c>
      <c r="N13" s="185">
        <v>2</v>
      </c>
      <c r="O13" s="200">
        <v>9</v>
      </c>
      <c r="P13" s="8">
        <v>73</v>
      </c>
      <c r="Q13" s="8" t="s">
        <v>1095</v>
      </c>
      <c r="R13" s="36">
        <v>4</v>
      </c>
      <c r="T13" s="31">
        <v>8</v>
      </c>
      <c r="U13" s="8">
        <v>67</v>
      </c>
      <c r="V13" s="9" t="s">
        <v>1147</v>
      </c>
      <c r="W13" s="185">
        <v>1</v>
      </c>
      <c r="X13" s="200">
        <v>8</v>
      </c>
      <c r="Y13" s="8">
        <v>72</v>
      </c>
      <c r="Z13" s="9" t="s">
        <v>1055</v>
      </c>
      <c r="AA13" s="36">
        <v>3</v>
      </c>
      <c r="AC13" s="31">
        <v>8</v>
      </c>
      <c r="AD13" s="8">
        <v>69</v>
      </c>
      <c r="AE13" s="8" t="s">
        <v>1205</v>
      </c>
      <c r="AF13" s="355">
        <v>2</v>
      </c>
      <c r="AG13" s="200">
        <v>8</v>
      </c>
      <c r="AH13" s="8">
        <v>61</v>
      </c>
      <c r="AI13" s="8" t="s">
        <v>1012</v>
      </c>
      <c r="AJ13" s="36">
        <v>0.5</v>
      </c>
      <c r="AL13" s="31">
        <v>8</v>
      </c>
      <c r="AM13" s="8">
        <v>61</v>
      </c>
      <c r="AN13" s="8" t="s">
        <v>990</v>
      </c>
      <c r="AO13" s="355">
        <v>0.5</v>
      </c>
      <c r="AP13" s="200">
        <v>8</v>
      </c>
      <c r="AQ13" s="8">
        <v>61</v>
      </c>
      <c r="AR13" s="8" t="s">
        <v>1273</v>
      </c>
      <c r="AS13" s="36">
        <v>0.5</v>
      </c>
    </row>
    <row r="14" spans="2:45" x14ac:dyDescent="0.25">
      <c r="B14" s="31">
        <v>8</v>
      </c>
      <c r="C14" s="8">
        <v>90</v>
      </c>
      <c r="D14" s="197" t="s">
        <v>996</v>
      </c>
      <c r="E14" s="197" t="s">
        <v>865</v>
      </c>
      <c r="F14" s="200">
        <v>9</v>
      </c>
      <c r="G14" s="8">
        <v>76</v>
      </c>
      <c r="H14" s="8" t="s">
        <v>1017</v>
      </c>
      <c r="I14" s="36">
        <v>5</v>
      </c>
      <c r="K14" s="31">
        <v>9</v>
      </c>
      <c r="L14" s="8">
        <v>72</v>
      </c>
      <c r="M14" s="174" t="s">
        <v>1055</v>
      </c>
      <c r="N14" s="185">
        <v>3</v>
      </c>
      <c r="O14" s="200">
        <v>10</v>
      </c>
      <c r="P14" s="8">
        <v>74</v>
      </c>
      <c r="Q14" s="8" t="s">
        <v>1096</v>
      </c>
      <c r="R14" s="36">
        <v>4</v>
      </c>
      <c r="T14" s="31">
        <v>9</v>
      </c>
      <c r="U14" s="8">
        <v>70</v>
      </c>
      <c r="V14" s="9" t="s">
        <v>1148</v>
      </c>
      <c r="W14" s="185">
        <v>2</v>
      </c>
      <c r="X14" s="200">
        <v>9</v>
      </c>
      <c r="Y14" s="8">
        <v>75</v>
      </c>
      <c r="Z14" s="9" t="s">
        <v>1056</v>
      </c>
      <c r="AA14" s="36">
        <v>5</v>
      </c>
      <c r="AC14" s="31">
        <v>9</v>
      </c>
      <c r="AD14" s="8">
        <v>71</v>
      </c>
      <c r="AE14" s="8" t="s">
        <v>1053</v>
      </c>
      <c r="AF14" s="355">
        <v>3</v>
      </c>
      <c r="AG14" s="200">
        <v>9</v>
      </c>
      <c r="AH14" s="8">
        <v>62</v>
      </c>
      <c r="AI14" s="8" t="s">
        <v>1220</v>
      </c>
      <c r="AJ14" s="36">
        <v>1</v>
      </c>
      <c r="AL14" s="31">
        <v>9</v>
      </c>
      <c r="AM14" s="8">
        <v>64</v>
      </c>
      <c r="AN14" s="8" t="s">
        <v>1203</v>
      </c>
      <c r="AO14" s="355">
        <v>1</v>
      </c>
      <c r="AP14" s="200">
        <v>9</v>
      </c>
      <c r="AQ14" s="8">
        <v>62</v>
      </c>
      <c r="AR14" s="8" t="s">
        <v>1144</v>
      </c>
      <c r="AS14" s="36">
        <v>1</v>
      </c>
    </row>
    <row r="15" spans="2:45" x14ac:dyDescent="0.25">
      <c r="B15" s="31">
        <v>9</v>
      </c>
      <c r="C15" s="8">
        <v>95</v>
      </c>
      <c r="D15" s="197" t="s">
        <v>997</v>
      </c>
      <c r="E15" s="197" t="s">
        <v>879</v>
      </c>
      <c r="F15" s="200">
        <v>10</v>
      </c>
      <c r="G15" s="8">
        <v>78</v>
      </c>
      <c r="H15" s="8" t="s">
        <v>1018</v>
      </c>
      <c r="I15" s="36">
        <v>7</v>
      </c>
      <c r="K15" s="31">
        <v>10</v>
      </c>
      <c r="L15" s="8">
        <v>75</v>
      </c>
      <c r="M15" s="174" t="s">
        <v>1056</v>
      </c>
      <c r="N15" s="185">
        <v>5</v>
      </c>
      <c r="O15" s="200">
        <v>11</v>
      </c>
      <c r="P15" s="8">
        <v>76</v>
      </c>
      <c r="Q15" s="8" t="s">
        <v>1097</v>
      </c>
      <c r="R15" s="36">
        <v>5</v>
      </c>
      <c r="T15" s="31">
        <v>10</v>
      </c>
      <c r="U15" s="8">
        <v>73</v>
      </c>
      <c r="V15" s="9" t="s">
        <v>1149</v>
      </c>
      <c r="W15" s="185">
        <v>4</v>
      </c>
      <c r="X15" s="200">
        <v>10</v>
      </c>
      <c r="Y15" s="8">
        <v>78</v>
      </c>
      <c r="Z15" s="9" t="s">
        <v>1182</v>
      </c>
      <c r="AA15" s="36">
        <v>7</v>
      </c>
      <c r="AC15" s="31">
        <v>10</v>
      </c>
      <c r="AD15" s="8">
        <v>74</v>
      </c>
      <c r="AE15" s="8" t="s">
        <v>1206</v>
      </c>
      <c r="AF15" s="355">
        <v>4</v>
      </c>
      <c r="AG15" s="200">
        <v>10</v>
      </c>
      <c r="AH15" s="8">
        <v>64</v>
      </c>
      <c r="AI15" s="8" t="s">
        <v>1013</v>
      </c>
      <c r="AJ15" s="36">
        <v>1</v>
      </c>
      <c r="AL15" s="31">
        <v>10</v>
      </c>
      <c r="AM15" s="8">
        <v>67</v>
      </c>
      <c r="AN15" s="8" t="s">
        <v>1252</v>
      </c>
      <c r="AO15" s="355">
        <v>1</v>
      </c>
      <c r="AP15" s="200">
        <v>10</v>
      </c>
      <c r="AQ15" s="8">
        <v>64</v>
      </c>
      <c r="AR15" s="8" t="s">
        <v>1145</v>
      </c>
      <c r="AS15" s="36">
        <v>1</v>
      </c>
    </row>
    <row r="16" spans="2:45" x14ac:dyDescent="0.25">
      <c r="B16" s="31">
        <v>10</v>
      </c>
      <c r="C16" s="8">
        <v>100</v>
      </c>
      <c r="D16" s="197" t="s">
        <v>998</v>
      </c>
      <c r="E16" s="197" t="s">
        <v>866</v>
      </c>
      <c r="F16" s="200">
        <v>11</v>
      </c>
      <c r="G16" s="8">
        <v>80</v>
      </c>
      <c r="H16" s="8" t="s">
        <v>1019</v>
      </c>
      <c r="I16" s="36">
        <v>9</v>
      </c>
      <c r="K16" s="31">
        <v>11</v>
      </c>
      <c r="L16" s="8">
        <v>77</v>
      </c>
      <c r="M16" s="174" t="s">
        <v>1057</v>
      </c>
      <c r="N16" s="185">
        <v>6</v>
      </c>
      <c r="O16" s="200">
        <v>12</v>
      </c>
      <c r="P16" s="8">
        <v>77</v>
      </c>
      <c r="Q16" s="8" t="s">
        <v>1100</v>
      </c>
      <c r="R16" s="36">
        <v>6</v>
      </c>
      <c r="T16" s="31">
        <v>11</v>
      </c>
      <c r="U16" s="8">
        <v>76</v>
      </c>
      <c r="V16" s="9" t="s">
        <v>1150</v>
      </c>
      <c r="W16" s="185">
        <v>5</v>
      </c>
      <c r="X16" s="200">
        <v>11</v>
      </c>
      <c r="Y16" s="8">
        <v>81</v>
      </c>
      <c r="Z16" s="9" t="s">
        <v>1183</v>
      </c>
      <c r="AA16" s="36">
        <v>10</v>
      </c>
      <c r="AC16" s="31">
        <v>11</v>
      </c>
      <c r="AD16" s="8">
        <v>77</v>
      </c>
      <c r="AE16" s="8" t="s">
        <v>1057</v>
      </c>
      <c r="AF16" s="355">
        <v>6</v>
      </c>
      <c r="AG16" s="200">
        <v>11</v>
      </c>
      <c r="AH16" s="8">
        <v>66</v>
      </c>
      <c r="AI16" s="8" t="s">
        <v>1221</v>
      </c>
      <c r="AJ16" s="36">
        <v>1</v>
      </c>
      <c r="AL16" s="31">
        <v>11</v>
      </c>
      <c r="AM16" s="8">
        <v>71</v>
      </c>
      <c r="AN16" s="8" t="s">
        <v>992</v>
      </c>
      <c r="AO16" s="355">
        <v>3</v>
      </c>
      <c r="AP16" s="200">
        <v>11</v>
      </c>
      <c r="AQ16" s="8">
        <v>66</v>
      </c>
      <c r="AR16" s="8" t="s">
        <v>1274</v>
      </c>
      <c r="AS16" s="36">
        <v>1</v>
      </c>
    </row>
    <row r="17" spans="2:45" x14ac:dyDescent="0.25">
      <c r="B17" s="31">
        <v>11</v>
      </c>
      <c r="C17" s="8">
        <v>105</v>
      </c>
      <c r="D17" s="197" t="s">
        <v>999</v>
      </c>
      <c r="E17" s="197" t="s">
        <v>867</v>
      </c>
      <c r="F17" s="200">
        <v>12</v>
      </c>
      <c r="G17" s="8">
        <v>82</v>
      </c>
      <c r="H17" s="8" t="s">
        <v>1020</v>
      </c>
      <c r="I17" s="36">
        <v>12</v>
      </c>
      <c r="K17" s="31">
        <v>12</v>
      </c>
      <c r="L17" s="8">
        <v>80</v>
      </c>
      <c r="M17" s="174" t="s">
        <v>1058</v>
      </c>
      <c r="N17" s="185">
        <v>9</v>
      </c>
      <c r="O17" s="200">
        <v>13</v>
      </c>
      <c r="P17" s="8">
        <v>78</v>
      </c>
      <c r="Q17" s="8" t="s">
        <v>1098</v>
      </c>
      <c r="R17" s="36">
        <v>7</v>
      </c>
      <c r="T17" s="31">
        <v>12</v>
      </c>
      <c r="U17" s="8">
        <v>78</v>
      </c>
      <c r="V17" s="9" t="s">
        <v>1151</v>
      </c>
      <c r="W17" s="185">
        <v>7</v>
      </c>
      <c r="X17" s="200">
        <v>12</v>
      </c>
      <c r="Y17" s="8">
        <v>83</v>
      </c>
      <c r="Z17" s="9" t="s">
        <v>1184</v>
      </c>
      <c r="AA17" s="36">
        <v>13</v>
      </c>
      <c r="AC17" s="31">
        <v>12</v>
      </c>
      <c r="AD17" s="8">
        <v>78</v>
      </c>
      <c r="AE17" s="8" t="s">
        <v>1151</v>
      </c>
      <c r="AF17" s="355">
        <v>7</v>
      </c>
      <c r="AG17" s="200">
        <v>12</v>
      </c>
      <c r="AH17" s="8">
        <v>68</v>
      </c>
      <c r="AI17" s="8" t="s">
        <v>1222</v>
      </c>
      <c r="AJ17" s="36">
        <v>2</v>
      </c>
      <c r="AL17" s="31">
        <v>12</v>
      </c>
      <c r="AM17" s="8">
        <v>74</v>
      </c>
      <c r="AN17" s="8" t="s">
        <v>1253</v>
      </c>
      <c r="AO17" s="355">
        <v>4</v>
      </c>
      <c r="AP17" s="200">
        <v>12</v>
      </c>
      <c r="AQ17" s="8">
        <v>68</v>
      </c>
      <c r="AR17" s="8" t="s">
        <v>1275</v>
      </c>
      <c r="AS17" s="36">
        <v>2</v>
      </c>
    </row>
    <row r="18" spans="2:45" x14ac:dyDescent="0.25">
      <c r="B18" s="31">
        <v>12</v>
      </c>
      <c r="C18" s="8">
        <v>110</v>
      </c>
      <c r="D18" s="197" t="s">
        <v>1000</v>
      </c>
      <c r="E18" s="197" t="s">
        <v>868</v>
      </c>
      <c r="F18" s="200">
        <v>13</v>
      </c>
      <c r="G18" s="8">
        <v>84</v>
      </c>
      <c r="H18" s="8" t="s">
        <v>1021</v>
      </c>
      <c r="I18" s="36">
        <v>14</v>
      </c>
      <c r="K18" s="31">
        <v>13</v>
      </c>
      <c r="L18" s="8">
        <v>82</v>
      </c>
      <c r="M18" s="174" t="s">
        <v>1059</v>
      </c>
      <c r="N18" s="185">
        <v>12</v>
      </c>
      <c r="O18" s="200">
        <v>14</v>
      </c>
      <c r="P18" s="8">
        <v>79</v>
      </c>
      <c r="Q18" s="8" t="s">
        <v>1090</v>
      </c>
      <c r="R18" s="36">
        <v>8</v>
      </c>
      <c r="T18" s="31">
        <v>13</v>
      </c>
      <c r="U18" s="8">
        <v>81</v>
      </c>
      <c r="V18" s="9" t="s">
        <v>1152</v>
      </c>
      <c r="W18" s="185">
        <v>10</v>
      </c>
      <c r="X18" s="200">
        <v>13</v>
      </c>
      <c r="Y18" s="8">
        <v>85</v>
      </c>
      <c r="Z18" s="9" t="s">
        <v>1060</v>
      </c>
      <c r="AA18" s="36">
        <v>16</v>
      </c>
      <c r="AC18" s="31">
        <v>13</v>
      </c>
      <c r="AD18" s="8">
        <v>82</v>
      </c>
      <c r="AE18" s="8" t="s">
        <v>1059</v>
      </c>
      <c r="AF18" s="355">
        <v>12</v>
      </c>
      <c r="AG18" s="200">
        <v>13</v>
      </c>
      <c r="AH18" s="8">
        <v>70</v>
      </c>
      <c r="AI18" s="8" t="s">
        <v>1015</v>
      </c>
      <c r="AJ18" s="36">
        <v>2</v>
      </c>
      <c r="AL18" s="31">
        <v>13</v>
      </c>
      <c r="AM18" s="8">
        <v>77</v>
      </c>
      <c r="AN18" s="8" t="s">
        <v>1254</v>
      </c>
      <c r="AO18" s="355">
        <v>6</v>
      </c>
      <c r="AP18" s="200">
        <v>13</v>
      </c>
      <c r="AQ18" s="8">
        <v>70</v>
      </c>
      <c r="AR18" s="8" t="s">
        <v>1148</v>
      </c>
      <c r="AS18" s="36">
        <v>2</v>
      </c>
    </row>
    <row r="19" spans="2:45" x14ac:dyDescent="0.25">
      <c r="B19" s="31">
        <v>13</v>
      </c>
      <c r="C19" s="8">
        <v>115</v>
      </c>
      <c r="D19" s="197" t="s">
        <v>1001</v>
      </c>
      <c r="E19" s="197" t="s">
        <v>869</v>
      </c>
      <c r="F19" s="200">
        <v>14</v>
      </c>
      <c r="G19" s="8">
        <v>87</v>
      </c>
      <c r="H19" s="8" t="s">
        <v>1022</v>
      </c>
      <c r="I19" s="36">
        <v>19</v>
      </c>
      <c r="K19" s="31">
        <v>14</v>
      </c>
      <c r="L19" s="8">
        <v>85</v>
      </c>
      <c r="M19" s="174" t="s">
        <v>1060</v>
      </c>
      <c r="N19" s="185">
        <v>16</v>
      </c>
      <c r="O19" s="200">
        <v>15</v>
      </c>
      <c r="P19" s="8">
        <v>81</v>
      </c>
      <c r="Q19" s="8" t="s">
        <v>1094</v>
      </c>
      <c r="R19" s="36">
        <v>10</v>
      </c>
      <c r="T19" s="31">
        <v>14</v>
      </c>
      <c r="U19" s="8">
        <v>84</v>
      </c>
      <c r="V19" s="9" t="s">
        <v>1153</v>
      </c>
      <c r="W19" s="185">
        <v>14</v>
      </c>
      <c r="X19" s="200">
        <v>14</v>
      </c>
      <c r="Y19" s="8">
        <v>88</v>
      </c>
      <c r="Z19" s="9" t="s">
        <v>1061</v>
      </c>
      <c r="AA19" s="36">
        <v>21</v>
      </c>
      <c r="AC19" s="31">
        <v>14</v>
      </c>
      <c r="AD19" s="8">
        <v>84</v>
      </c>
      <c r="AE19" s="8" t="s">
        <v>1211</v>
      </c>
      <c r="AF19" s="355">
        <v>14</v>
      </c>
      <c r="AG19" s="200">
        <v>14</v>
      </c>
      <c r="AH19" s="8">
        <v>71</v>
      </c>
      <c r="AI19" s="8" t="s">
        <v>1223</v>
      </c>
      <c r="AJ19" s="36">
        <v>3</v>
      </c>
      <c r="AL19" s="31">
        <v>14</v>
      </c>
      <c r="AM19" s="8">
        <v>80</v>
      </c>
      <c r="AN19" s="8" t="s">
        <v>1255</v>
      </c>
      <c r="AO19" s="355">
        <v>9</v>
      </c>
      <c r="AP19" s="200">
        <v>14</v>
      </c>
      <c r="AQ19" s="8">
        <v>71</v>
      </c>
      <c r="AR19" s="8" t="s">
        <v>1276</v>
      </c>
      <c r="AS19" s="36">
        <v>3</v>
      </c>
    </row>
    <row r="20" spans="2:45" x14ac:dyDescent="0.25">
      <c r="B20" s="31">
        <v>14</v>
      </c>
      <c r="C20" s="8">
        <v>120</v>
      </c>
      <c r="D20" s="197" t="s">
        <v>1002</v>
      </c>
      <c r="E20" s="197" t="s">
        <v>870</v>
      </c>
      <c r="F20" s="200">
        <v>15</v>
      </c>
      <c r="G20" s="8">
        <v>89</v>
      </c>
      <c r="H20" s="8" t="s">
        <v>1023</v>
      </c>
      <c r="I20" s="36">
        <v>23</v>
      </c>
      <c r="K20" s="31">
        <v>15</v>
      </c>
      <c r="L20" s="8">
        <v>87</v>
      </c>
      <c r="M20" s="174" t="s">
        <v>1061</v>
      </c>
      <c r="N20" s="185">
        <v>19</v>
      </c>
      <c r="O20" s="200">
        <v>16</v>
      </c>
      <c r="P20" s="8">
        <v>82</v>
      </c>
      <c r="Q20" s="8" t="s">
        <v>1101</v>
      </c>
      <c r="R20" s="36">
        <v>12</v>
      </c>
      <c r="T20" s="31">
        <v>15</v>
      </c>
      <c r="U20" s="8">
        <v>86</v>
      </c>
      <c r="V20" s="9" t="s">
        <v>1154</v>
      </c>
      <c r="W20" s="185">
        <v>18</v>
      </c>
      <c r="X20" s="200">
        <v>15</v>
      </c>
      <c r="Y20" s="8">
        <v>90</v>
      </c>
      <c r="Z20" s="9" t="s">
        <v>1185</v>
      </c>
      <c r="AA20" s="36">
        <v>25</v>
      </c>
      <c r="AC20" s="31">
        <v>15</v>
      </c>
      <c r="AD20" s="8">
        <v>87</v>
      </c>
      <c r="AE20" s="8" t="s">
        <v>1061</v>
      </c>
      <c r="AF20" s="355">
        <v>19</v>
      </c>
      <c r="AG20" s="200">
        <v>15</v>
      </c>
      <c r="AH20" s="8">
        <v>73</v>
      </c>
      <c r="AI20" s="8" t="s">
        <v>1016</v>
      </c>
      <c r="AJ20" s="36">
        <v>4</v>
      </c>
      <c r="AL20" s="31">
        <v>15</v>
      </c>
      <c r="AM20" s="8">
        <v>84</v>
      </c>
      <c r="AN20" s="8" t="s">
        <v>1256</v>
      </c>
      <c r="AO20" s="355">
        <v>14</v>
      </c>
      <c r="AP20" s="200">
        <v>15</v>
      </c>
      <c r="AQ20" s="8">
        <v>73</v>
      </c>
      <c r="AR20" s="8" t="s">
        <v>1149</v>
      </c>
      <c r="AS20" s="36">
        <v>4</v>
      </c>
    </row>
    <row r="21" spans="2:45" x14ac:dyDescent="0.25">
      <c r="B21" s="31">
        <v>15</v>
      </c>
      <c r="C21" s="8">
        <v>125</v>
      </c>
      <c r="D21" s="197" t="s">
        <v>1003</v>
      </c>
      <c r="E21" s="197" t="s">
        <v>871</v>
      </c>
      <c r="F21" s="200">
        <v>16</v>
      </c>
      <c r="G21" s="8">
        <v>91</v>
      </c>
      <c r="H21" s="8" t="s">
        <v>1024</v>
      </c>
      <c r="I21" s="36">
        <v>27</v>
      </c>
      <c r="K21" s="31">
        <v>16</v>
      </c>
      <c r="L21" s="8">
        <v>90</v>
      </c>
      <c r="M21" s="174" t="s">
        <v>1062</v>
      </c>
      <c r="N21" s="185">
        <v>25</v>
      </c>
      <c r="O21" s="200">
        <v>17</v>
      </c>
      <c r="P21" s="8">
        <v>83</v>
      </c>
      <c r="Q21" s="8" t="s">
        <v>1102</v>
      </c>
      <c r="R21" s="36">
        <v>13</v>
      </c>
      <c r="T21" s="31">
        <v>16</v>
      </c>
      <c r="U21" s="8">
        <v>89</v>
      </c>
      <c r="V21" s="9" t="s">
        <v>1155</v>
      </c>
      <c r="W21" s="185">
        <v>23</v>
      </c>
      <c r="X21" s="200">
        <v>16</v>
      </c>
      <c r="Y21" s="8">
        <v>92</v>
      </c>
      <c r="Z21" s="9" t="s">
        <v>1063</v>
      </c>
      <c r="AA21" s="36">
        <v>30</v>
      </c>
      <c r="AC21" s="31">
        <v>16</v>
      </c>
      <c r="AD21" s="8">
        <v>90</v>
      </c>
      <c r="AE21" s="8" t="s">
        <v>1062</v>
      </c>
      <c r="AF21" s="355">
        <v>25</v>
      </c>
      <c r="AG21" s="200">
        <v>16</v>
      </c>
      <c r="AH21" s="8">
        <v>75</v>
      </c>
      <c r="AI21" s="8" t="s">
        <v>1224</v>
      </c>
      <c r="AJ21" s="36">
        <v>5</v>
      </c>
      <c r="AL21" s="31">
        <v>16</v>
      </c>
      <c r="AM21" s="8">
        <v>87</v>
      </c>
      <c r="AN21" s="8" t="s">
        <v>1217</v>
      </c>
      <c r="AO21" s="355">
        <v>19</v>
      </c>
      <c r="AP21" s="200">
        <v>16</v>
      </c>
      <c r="AQ21" s="8">
        <v>75</v>
      </c>
      <c r="AR21" s="8" t="s">
        <v>1277</v>
      </c>
      <c r="AS21" s="36">
        <v>5</v>
      </c>
    </row>
    <row r="22" spans="2:45" x14ac:dyDescent="0.25">
      <c r="B22" s="31">
        <v>16</v>
      </c>
      <c r="C22" s="8">
        <v>130</v>
      </c>
      <c r="D22" s="197" t="s">
        <v>1004</v>
      </c>
      <c r="E22" s="197" t="s">
        <v>872</v>
      </c>
      <c r="F22" s="200">
        <v>17</v>
      </c>
      <c r="G22" s="8">
        <v>93</v>
      </c>
      <c r="H22" s="8" t="s">
        <v>1025</v>
      </c>
      <c r="I22" s="36">
        <v>32</v>
      </c>
      <c r="K22" s="31">
        <v>17</v>
      </c>
      <c r="L22" s="8">
        <v>92</v>
      </c>
      <c r="M22" s="174" t="s">
        <v>1063</v>
      </c>
      <c r="N22" s="185">
        <v>30</v>
      </c>
      <c r="O22" s="200">
        <v>18</v>
      </c>
      <c r="P22" s="8">
        <v>85</v>
      </c>
      <c r="Q22" s="8" t="s">
        <v>1103</v>
      </c>
      <c r="R22" s="36">
        <v>16</v>
      </c>
      <c r="T22" s="31">
        <v>17</v>
      </c>
      <c r="U22" s="8">
        <v>92</v>
      </c>
      <c r="V22" s="9" t="s">
        <v>1156</v>
      </c>
      <c r="W22" s="185">
        <v>30</v>
      </c>
      <c r="X22" s="200">
        <v>17</v>
      </c>
      <c r="Y22" s="8">
        <v>94</v>
      </c>
      <c r="Z22" s="9" t="s">
        <v>1186</v>
      </c>
      <c r="AA22" s="36">
        <v>34</v>
      </c>
      <c r="AC22" s="31">
        <v>17</v>
      </c>
      <c r="AD22" s="8">
        <v>92</v>
      </c>
      <c r="AE22" s="8" t="s">
        <v>1063</v>
      </c>
      <c r="AF22" s="355">
        <v>30</v>
      </c>
      <c r="AG22" s="200">
        <v>17</v>
      </c>
      <c r="AH22" s="8">
        <v>77</v>
      </c>
      <c r="AI22" s="8" t="s">
        <v>1225</v>
      </c>
      <c r="AJ22" s="36">
        <v>6</v>
      </c>
      <c r="AL22" s="31">
        <v>17</v>
      </c>
      <c r="AM22" s="8">
        <v>90</v>
      </c>
      <c r="AN22" s="8" t="s">
        <v>996</v>
      </c>
      <c r="AO22" s="355">
        <v>25</v>
      </c>
      <c r="AP22" s="200">
        <v>17</v>
      </c>
      <c r="AQ22" s="8">
        <v>77</v>
      </c>
      <c r="AR22" s="8" t="s">
        <v>1150</v>
      </c>
      <c r="AS22" s="36">
        <v>6</v>
      </c>
    </row>
    <row r="23" spans="2:45" x14ac:dyDescent="0.25">
      <c r="B23" s="31">
        <v>17</v>
      </c>
      <c r="C23" s="8">
        <v>135</v>
      </c>
      <c r="D23" s="197" t="s">
        <v>1005</v>
      </c>
      <c r="E23" s="197" t="s">
        <v>873</v>
      </c>
      <c r="F23" s="200">
        <v>18</v>
      </c>
      <c r="G23" s="8">
        <v>96</v>
      </c>
      <c r="H23" s="8" t="s">
        <v>1026</v>
      </c>
      <c r="I23" s="36">
        <v>39</v>
      </c>
      <c r="K23" s="31">
        <v>18</v>
      </c>
      <c r="L23" s="8">
        <v>95</v>
      </c>
      <c r="M23" s="174" t="s">
        <v>1064</v>
      </c>
      <c r="N23" s="185">
        <v>37</v>
      </c>
      <c r="O23" s="200">
        <v>19</v>
      </c>
      <c r="P23" s="8">
        <v>86</v>
      </c>
      <c r="Q23" s="8" t="s">
        <v>1105</v>
      </c>
      <c r="R23" s="36">
        <v>18</v>
      </c>
      <c r="T23" s="31">
        <v>18</v>
      </c>
      <c r="U23" s="8">
        <v>95</v>
      </c>
      <c r="V23" s="9" t="s">
        <v>1157</v>
      </c>
      <c r="W23" s="185">
        <v>37</v>
      </c>
      <c r="X23" s="200">
        <v>18</v>
      </c>
      <c r="Y23" s="8">
        <v>96</v>
      </c>
      <c r="Z23" s="9" t="s">
        <v>1187</v>
      </c>
      <c r="AA23" s="36">
        <v>39</v>
      </c>
      <c r="AC23" s="31">
        <v>18</v>
      </c>
      <c r="AD23" s="8">
        <v>95</v>
      </c>
      <c r="AE23" s="8" t="s">
        <v>1064</v>
      </c>
      <c r="AF23" s="355">
        <v>37</v>
      </c>
      <c r="AG23" s="200">
        <v>18</v>
      </c>
      <c r="AH23" s="8">
        <v>79</v>
      </c>
      <c r="AI23" s="8" t="s">
        <v>1226</v>
      </c>
      <c r="AJ23" s="36">
        <v>8</v>
      </c>
      <c r="AL23" s="31">
        <v>18</v>
      </c>
      <c r="AM23" s="8">
        <v>93</v>
      </c>
      <c r="AN23" s="8" t="s">
        <v>1257</v>
      </c>
      <c r="AO23" s="355">
        <v>32</v>
      </c>
      <c r="AP23" s="200">
        <v>18</v>
      </c>
      <c r="AQ23" s="8">
        <v>78</v>
      </c>
      <c r="AR23" s="8" t="s">
        <v>1278</v>
      </c>
      <c r="AS23" s="36">
        <v>7</v>
      </c>
    </row>
    <row r="24" spans="2:45" x14ac:dyDescent="0.25">
      <c r="B24" s="31">
        <v>18</v>
      </c>
      <c r="C24" s="8">
        <v>140</v>
      </c>
      <c r="D24" s="197" t="s">
        <v>1006</v>
      </c>
      <c r="E24" s="197" t="s">
        <v>954</v>
      </c>
      <c r="F24" s="200">
        <v>19</v>
      </c>
      <c r="G24" s="8">
        <v>98</v>
      </c>
      <c r="H24" s="8" t="s">
        <v>1027</v>
      </c>
      <c r="I24" s="36">
        <v>45</v>
      </c>
      <c r="K24" s="31">
        <v>19</v>
      </c>
      <c r="L24" s="8">
        <v>97</v>
      </c>
      <c r="M24" s="174" t="s">
        <v>1065</v>
      </c>
      <c r="N24" s="185">
        <v>42</v>
      </c>
      <c r="O24" s="200">
        <v>20</v>
      </c>
      <c r="P24" s="8">
        <v>87</v>
      </c>
      <c r="Q24" s="8" t="s">
        <v>1099</v>
      </c>
      <c r="R24" s="36">
        <v>19</v>
      </c>
      <c r="T24" s="31">
        <v>19</v>
      </c>
      <c r="U24" s="8">
        <v>97</v>
      </c>
      <c r="V24" s="9" t="s">
        <v>1158</v>
      </c>
      <c r="W24" s="185">
        <v>42</v>
      </c>
      <c r="X24" s="200">
        <v>19</v>
      </c>
      <c r="Y24" s="8">
        <v>98</v>
      </c>
      <c r="Z24" s="9" t="s">
        <v>1188</v>
      </c>
      <c r="AA24" s="36">
        <v>45</v>
      </c>
      <c r="AC24" s="31">
        <v>19</v>
      </c>
      <c r="AD24" s="8">
        <v>97</v>
      </c>
      <c r="AE24" s="8" t="s">
        <v>1065</v>
      </c>
      <c r="AF24" s="355">
        <v>42</v>
      </c>
      <c r="AG24" s="200">
        <v>19</v>
      </c>
      <c r="AH24" s="8">
        <v>80</v>
      </c>
      <c r="AI24" s="8" t="s">
        <v>1019</v>
      </c>
      <c r="AJ24" s="36">
        <v>9</v>
      </c>
      <c r="AL24" s="31">
        <v>19</v>
      </c>
      <c r="AM24" s="8">
        <v>97</v>
      </c>
      <c r="AN24" s="8" t="s">
        <v>1258</v>
      </c>
      <c r="AO24" s="355">
        <v>42</v>
      </c>
      <c r="AP24" s="200">
        <v>19</v>
      </c>
      <c r="AQ24" s="8">
        <v>80</v>
      </c>
      <c r="AR24" s="8" t="s">
        <v>1279</v>
      </c>
      <c r="AS24" s="36">
        <v>9</v>
      </c>
    </row>
    <row r="25" spans="2:45" ht="15.75" thickBot="1" x14ac:dyDescent="0.3">
      <c r="B25" s="33">
        <v>19</v>
      </c>
      <c r="C25" s="17">
        <v>145</v>
      </c>
      <c r="D25" s="198" t="s">
        <v>1007</v>
      </c>
      <c r="E25" s="198" t="s">
        <v>957</v>
      </c>
      <c r="F25" s="200">
        <v>20</v>
      </c>
      <c r="G25" s="8">
        <v>100</v>
      </c>
      <c r="H25" s="8" t="s">
        <v>1028</v>
      </c>
      <c r="I25" s="36">
        <v>50</v>
      </c>
      <c r="K25" s="31">
        <v>20</v>
      </c>
      <c r="L25" s="8">
        <v>100</v>
      </c>
      <c r="M25" s="174" t="s">
        <v>1066</v>
      </c>
      <c r="N25" s="185">
        <v>50</v>
      </c>
      <c r="O25" s="200">
        <v>21</v>
      </c>
      <c r="P25" s="8">
        <v>88</v>
      </c>
      <c r="Q25" s="8" t="s">
        <v>1106</v>
      </c>
      <c r="R25" s="36">
        <v>21</v>
      </c>
      <c r="T25" s="31">
        <v>20</v>
      </c>
      <c r="U25" s="8">
        <v>100</v>
      </c>
      <c r="V25" s="9" t="s">
        <v>1159</v>
      </c>
      <c r="W25" s="185">
        <v>50</v>
      </c>
      <c r="X25" s="200">
        <v>20</v>
      </c>
      <c r="Y25" s="8">
        <v>100</v>
      </c>
      <c r="Z25" s="9" t="s">
        <v>1066</v>
      </c>
      <c r="AA25" s="36">
        <v>50</v>
      </c>
      <c r="AC25" s="31">
        <v>20</v>
      </c>
      <c r="AD25" s="8">
        <v>100</v>
      </c>
      <c r="AE25" s="8" t="s">
        <v>1066</v>
      </c>
      <c r="AF25" s="355">
        <v>50</v>
      </c>
      <c r="AG25" s="200">
        <v>20</v>
      </c>
      <c r="AH25" s="8">
        <v>82</v>
      </c>
      <c r="AI25" s="8" t="s">
        <v>1020</v>
      </c>
      <c r="AJ25" s="36">
        <v>12</v>
      </c>
      <c r="AL25" s="31">
        <v>20</v>
      </c>
      <c r="AM25" s="8">
        <v>100</v>
      </c>
      <c r="AN25" s="8" t="s">
        <v>1259</v>
      </c>
      <c r="AO25" s="355">
        <v>50</v>
      </c>
      <c r="AP25" s="200">
        <v>20</v>
      </c>
      <c r="AQ25" s="8">
        <v>82</v>
      </c>
      <c r="AR25" s="8" t="s">
        <v>1280</v>
      </c>
      <c r="AS25" s="36">
        <v>12</v>
      </c>
    </row>
    <row r="26" spans="2:45" x14ac:dyDescent="0.25">
      <c r="F26" s="200">
        <v>21</v>
      </c>
      <c r="G26" s="8">
        <v>102</v>
      </c>
      <c r="H26" s="8" t="s">
        <v>1029</v>
      </c>
      <c r="I26" s="36">
        <v>55</v>
      </c>
      <c r="K26" s="31">
        <v>21</v>
      </c>
      <c r="L26" s="8">
        <v>103</v>
      </c>
      <c r="M26" s="174" t="s">
        <v>1067</v>
      </c>
      <c r="N26" s="185">
        <v>58</v>
      </c>
      <c r="O26" s="200">
        <v>22</v>
      </c>
      <c r="P26" s="8">
        <v>90</v>
      </c>
      <c r="Q26" s="8" t="s">
        <v>1107</v>
      </c>
      <c r="R26" s="36">
        <v>25</v>
      </c>
      <c r="T26" s="31">
        <v>21</v>
      </c>
      <c r="U26" s="8">
        <v>103</v>
      </c>
      <c r="V26" s="9" t="s">
        <v>1160</v>
      </c>
      <c r="W26" s="185">
        <v>58</v>
      </c>
      <c r="X26" s="200">
        <v>21</v>
      </c>
      <c r="Y26" s="8">
        <v>102</v>
      </c>
      <c r="Z26" s="9" t="s">
        <v>1189</v>
      </c>
      <c r="AA26" s="36">
        <v>55</v>
      </c>
      <c r="AC26" s="31">
        <v>21</v>
      </c>
      <c r="AD26" s="8">
        <v>103</v>
      </c>
      <c r="AE26" s="8" t="s">
        <v>1067</v>
      </c>
      <c r="AF26" s="355">
        <v>58</v>
      </c>
      <c r="AG26" s="200">
        <v>21</v>
      </c>
      <c r="AH26" s="8">
        <v>84</v>
      </c>
      <c r="AI26" s="8" t="s">
        <v>1021</v>
      </c>
      <c r="AJ26" s="36">
        <v>14</v>
      </c>
      <c r="AL26" s="31">
        <v>21</v>
      </c>
      <c r="AM26" s="8">
        <v>103</v>
      </c>
      <c r="AN26" s="8" t="s">
        <v>1260</v>
      </c>
      <c r="AO26" s="355">
        <v>58</v>
      </c>
      <c r="AP26" s="200">
        <v>21</v>
      </c>
      <c r="AQ26" s="8">
        <v>84</v>
      </c>
      <c r="AR26" s="8" t="s">
        <v>1153</v>
      </c>
      <c r="AS26" s="36">
        <v>14</v>
      </c>
    </row>
    <row r="27" spans="2:45" x14ac:dyDescent="0.25">
      <c r="F27" s="200">
        <v>22</v>
      </c>
      <c r="G27" s="8">
        <v>104</v>
      </c>
      <c r="H27" s="8" t="s">
        <v>1030</v>
      </c>
      <c r="I27" s="36">
        <v>61</v>
      </c>
      <c r="K27" s="31">
        <v>22</v>
      </c>
      <c r="L27" s="8">
        <v>105</v>
      </c>
      <c r="M27" s="174" t="s">
        <v>1068</v>
      </c>
      <c r="N27" s="185">
        <v>63</v>
      </c>
      <c r="O27" s="200">
        <v>23</v>
      </c>
      <c r="P27" s="8">
        <v>91</v>
      </c>
      <c r="Q27" s="8" t="s">
        <v>1108</v>
      </c>
      <c r="R27" s="36">
        <v>27</v>
      </c>
      <c r="T27" s="31">
        <v>22</v>
      </c>
      <c r="U27" s="8">
        <v>105</v>
      </c>
      <c r="V27" s="9" t="s">
        <v>1161</v>
      </c>
      <c r="W27" s="185">
        <v>63</v>
      </c>
      <c r="X27" s="200">
        <v>22</v>
      </c>
      <c r="Y27" s="8">
        <v>104</v>
      </c>
      <c r="Z27" s="9" t="s">
        <v>1190</v>
      </c>
      <c r="AA27" s="36">
        <v>61</v>
      </c>
      <c r="AC27" s="31">
        <v>22</v>
      </c>
      <c r="AD27" s="8">
        <v>105</v>
      </c>
      <c r="AE27" s="8" t="s">
        <v>1068</v>
      </c>
      <c r="AF27" s="355">
        <v>63</v>
      </c>
      <c r="AG27" s="200">
        <v>22</v>
      </c>
      <c r="AH27" s="8">
        <v>86</v>
      </c>
      <c r="AI27" s="8" t="s">
        <v>1227</v>
      </c>
      <c r="AJ27" s="36">
        <v>18</v>
      </c>
      <c r="AL27" s="31">
        <v>22</v>
      </c>
      <c r="AM27" s="8">
        <v>107</v>
      </c>
      <c r="AN27" s="8" t="s">
        <v>1261</v>
      </c>
      <c r="AO27" s="355">
        <v>68</v>
      </c>
      <c r="AP27" s="200">
        <v>22</v>
      </c>
      <c r="AQ27" s="8">
        <v>86</v>
      </c>
      <c r="AR27" s="8" t="s">
        <v>1154</v>
      </c>
      <c r="AS27" s="36">
        <v>18</v>
      </c>
    </row>
    <row r="28" spans="2:45" x14ac:dyDescent="0.25">
      <c r="F28" s="200">
        <v>23</v>
      </c>
      <c r="G28" s="8">
        <v>107</v>
      </c>
      <c r="H28" s="8" t="s">
        <v>1031</v>
      </c>
      <c r="I28" s="36">
        <v>68</v>
      </c>
      <c r="K28" s="31">
        <v>23</v>
      </c>
      <c r="L28" s="8">
        <v>108</v>
      </c>
      <c r="M28" s="174" t="s">
        <v>1069</v>
      </c>
      <c r="N28" s="185">
        <v>70</v>
      </c>
      <c r="O28" s="200">
        <v>24</v>
      </c>
      <c r="P28" s="8">
        <v>92</v>
      </c>
      <c r="Q28" s="8" t="s">
        <v>1104</v>
      </c>
      <c r="R28" s="36">
        <v>30</v>
      </c>
      <c r="T28" s="31">
        <v>23</v>
      </c>
      <c r="U28" s="8">
        <v>106</v>
      </c>
      <c r="V28" s="9" t="s">
        <v>1162</v>
      </c>
      <c r="W28" s="185">
        <v>70</v>
      </c>
      <c r="X28" s="200">
        <v>23</v>
      </c>
      <c r="Y28" s="8">
        <v>106</v>
      </c>
      <c r="Z28" s="9" t="s">
        <v>1191</v>
      </c>
      <c r="AA28" s="36">
        <v>66</v>
      </c>
      <c r="AC28" s="31">
        <v>23</v>
      </c>
      <c r="AD28" s="8">
        <v>108</v>
      </c>
      <c r="AE28" s="8" t="s">
        <v>1069</v>
      </c>
      <c r="AF28" s="355">
        <v>70</v>
      </c>
      <c r="AG28" s="200">
        <v>23</v>
      </c>
      <c r="AH28" s="8">
        <v>87</v>
      </c>
      <c r="AI28" s="8" t="s">
        <v>1022</v>
      </c>
      <c r="AJ28" s="36">
        <v>19</v>
      </c>
      <c r="AL28" s="31">
        <v>23</v>
      </c>
      <c r="AM28" s="8">
        <v>110</v>
      </c>
      <c r="AN28" s="8" t="s">
        <v>1000</v>
      </c>
      <c r="AO28" s="355">
        <v>75</v>
      </c>
      <c r="AP28" s="200">
        <v>23</v>
      </c>
      <c r="AQ28" s="8">
        <v>87</v>
      </c>
      <c r="AR28" s="8" t="s">
        <v>1281</v>
      </c>
      <c r="AS28" s="36">
        <v>19</v>
      </c>
    </row>
    <row r="29" spans="2:45" x14ac:dyDescent="0.25">
      <c r="F29" s="200">
        <v>24</v>
      </c>
      <c r="G29" s="8">
        <v>109</v>
      </c>
      <c r="H29" s="8" t="s">
        <v>1032</v>
      </c>
      <c r="I29" s="36">
        <v>73</v>
      </c>
      <c r="K29" s="31">
        <v>24</v>
      </c>
      <c r="L29" s="8">
        <v>110</v>
      </c>
      <c r="M29" s="174" t="s">
        <v>1070</v>
      </c>
      <c r="N29" s="185">
        <v>75</v>
      </c>
      <c r="O29" s="200">
        <v>25</v>
      </c>
      <c r="P29" s="8">
        <v>94</v>
      </c>
      <c r="Q29" s="8" t="s">
        <v>1109</v>
      </c>
      <c r="R29" s="36">
        <v>34</v>
      </c>
      <c r="T29" s="31">
        <v>24</v>
      </c>
      <c r="U29" s="8">
        <v>111</v>
      </c>
      <c r="V29" s="9" t="s">
        <v>1163</v>
      </c>
      <c r="W29" s="185">
        <v>77</v>
      </c>
      <c r="X29" s="200">
        <v>24</v>
      </c>
      <c r="Y29" s="8">
        <v>108</v>
      </c>
      <c r="Z29" s="9" t="s">
        <v>1069</v>
      </c>
      <c r="AA29" s="36">
        <v>70</v>
      </c>
      <c r="AC29" s="31">
        <v>24</v>
      </c>
      <c r="AD29" s="8">
        <v>110</v>
      </c>
      <c r="AE29" s="8" t="s">
        <v>1070</v>
      </c>
      <c r="AF29" s="355">
        <v>75</v>
      </c>
      <c r="AG29" s="200">
        <v>24</v>
      </c>
      <c r="AH29" s="8">
        <v>89</v>
      </c>
      <c r="AI29" s="8" t="s">
        <v>1023</v>
      </c>
      <c r="AJ29" s="36">
        <v>23</v>
      </c>
      <c r="AL29" s="31">
        <v>24</v>
      </c>
      <c r="AM29" s="8">
        <v>113</v>
      </c>
      <c r="AN29" s="8" t="s">
        <v>1071</v>
      </c>
      <c r="AO29" s="355">
        <v>81</v>
      </c>
      <c r="AP29" s="200">
        <v>24</v>
      </c>
      <c r="AQ29" s="8">
        <v>89</v>
      </c>
      <c r="AR29" s="8" t="s">
        <v>1155</v>
      </c>
      <c r="AS29" s="36">
        <v>27</v>
      </c>
    </row>
    <row r="30" spans="2:45" x14ac:dyDescent="0.25">
      <c r="F30" s="200">
        <v>25</v>
      </c>
      <c r="G30" s="8">
        <v>111</v>
      </c>
      <c r="H30" s="8" t="s">
        <v>1033</v>
      </c>
      <c r="I30" s="36">
        <v>77</v>
      </c>
      <c r="K30" s="31">
        <v>25</v>
      </c>
      <c r="L30" s="8">
        <v>113</v>
      </c>
      <c r="M30" s="174" t="s">
        <v>1071</v>
      </c>
      <c r="N30" s="185">
        <v>81</v>
      </c>
      <c r="O30" s="200">
        <v>26</v>
      </c>
      <c r="P30" s="8">
        <v>95</v>
      </c>
      <c r="Q30" s="8" t="s">
        <v>1110</v>
      </c>
      <c r="R30" s="36">
        <v>37</v>
      </c>
      <c r="T30" s="31">
        <v>25</v>
      </c>
      <c r="U30" s="8">
        <v>114</v>
      </c>
      <c r="V30" s="9" t="s">
        <v>1164</v>
      </c>
      <c r="W30" s="185">
        <v>82</v>
      </c>
      <c r="X30" s="200">
        <v>25</v>
      </c>
      <c r="Y30" s="8">
        <v>110</v>
      </c>
      <c r="Z30" s="9" t="s">
        <v>1070</v>
      </c>
      <c r="AA30" s="36">
        <v>76</v>
      </c>
      <c r="AC30" s="31">
        <v>25</v>
      </c>
      <c r="AD30" s="8">
        <v>113</v>
      </c>
      <c r="AE30" s="8" t="s">
        <v>1071</v>
      </c>
      <c r="AF30" s="355">
        <v>81</v>
      </c>
      <c r="AG30" s="200">
        <v>25</v>
      </c>
      <c r="AH30" s="8">
        <v>91</v>
      </c>
      <c r="AI30" s="8" t="s">
        <v>1024</v>
      </c>
      <c r="AJ30" s="36">
        <v>27</v>
      </c>
      <c r="AL30" s="31">
        <v>25</v>
      </c>
      <c r="AM30" s="8">
        <v>115</v>
      </c>
      <c r="AN30" s="8" t="s">
        <v>1262</v>
      </c>
      <c r="AO30" s="355">
        <v>86</v>
      </c>
      <c r="AP30" s="200">
        <v>25</v>
      </c>
      <c r="AQ30" s="8">
        <v>91</v>
      </c>
      <c r="AR30" s="8" t="s">
        <v>1282</v>
      </c>
      <c r="AS30" s="36">
        <v>27</v>
      </c>
    </row>
    <row r="31" spans="2:45" x14ac:dyDescent="0.25">
      <c r="F31" s="200">
        <v>26</v>
      </c>
      <c r="G31" s="8">
        <v>113</v>
      </c>
      <c r="H31" s="8" t="s">
        <v>1034</v>
      </c>
      <c r="I31" s="36">
        <v>81</v>
      </c>
      <c r="K31" s="31">
        <v>26</v>
      </c>
      <c r="L31" s="8">
        <v>115</v>
      </c>
      <c r="M31" s="174" t="s">
        <v>1072</v>
      </c>
      <c r="N31" s="185">
        <v>84</v>
      </c>
      <c r="O31" s="200">
        <v>27</v>
      </c>
      <c r="P31" s="8">
        <v>96</v>
      </c>
      <c r="Q31" s="8" t="s">
        <v>1111</v>
      </c>
      <c r="R31" s="36">
        <v>39</v>
      </c>
      <c r="T31" s="31">
        <v>26</v>
      </c>
      <c r="U31" s="8">
        <v>116</v>
      </c>
      <c r="V31" s="9" t="s">
        <v>1165</v>
      </c>
      <c r="W31" s="185">
        <v>86</v>
      </c>
      <c r="X31" s="200">
        <v>26</v>
      </c>
      <c r="Y31" s="8">
        <v>112</v>
      </c>
      <c r="Z31" s="9" t="s">
        <v>1071</v>
      </c>
      <c r="AA31" s="36">
        <v>79</v>
      </c>
      <c r="AC31" s="31">
        <v>26</v>
      </c>
      <c r="AD31" s="8">
        <v>116</v>
      </c>
      <c r="AE31" s="8" t="s">
        <v>1212</v>
      </c>
      <c r="AF31" s="355">
        <v>86</v>
      </c>
      <c r="AG31" s="200">
        <v>26</v>
      </c>
      <c r="AH31" s="8">
        <v>93</v>
      </c>
      <c r="AI31" s="8" t="s">
        <v>1025</v>
      </c>
      <c r="AJ31" s="36">
        <v>32</v>
      </c>
      <c r="AL31" s="31">
        <v>26</v>
      </c>
      <c r="AM31" s="8">
        <v>119</v>
      </c>
      <c r="AN31" s="8" t="s">
        <v>1263</v>
      </c>
      <c r="AO31" s="355">
        <v>91</v>
      </c>
      <c r="AP31" s="200">
        <v>26</v>
      </c>
      <c r="AQ31" s="8">
        <v>93</v>
      </c>
      <c r="AR31" s="8" t="s">
        <v>1156</v>
      </c>
      <c r="AS31" s="36">
        <v>32</v>
      </c>
    </row>
    <row r="32" spans="2:45" x14ac:dyDescent="0.25">
      <c r="F32" s="200">
        <v>27</v>
      </c>
      <c r="G32" s="8">
        <v>116</v>
      </c>
      <c r="H32" s="8" t="s">
        <v>1035</v>
      </c>
      <c r="I32" s="36">
        <v>86</v>
      </c>
      <c r="K32" s="31">
        <v>27</v>
      </c>
      <c r="L32" s="8">
        <v>118</v>
      </c>
      <c r="M32" s="174" t="s">
        <v>1073</v>
      </c>
      <c r="N32" s="185">
        <v>88</v>
      </c>
      <c r="O32" s="200">
        <v>28</v>
      </c>
      <c r="P32" s="8">
        <v>97</v>
      </c>
      <c r="Q32" s="8" t="s">
        <v>1112</v>
      </c>
      <c r="R32" s="36">
        <v>42</v>
      </c>
      <c r="T32" s="31">
        <v>27</v>
      </c>
      <c r="U32" s="8">
        <v>119</v>
      </c>
      <c r="V32" s="9" t="s">
        <v>1166</v>
      </c>
      <c r="W32" s="185">
        <v>90</v>
      </c>
      <c r="X32" s="200">
        <v>27</v>
      </c>
      <c r="Y32" s="8">
        <v>115</v>
      </c>
      <c r="Z32" s="9" t="s">
        <v>1072</v>
      </c>
      <c r="AA32" s="36">
        <v>84</v>
      </c>
      <c r="AC32" s="31">
        <v>27</v>
      </c>
      <c r="AD32" s="8">
        <v>118</v>
      </c>
      <c r="AE32" s="8" t="s">
        <v>1073</v>
      </c>
      <c r="AF32" s="355">
        <v>88</v>
      </c>
      <c r="AG32" s="200">
        <v>27</v>
      </c>
      <c r="AH32" s="8">
        <v>95</v>
      </c>
      <c r="AI32" s="8" t="s">
        <v>1228</v>
      </c>
      <c r="AJ32" s="36">
        <v>37</v>
      </c>
      <c r="AL32" s="31">
        <v>27</v>
      </c>
      <c r="AM32" s="8">
        <v>123</v>
      </c>
      <c r="AN32" s="8" t="s">
        <v>1264</v>
      </c>
      <c r="AO32" s="355">
        <v>94</v>
      </c>
      <c r="AP32" s="200">
        <v>27</v>
      </c>
      <c r="AQ32" s="8">
        <v>95</v>
      </c>
      <c r="AR32" s="8" t="s">
        <v>1157</v>
      </c>
      <c r="AS32" s="36">
        <v>37</v>
      </c>
    </row>
    <row r="33" spans="6:45" x14ac:dyDescent="0.25">
      <c r="F33" s="200">
        <v>28</v>
      </c>
      <c r="G33" s="8">
        <v>118</v>
      </c>
      <c r="H33" s="8" t="s">
        <v>1036</v>
      </c>
      <c r="I33" s="36">
        <v>88</v>
      </c>
      <c r="K33" s="31">
        <v>28</v>
      </c>
      <c r="L33" s="8">
        <v>120</v>
      </c>
      <c r="M33" s="174" t="s">
        <v>1074</v>
      </c>
      <c r="N33" s="185">
        <v>91</v>
      </c>
      <c r="O33" s="200">
        <v>29</v>
      </c>
      <c r="P33" s="8">
        <v>99</v>
      </c>
      <c r="Q33" s="8" t="s">
        <v>1113</v>
      </c>
      <c r="R33" s="36">
        <v>47</v>
      </c>
      <c r="T33" s="31">
        <v>28</v>
      </c>
      <c r="U33" s="8">
        <v>122</v>
      </c>
      <c r="V33" s="9" t="s">
        <v>1167</v>
      </c>
      <c r="W33" s="185">
        <v>93</v>
      </c>
      <c r="X33" s="200">
        <v>28</v>
      </c>
      <c r="Y33" s="8">
        <v>117</v>
      </c>
      <c r="Z33" s="9" t="s">
        <v>1192</v>
      </c>
      <c r="AA33" s="36">
        <v>87</v>
      </c>
      <c r="AC33" s="31">
        <v>28</v>
      </c>
      <c r="AD33" s="8">
        <v>121</v>
      </c>
      <c r="AE33" s="8" t="s">
        <v>1194</v>
      </c>
      <c r="AF33" s="355">
        <v>92</v>
      </c>
      <c r="AG33" s="200">
        <v>28</v>
      </c>
      <c r="AH33" s="8">
        <v>96</v>
      </c>
      <c r="AI33" s="8" t="s">
        <v>1026</v>
      </c>
      <c r="AJ33" s="36">
        <v>39</v>
      </c>
      <c r="AL33" s="31">
        <v>28</v>
      </c>
      <c r="AM33" s="8">
        <v>126</v>
      </c>
      <c r="AN33" s="8" t="s">
        <v>1265</v>
      </c>
      <c r="AO33" s="355">
        <v>97</v>
      </c>
      <c r="AP33" s="200">
        <v>28</v>
      </c>
      <c r="AQ33" s="8">
        <v>98</v>
      </c>
      <c r="AR33" s="8" t="s">
        <v>1283</v>
      </c>
      <c r="AS33" s="36">
        <v>39</v>
      </c>
    </row>
    <row r="34" spans="6:45" x14ac:dyDescent="0.25">
      <c r="F34" s="200">
        <v>29</v>
      </c>
      <c r="G34" s="8">
        <v>120</v>
      </c>
      <c r="H34" s="8" t="s">
        <v>1037</v>
      </c>
      <c r="I34" s="36">
        <v>91</v>
      </c>
      <c r="K34" s="31">
        <v>29</v>
      </c>
      <c r="L34" s="8">
        <v>123</v>
      </c>
      <c r="M34" s="174" t="s">
        <v>1075</v>
      </c>
      <c r="N34" s="185">
        <v>94</v>
      </c>
      <c r="O34" s="200">
        <v>30</v>
      </c>
      <c r="P34" s="8">
        <v>100</v>
      </c>
      <c r="Q34" s="8" t="s">
        <v>1114</v>
      </c>
      <c r="R34" s="36">
        <v>50</v>
      </c>
      <c r="T34" s="31">
        <v>29</v>
      </c>
      <c r="U34" s="8">
        <v>124</v>
      </c>
      <c r="V34" s="9" t="s">
        <v>1168</v>
      </c>
      <c r="W34" s="185">
        <v>95</v>
      </c>
      <c r="X34" s="200">
        <v>29</v>
      </c>
      <c r="Y34" s="8">
        <v>119</v>
      </c>
      <c r="Z34" s="9" t="s">
        <v>1193</v>
      </c>
      <c r="AA34" s="36">
        <v>90</v>
      </c>
      <c r="AC34" s="31">
        <v>29</v>
      </c>
      <c r="AD34" s="8">
        <v>123</v>
      </c>
      <c r="AE34" s="8" t="s">
        <v>1075</v>
      </c>
      <c r="AF34" s="355">
        <v>94</v>
      </c>
      <c r="AG34" s="200">
        <v>29</v>
      </c>
      <c r="AH34" s="8">
        <v>98</v>
      </c>
      <c r="AI34" s="8" t="s">
        <v>1229</v>
      </c>
      <c r="AJ34" s="36">
        <v>45</v>
      </c>
      <c r="AL34" s="31">
        <v>29</v>
      </c>
      <c r="AM34" s="8">
        <v>129</v>
      </c>
      <c r="AN34" s="8" t="s">
        <v>1004</v>
      </c>
      <c r="AO34" s="355">
        <v>97</v>
      </c>
      <c r="AP34" s="200">
        <v>29</v>
      </c>
      <c r="AQ34" s="8">
        <v>98</v>
      </c>
      <c r="AR34" s="8" t="s">
        <v>1284</v>
      </c>
      <c r="AS34" s="36">
        <v>45</v>
      </c>
    </row>
    <row r="35" spans="6:45" x14ac:dyDescent="0.25">
      <c r="F35" s="200">
        <v>30</v>
      </c>
      <c r="G35" s="8">
        <v>122</v>
      </c>
      <c r="H35" s="8" t="s">
        <v>1038</v>
      </c>
      <c r="I35" s="36">
        <v>93</v>
      </c>
      <c r="K35" s="31">
        <v>30</v>
      </c>
      <c r="L35" s="8">
        <v>125</v>
      </c>
      <c r="M35" s="174" t="s">
        <v>1076</v>
      </c>
      <c r="N35" s="185">
        <v>95</v>
      </c>
      <c r="O35" s="200">
        <v>31</v>
      </c>
      <c r="P35" s="8">
        <v>101</v>
      </c>
      <c r="Q35" s="8" t="s">
        <v>1115</v>
      </c>
      <c r="R35" s="36">
        <v>53</v>
      </c>
      <c r="T35" s="31">
        <v>30</v>
      </c>
      <c r="U35" s="8">
        <v>127</v>
      </c>
      <c r="V35" s="9" t="s">
        <v>1169</v>
      </c>
      <c r="W35" s="185">
        <v>96</v>
      </c>
      <c r="X35" s="200">
        <v>30</v>
      </c>
      <c r="Y35" s="8">
        <v>121</v>
      </c>
      <c r="Z35" s="9" t="s">
        <v>1194</v>
      </c>
      <c r="AA35" s="36">
        <v>92</v>
      </c>
      <c r="AC35" s="31">
        <v>30</v>
      </c>
      <c r="AD35" s="8">
        <v>126</v>
      </c>
      <c r="AE35" s="8" t="s">
        <v>1213</v>
      </c>
      <c r="AF35" s="355">
        <v>96</v>
      </c>
      <c r="AG35" s="200">
        <v>30</v>
      </c>
      <c r="AH35" s="8">
        <v>100</v>
      </c>
      <c r="AI35" s="8" t="s">
        <v>1028</v>
      </c>
      <c r="AJ35" s="36">
        <v>50</v>
      </c>
      <c r="AL35" s="31">
        <v>30</v>
      </c>
      <c r="AM35" s="8">
        <v>133</v>
      </c>
      <c r="AN35" s="8" t="s">
        <v>1266</v>
      </c>
      <c r="AO35" s="355">
        <v>99</v>
      </c>
      <c r="AP35" s="200">
        <v>30</v>
      </c>
      <c r="AQ35" s="8">
        <v>100</v>
      </c>
      <c r="AR35" s="8" t="s">
        <v>1159</v>
      </c>
      <c r="AS35" s="36">
        <v>50</v>
      </c>
    </row>
    <row r="36" spans="6:45" x14ac:dyDescent="0.25">
      <c r="F36" s="200">
        <v>31</v>
      </c>
      <c r="G36" s="8">
        <v>124</v>
      </c>
      <c r="H36" s="8" t="s">
        <v>1039</v>
      </c>
      <c r="I36" s="36">
        <v>95</v>
      </c>
      <c r="K36" s="31">
        <v>31</v>
      </c>
      <c r="L36" s="8">
        <v>128</v>
      </c>
      <c r="M36" s="174" t="s">
        <v>1077</v>
      </c>
      <c r="N36" s="185">
        <v>97</v>
      </c>
      <c r="O36" s="200">
        <v>32</v>
      </c>
      <c r="P36" s="8">
        <v>103</v>
      </c>
      <c r="Q36" s="8" t="s">
        <v>1116</v>
      </c>
      <c r="R36" s="36">
        <v>58</v>
      </c>
      <c r="T36" s="31">
        <v>31</v>
      </c>
      <c r="U36" s="8">
        <v>130</v>
      </c>
      <c r="V36" s="9" t="s">
        <v>1170</v>
      </c>
      <c r="W36" s="185">
        <v>98</v>
      </c>
      <c r="X36" s="200">
        <v>31</v>
      </c>
      <c r="Y36" s="8">
        <v>124</v>
      </c>
      <c r="Z36" s="9" t="s">
        <v>1195</v>
      </c>
      <c r="AA36" s="36">
        <v>95</v>
      </c>
      <c r="AC36" s="31">
        <v>31</v>
      </c>
      <c r="AD36" s="8">
        <v>129</v>
      </c>
      <c r="AE36" s="8" t="s">
        <v>1214</v>
      </c>
      <c r="AF36" s="355">
        <v>97</v>
      </c>
      <c r="AG36" s="200">
        <v>31</v>
      </c>
      <c r="AH36" s="8">
        <v>102</v>
      </c>
      <c r="AI36" s="8" t="s">
        <v>1029</v>
      </c>
      <c r="AJ36" s="36">
        <v>55</v>
      </c>
      <c r="AL36" s="31">
        <v>31</v>
      </c>
      <c r="AM36" s="8">
        <v>136</v>
      </c>
      <c r="AN36" s="8" t="s">
        <v>1267</v>
      </c>
      <c r="AO36" s="355">
        <v>99</v>
      </c>
      <c r="AP36" s="200">
        <v>31</v>
      </c>
      <c r="AQ36" s="8">
        <v>102</v>
      </c>
      <c r="AR36" s="8" t="s">
        <v>1285</v>
      </c>
      <c r="AS36" s="36">
        <v>55</v>
      </c>
    </row>
    <row r="37" spans="6:45" x14ac:dyDescent="0.25">
      <c r="F37" s="200">
        <v>32</v>
      </c>
      <c r="G37" s="8">
        <v>127</v>
      </c>
      <c r="H37" s="8" t="s">
        <v>1040</v>
      </c>
      <c r="I37" s="36">
        <v>96</v>
      </c>
      <c r="K37" s="31">
        <v>32</v>
      </c>
      <c r="L37" s="8">
        <v>130</v>
      </c>
      <c r="M37" s="174" t="s">
        <v>1078</v>
      </c>
      <c r="N37" s="185">
        <v>98</v>
      </c>
      <c r="O37" s="200">
        <v>33</v>
      </c>
      <c r="P37" s="8">
        <v>104</v>
      </c>
      <c r="Q37" s="8" t="s">
        <v>1091</v>
      </c>
      <c r="R37" s="36">
        <v>61</v>
      </c>
      <c r="T37" s="31">
        <v>32</v>
      </c>
      <c r="U37" s="8">
        <v>133</v>
      </c>
      <c r="V37" s="9" t="s">
        <v>1171</v>
      </c>
      <c r="W37" s="185">
        <v>99</v>
      </c>
      <c r="X37" s="200">
        <v>32</v>
      </c>
      <c r="Y37" s="8">
        <v>127</v>
      </c>
      <c r="Z37" s="9" t="s">
        <v>1196</v>
      </c>
      <c r="AA37" s="36">
        <v>96</v>
      </c>
      <c r="AC37" s="31">
        <v>32</v>
      </c>
      <c r="AD37" s="8">
        <v>131</v>
      </c>
      <c r="AE37" s="8" t="s">
        <v>1078</v>
      </c>
      <c r="AF37" s="355">
        <v>98</v>
      </c>
      <c r="AG37" s="200">
        <v>32</v>
      </c>
      <c r="AH37" s="8">
        <v>104</v>
      </c>
      <c r="AI37" s="8" t="s">
        <v>1030</v>
      </c>
      <c r="AJ37" s="36">
        <v>61</v>
      </c>
      <c r="AL37" s="31">
        <v>32</v>
      </c>
      <c r="AM37" s="8">
        <v>139</v>
      </c>
      <c r="AN37" s="8" t="s">
        <v>1006</v>
      </c>
      <c r="AO37" s="355">
        <v>99.5</v>
      </c>
      <c r="AP37" s="200">
        <v>32</v>
      </c>
      <c r="AQ37" s="8">
        <v>104</v>
      </c>
      <c r="AR37" s="8" t="s">
        <v>1286</v>
      </c>
      <c r="AS37" s="36">
        <v>61</v>
      </c>
    </row>
    <row r="38" spans="6:45" x14ac:dyDescent="0.25">
      <c r="F38" s="200">
        <v>33</v>
      </c>
      <c r="G38" s="8">
        <v>130</v>
      </c>
      <c r="H38" s="8" t="s">
        <v>1041</v>
      </c>
      <c r="I38" s="36">
        <v>98</v>
      </c>
      <c r="K38" s="31">
        <v>33</v>
      </c>
      <c r="L38" s="8">
        <v>133</v>
      </c>
      <c r="M38" s="174" t="s">
        <v>1079</v>
      </c>
      <c r="N38" s="185">
        <v>99</v>
      </c>
      <c r="O38" s="200">
        <v>34</v>
      </c>
      <c r="P38" s="8">
        <v>105</v>
      </c>
      <c r="Q38" s="8" t="s">
        <v>1117</v>
      </c>
      <c r="R38" s="36">
        <v>63</v>
      </c>
      <c r="T38" s="31">
        <v>33</v>
      </c>
      <c r="U38" s="8">
        <v>135</v>
      </c>
      <c r="V38" s="9" t="s">
        <v>1172</v>
      </c>
      <c r="W38" s="185">
        <v>99</v>
      </c>
      <c r="X38" s="200">
        <v>33</v>
      </c>
      <c r="Y38" s="8">
        <v>130</v>
      </c>
      <c r="Z38" s="9" t="s">
        <v>1197</v>
      </c>
      <c r="AA38" s="36">
        <v>98</v>
      </c>
      <c r="AC38" s="31">
        <v>33</v>
      </c>
      <c r="AD38" s="8">
        <v>134</v>
      </c>
      <c r="AE38" s="8" t="s">
        <v>1198</v>
      </c>
      <c r="AF38" s="355">
        <v>99</v>
      </c>
      <c r="AG38" s="200">
        <v>33</v>
      </c>
      <c r="AH38" s="8">
        <v>105</v>
      </c>
      <c r="AI38" s="8" t="s">
        <v>1230</v>
      </c>
      <c r="AJ38" s="36">
        <v>63</v>
      </c>
      <c r="AL38" s="31">
        <v>33</v>
      </c>
      <c r="AM38" s="8">
        <v>141</v>
      </c>
      <c r="AN38" s="8" t="s">
        <v>1268</v>
      </c>
      <c r="AO38" s="355">
        <v>99.7</v>
      </c>
      <c r="AP38" s="200">
        <v>33</v>
      </c>
      <c r="AQ38" s="8">
        <v>105</v>
      </c>
      <c r="AR38" s="8" t="s">
        <v>1161</v>
      </c>
      <c r="AS38" s="36">
        <v>63</v>
      </c>
    </row>
    <row r="39" spans="6:45" x14ac:dyDescent="0.25">
      <c r="F39" s="200">
        <v>34</v>
      </c>
      <c r="G39" s="8">
        <v>133</v>
      </c>
      <c r="H39" s="8" t="s">
        <v>1042</v>
      </c>
      <c r="I39" s="36">
        <v>99</v>
      </c>
      <c r="K39" s="31">
        <v>34</v>
      </c>
      <c r="L39" s="8">
        <v>135</v>
      </c>
      <c r="M39" s="174" t="s">
        <v>1080</v>
      </c>
      <c r="N39" s="185">
        <v>99</v>
      </c>
      <c r="O39" s="200">
        <v>35</v>
      </c>
      <c r="P39" s="8">
        <v>106</v>
      </c>
      <c r="Q39" s="8" t="s">
        <v>1118</v>
      </c>
      <c r="R39" s="36">
        <v>66</v>
      </c>
      <c r="T39" s="31">
        <v>34</v>
      </c>
      <c r="U39" s="8">
        <v>138</v>
      </c>
      <c r="V39" s="9" t="s">
        <v>1173</v>
      </c>
      <c r="W39" s="185">
        <v>99</v>
      </c>
      <c r="X39" s="200">
        <v>34</v>
      </c>
      <c r="Y39" s="8">
        <v>133</v>
      </c>
      <c r="Z39" s="9" t="s">
        <v>1198</v>
      </c>
      <c r="AA39" s="36">
        <v>99</v>
      </c>
      <c r="AC39" s="31">
        <v>34</v>
      </c>
      <c r="AD39" s="8">
        <v>136</v>
      </c>
      <c r="AE39" s="8" t="s">
        <v>1215</v>
      </c>
      <c r="AF39" s="355">
        <v>99</v>
      </c>
      <c r="AG39" s="200">
        <v>34</v>
      </c>
      <c r="AH39" s="8">
        <v>107</v>
      </c>
      <c r="AI39" s="8" t="s">
        <v>1031</v>
      </c>
      <c r="AJ39" s="36">
        <v>68</v>
      </c>
      <c r="AL39" s="31">
        <v>34</v>
      </c>
      <c r="AM39" s="8">
        <v>142</v>
      </c>
      <c r="AN39" s="8" t="s">
        <v>1270</v>
      </c>
      <c r="AO39" s="355">
        <v>99.8</v>
      </c>
      <c r="AP39" s="200">
        <v>34</v>
      </c>
      <c r="AQ39" s="8">
        <v>107</v>
      </c>
      <c r="AR39" s="8" t="s">
        <v>1162</v>
      </c>
      <c r="AS39" s="36">
        <v>68</v>
      </c>
    </row>
    <row r="40" spans="6:45" x14ac:dyDescent="0.25">
      <c r="F40" s="200">
        <v>35</v>
      </c>
      <c r="G40" s="8">
        <v>136</v>
      </c>
      <c r="H40" s="8" t="s">
        <v>1043</v>
      </c>
      <c r="I40" s="36">
        <v>99</v>
      </c>
      <c r="K40" s="31">
        <v>35</v>
      </c>
      <c r="L40" s="8">
        <v>138</v>
      </c>
      <c r="M40" s="174" t="s">
        <v>1081</v>
      </c>
      <c r="N40" s="185">
        <v>99</v>
      </c>
      <c r="O40" s="200">
        <v>36</v>
      </c>
      <c r="P40" s="8">
        <v>108</v>
      </c>
      <c r="Q40" s="8" t="s">
        <v>1119</v>
      </c>
      <c r="R40" s="36">
        <v>70</v>
      </c>
      <c r="T40" s="31">
        <v>35</v>
      </c>
      <c r="U40" s="8">
        <v>141</v>
      </c>
      <c r="V40" s="9" t="s">
        <v>1174</v>
      </c>
      <c r="W40" s="185">
        <v>99.7</v>
      </c>
      <c r="X40" s="200">
        <v>35</v>
      </c>
      <c r="Y40" s="8">
        <v>136</v>
      </c>
      <c r="Z40" s="9" t="s">
        <v>1199</v>
      </c>
      <c r="AA40" s="36">
        <v>99</v>
      </c>
      <c r="AC40" s="31">
        <v>35</v>
      </c>
      <c r="AD40" s="8">
        <v>139</v>
      </c>
      <c r="AE40" s="8" t="s">
        <v>1200</v>
      </c>
      <c r="AF40" s="355">
        <v>99.5</v>
      </c>
      <c r="AG40" s="200">
        <v>35</v>
      </c>
      <c r="AH40" s="8">
        <v>109</v>
      </c>
      <c r="AI40" s="8" t="s">
        <v>1032</v>
      </c>
      <c r="AJ40" s="36">
        <v>73</v>
      </c>
      <c r="AL40" s="31">
        <v>35</v>
      </c>
      <c r="AM40" s="8">
        <v>143</v>
      </c>
      <c r="AN40" s="8" t="s">
        <v>1269</v>
      </c>
      <c r="AO40" s="355">
        <v>99.8</v>
      </c>
      <c r="AP40" s="200">
        <v>35</v>
      </c>
      <c r="AQ40" s="8">
        <v>109</v>
      </c>
      <c r="AR40" s="8" t="s">
        <v>1287</v>
      </c>
      <c r="AS40" s="36">
        <v>73</v>
      </c>
    </row>
    <row r="41" spans="6:45" x14ac:dyDescent="0.25">
      <c r="F41" s="200">
        <v>36</v>
      </c>
      <c r="G41" s="8">
        <v>139</v>
      </c>
      <c r="H41" s="8" t="s">
        <v>1044</v>
      </c>
      <c r="I41" s="36">
        <v>99.5</v>
      </c>
      <c r="K41" s="31">
        <v>36</v>
      </c>
      <c r="L41" s="8">
        <v>140</v>
      </c>
      <c r="M41" s="174" t="s">
        <v>1082</v>
      </c>
      <c r="N41" s="185">
        <v>99.6</v>
      </c>
      <c r="O41" s="200">
        <v>37</v>
      </c>
      <c r="P41" s="8">
        <v>109</v>
      </c>
      <c r="Q41" s="8" t="s">
        <v>1120</v>
      </c>
      <c r="R41" s="36">
        <v>73</v>
      </c>
      <c r="T41" s="31">
        <v>36</v>
      </c>
      <c r="U41" s="8">
        <v>143</v>
      </c>
      <c r="V41" s="9" t="s">
        <v>1175</v>
      </c>
      <c r="W41" s="185">
        <v>99.8</v>
      </c>
      <c r="X41" s="200">
        <v>36</v>
      </c>
      <c r="Y41" s="8">
        <v>139</v>
      </c>
      <c r="Z41" s="9" t="s">
        <v>1200</v>
      </c>
      <c r="AA41" s="36">
        <v>99.5</v>
      </c>
      <c r="AC41" s="31">
        <v>36</v>
      </c>
      <c r="AD41" s="8">
        <v>141</v>
      </c>
      <c r="AE41" s="8" t="s">
        <v>1216</v>
      </c>
      <c r="AF41" s="355">
        <v>99.7</v>
      </c>
      <c r="AG41" s="200">
        <v>36</v>
      </c>
      <c r="AH41" s="8">
        <v>111</v>
      </c>
      <c r="AI41" s="8" t="s">
        <v>1033</v>
      </c>
      <c r="AJ41" s="36">
        <v>77</v>
      </c>
      <c r="AL41" s="31">
        <v>36</v>
      </c>
      <c r="AM41" s="8">
        <v>144</v>
      </c>
      <c r="AN41" s="8" t="s">
        <v>1007</v>
      </c>
      <c r="AO41" s="355">
        <v>99.8</v>
      </c>
      <c r="AP41" s="200">
        <v>36</v>
      </c>
      <c r="AQ41" s="8">
        <v>111</v>
      </c>
      <c r="AR41" s="8" t="s">
        <v>1163</v>
      </c>
      <c r="AS41" s="36">
        <v>77</v>
      </c>
    </row>
    <row r="42" spans="6:45" x14ac:dyDescent="0.25">
      <c r="F42" s="200">
        <v>37</v>
      </c>
      <c r="G42" s="8">
        <v>142</v>
      </c>
      <c r="H42" s="8" t="s">
        <v>1045</v>
      </c>
      <c r="I42" s="36">
        <v>99.7</v>
      </c>
      <c r="K42" s="31">
        <v>37</v>
      </c>
      <c r="L42" s="8">
        <v>143</v>
      </c>
      <c r="M42" s="174" t="s">
        <v>1083</v>
      </c>
      <c r="N42" s="185">
        <v>99.8</v>
      </c>
      <c r="O42" s="200">
        <v>38</v>
      </c>
      <c r="P42" s="8">
        <v>110</v>
      </c>
      <c r="Q42" s="8" t="s">
        <v>1121</v>
      </c>
      <c r="R42" s="36">
        <v>75</v>
      </c>
      <c r="T42" s="31">
        <v>37</v>
      </c>
      <c r="U42" s="8">
        <v>144</v>
      </c>
      <c r="V42" s="9" t="s">
        <v>1176</v>
      </c>
      <c r="W42" s="185">
        <v>99.8</v>
      </c>
      <c r="X42" s="200">
        <v>37</v>
      </c>
      <c r="Y42" s="8">
        <v>142</v>
      </c>
      <c r="Z42" s="9" t="s">
        <v>1201</v>
      </c>
      <c r="AA42" s="36">
        <v>99.7</v>
      </c>
      <c r="AC42" s="31">
        <v>37</v>
      </c>
      <c r="AD42" s="8">
        <v>143</v>
      </c>
      <c r="AE42" s="8" t="s">
        <v>1083</v>
      </c>
      <c r="AF42" s="355">
        <v>99.8</v>
      </c>
      <c r="AG42" s="200">
        <v>37</v>
      </c>
      <c r="AH42" s="8">
        <v>113</v>
      </c>
      <c r="AI42" s="8" t="s">
        <v>1034</v>
      </c>
      <c r="AJ42" s="36">
        <v>81</v>
      </c>
      <c r="AL42" s="31">
        <v>37</v>
      </c>
      <c r="AM42" s="8">
        <v>145</v>
      </c>
      <c r="AN42" s="8" t="s">
        <v>1271</v>
      </c>
      <c r="AO42" s="355">
        <v>99.9</v>
      </c>
      <c r="AP42" s="200">
        <v>37</v>
      </c>
      <c r="AQ42" s="8">
        <v>113</v>
      </c>
      <c r="AR42" s="8" t="s">
        <v>1288</v>
      </c>
      <c r="AS42" s="36">
        <v>81</v>
      </c>
    </row>
    <row r="43" spans="6:45" ht="15.75" thickBot="1" x14ac:dyDescent="0.3">
      <c r="F43" s="201">
        <v>38</v>
      </c>
      <c r="G43" s="17">
        <v>145</v>
      </c>
      <c r="H43" s="17" t="s">
        <v>1046</v>
      </c>
      <c r="I43" s="128">
        <v>99.9</v>
      </c>
      <c r="K43" s="33">
        <v>38</v>
      </c>
      <c r="L43" s="17">
        <v>145</v>
      </c>
      <c r="M43" s="176" t="s">
        <v>1084</v>
      </c>
      <c r="N43" s="213">
        <v>99.9</v>
      </c>
      <c r="O43" s="215">
        <v>39</v>
      </c>
      <c r="P43" s="210">
        <v>112</v>
      </c>
      <c r="Q43" s="210" t="s">
        <v>1122</v>
      </c>
      <c r="R43" s="211">
        <v>79</v>
      </c>
      <c r="T43" s="33">
        <v>38</v>
      </c>
      <c r="U43" s="17">
        <v>145</v>
      </c>
      <c r="V43" s="18" t="s">
        <v>1177</v>
      </c>
      <c r="W43" s="213">
        <v>99.9</v>
      </c>
      <c r="X43" s="201">
        <v>38</v>
      </c>
      <c r="Y43" s="17">
        <v>145</v>
      </c>
      <c r="Z43" s="18" t="s">
        <v>1046</v>
      </c>
      <c r="AA43" s="128">
        <v>99.9</v>
      </c>
      <c r="AC43" s="33">
        <v>38</v>
      </c>
      <c r="AD43" s="17">
        <v>145</v>
      </c>
      <c r="AE43" s="17" t="s">
        <v>1084</v>
      </c>
      <c r="AF43" s="356">
        <v>99.9</v>
      </c>
      <c r="AG43" s="200">
        <v>38</v>
      </c>
      <c r="AH43" s="8">
        <v>114</v>
      </c>
      <c r="AI43" s="8" t="s">
        <v>1231</v>
      </c>
      <c r="AJ43" s="36">
        <v>82</v>
      </c>
      <c r="AL43" s="33">
        <v>38</v>
      </c>
      <c r="AM43" s="17">
        <v>145</v>
      </c>
      <c r="AN43" s="17" t="s">
        <v>1271</v>
      </c>
      <c r="AO43" s="356">
        <v>99.9</v>
      </c>
      <c r="AP43" s="200">
        <v>38</v>
      </c>
      <c r="AQ43" s="8">
        <v>114</v>
      </c>
      <c r="AR43" s="8" t="s">
        <v>1164</v>
      </c>
      <c r="AS43" s="36">
        <v>82</v>
      </c>
    </row>
    <row r="44" spans="6:45" x14ac:dyDescent="0.25">
      <c r="K44" s="2"/>
      <c r="L44" s="2"/>
      <c r="M44" s="2"/>
      <c r="N44" s="2"/>
      <c r="O44" s="200">
        <v>40</v>
      </c>
      <c r="P44" s="8">
        <v>113</v>
      </c>
      <c r="Q44" s="8" t="s">
        <v>1123</v>
      </c>
      <c r="R44" s="36">
        <v>81</v>
      </c>
      <c r="AG44" s="352">
        <v>39</v>
      </c>
      <c r="AH44" s="8">
        <v>116</v>
      </c>
      <c r="AI44" s="8" t="s">
        <v>1035</v>
      </c>
      <c r="AJ44" s="36">
        <v>88</v>
      </c>
      <c r="AP44" s="352">
        <v>39</v>
      </c>
      <c r="AQ44" s="8">
        <v>116</v>
      </c>
      <c r="AR44" s="8" t="s">
        <v>1165</v>
      </c>
      <c r="AS44" s="36">
        <v>86</v>
      </c>
    </row>
    <row r="45" spans="6:45" x14ac:dyDescent="0.25">
      <c r="K45" s="2"/>
      <c r="L45" s="2"/>
      <c r="M45" s="2"/>
      <c r="N45" s="2"/>
      <c r="O45" s="200">
        <v>41</v>
      </c>
      <c r="P45" s="8">
        <v>114</v>
      </c>
      <c r="Q45" s="8" t="s">
        <v>1124</v>
      </c>
      <c r="R45" s="36">
        <v>82</v>
      </c>
      <c r="AG45" s="352">
        <v>40</v>
      </c>
      <c r="AH45" s="8">
        <v>118</v>
      </c>
      <c r="AI45" s="8" t="s">
        <v>1036</v>
      </c>
      <c r="AJ45" s="36">
        <v>88</v>
      </c>
      <c r="AP45" s="352">
        <v>40</v>
      </c>
      <c r="AQ45" s="8">
        <v>119</v>
      </c>
      <c r="AR45" s="8" t="s">
        <v>1289</v>
      </c>
      <c r="AS45" s="36">
        <v>88</v>
      </c>
    </row>
    <row r="46" spans="6:45" x14ac:dyDescent="0.25">
      <c r="O46" s="200">
        <v>42</v>
      </c>
      <c r="P46" s="8">
        <v>115</v>
      </c>
      <c r="Q46" s="8" t="s">
        <v>1125</v>
      </c>
      <c r="R46" s="36">
        <v>84</v>
      </c>
      <c r="AG46" s="352">
        <v>41</v>
      </c>
      <c r="AH46" s="8">
        <v>120</v>
      </c>
      <c r="AI46" s="8" t="s">
        <v>1037</v>
      </c>
      <c r="AJ46" s="36">
        <v>91</v>
      </c>
      <c r="AP46" s="352">
        <v>41</v>
      </c>
      <c r="AQ46" s="8">
        <v>120</v>
      </c>
      <c r="AR46" s="8" t="s">
        <v>1290</v>
      </c>
      <c r="AS46" s="36">
        <v>91</v>
      </c>
    </row>
    <row r="47" spans="6:45" x14ac:dyDescent="0.25">
      <c r="O47" s="200">
        <v>43</v>
      </c>
      <c r="P47" s="8">
        <v>117</v>
      </c>
      <c r="Q47" s="8" t="s">
        <v>1126</v>
      </c>
      <c r="R47" s="36">
        <v>87</v>
      </c>
      <c r="AG47" s="352">
        <v>42</v>
      </c>
      <c r="AH47" s="8">
        <v>121</v>
      </c>
      <c r="AI47" s="8" t="s">
        <v>1232</v>
      </c>
      <c r="AJ47" s="36">
        <v>92</v>
      </c>
      <c r="AP47" s="352">
        <v>42</v>
      </c>
      <c r="AQ47" s="8">
        <v>122</v>
      </c>
      <c r="AR47" s="8" t="s">
        <v>1291</v>
      </c>
      <c r="AS47" s="36">
        <v>93</v>
      </c>
    </row>
    <row r="48" spans="6:45" x14ac:dyDescent="0.25">
      <c r="O48" s="200">
        <v>44</v>
      </c>
      <c r="P48" s="8">
        <v>118</v>
      </c>
      <c r="Q48" s="8" t="s">
        <v>1127</v>
      </c>
      <c r="R48" s="36">
        <v>88</v>
      </c>
      <c r="AG48" s="352">
        <v>43</v>
      </c>
      <c r="AH48" s="8">
        <v>123</v>
      </c>
      <c r="AI48" s="8" t="s">
        <v>1233</v>
      </c>
      <c r="AJ48" s="36">
        <v>94</v>
      </c>
      <c r="AP48" s="352">
        <v>43</v>
      </c>
      <c r="AQ48" s="8">
        <v>123</v>
      </c>
      <c r="AR48" s="8" t="s">
        <v>1168</v>
      </c>
      <c r="AS48" s="36">
        <v>94</v>
      </c>
    </row>
    <row r="49" spans="15:45" x14ac:dyDescent="0.25">
      <c r="O49" s="200">
        <v>45</v>
      </c>
      <c r="P49" s="8">
        <v>119</v>
      </c>
      <c r="Q49" s="8" t="s">
        <v>1128</v>
      </c>
      <c r="R49" s="36">
        <v>90</v>
      </c>
      <c r="AG49" s="352">
        <v>44</v>
      </c>
      <c r="AH49" s="8">
        <v>125</v>
      </c>
      <c r="AI49" s="8" t="s">
        <v>1234</v>
      </c>
      <c r="AJ49" s="36">
        <v>95</v>
      </c>
      <c r="AP49" s="352">
        <v>44</v>
      </c>
      <c r="AQ49" s="8">
        <v>125</v>
      </c>
      <c r="AR49" s="8" t="s">
        <v>1292</v>
      </c>
      <c r="AS49" s="36">
        <v>95</v>
      </c>
    </row>
    <row r="50" spans="15:45" x14ac:dyDescent="0.25">
      <c r="O50" s="200">
        <v>46</v>
      </c>
      <c r="P50" s="8">
        <v>121</v>
      </c>
      <c r="Q50" s="8" t="s">
        <v>1129</v>
      </c>
      <c r="R50" s="36">
        <v>92</v>
      </c>
      <c r="AG50" s="352">
        <v>45</v>
      </c>
      <c r="AH50" s="8">
        <v>127</v>
      </c>
      <c r="AI50" s="8" t="s">
        <v>1040</v>
      </c>
      <c r="AJ50" s="36">
        <v>96</v>
      </c>
      <c r="AP50" s="352">
        <v>45</v>
      </c>
      <c r="AQ50" s="8">
        <v>127</v>
      </c>
      <c r="AR50" s="8" t="s">
        <v>1169</v>
      </c>
      <c r="AS50" s="36">
        <v>96</v>
      </c>
    </row>
    <row r="51" spans="15:45" x14ac:dyDescent="0.25">
      <c r="O51" s="200">
        <v>47</v>
      </c>
      <c r="P51" s="8">
        <v>122</v>
      </c>
      <c r="Q51" s="8" t="s">
        <v>1130</v>
      </c>
      <c r="R51" s="36">
        <v>93</v>
      </c>
      <c r="AG51" s="352">
        <v>46</v>
      </c>
      <c r="AH51" s="8">
        <v>129</v>
      </c>
      <c r="AI51" s="8" t="s">
        <v>1235</v>
      </c>
      <c r="AJ51" s="36">
        <v>97</v>
      </c>
      <c r="AP51" s="352">
        <v>46</v>
      </c>
      <c r="AQ51" s="8">
        <v>129</v>
      </c>
      <c r="AR51" s="8" t="s">
        <v>1170</v>
      </c>
      <c r="AS51" s="36">
        <v>98</v>
      </c>
    </row>
    <row r="52" spans="15:45" x14ac:dyDescent="0.25">
      <c r="O52" s="200">
        <v>48</v>
      </c>
      <c r="P52" s="8">
        <v>123</v>
      </c>
      <c r="Q52" s="8" t="s">
        <v>1131</v>
      </c>
      <c r="R52" s="36">
        <v>94</v>
      </c>
      <c r="AG52" s="352">
        <v>47</v>
      </c>
      <c r="AH52" s="8">
        <v>130</v>
      </c>
      <c r="AI52" s="8" t="s">
        <v>1041</v>
      </c>
      <c r="AJ52" s="36">
        <v>98</v>
      </c>
      <c r="AP52" s="352">
        <v>47</v>
      </c>
      <c r="AQ52" s="8">
        <v>130</v>
      </c>
      <c r="AR52" s="8" t="s">
        <v>1170</v>
      </c>
      <c r="AS52" s="36">
        <v>98</v>
      </c>
    </row>
    <row r="53" spans="15:45" x14ac:dyDescent="0.25">
      <c r="O53" s="200">
        <v>49</v>
      </c>
      <c r="P53" s="8">
        <v>124</v>
      </c>
      <c r="Q53" s="8" t="s">
        <v>1132</v>
      </c>
      <c r="R53" s="36">
        <v>95</v>
      </c>
      <c r="AG53" s="352">
        <v>48</v>
      </c>
      <c r="AH53" s="8">
        <v>132</v>
      </c>
      <c r="AI53" s="8" t="s">
        <v>1236</v>
      </c>
      <c r="AJ53" s="36">
        <v>98</v>
      </c>
      <c r="AP53" s="352">
        <v>48</v>
      </c>
      <c r="AQ53" s="8">
        <v>132</v>
      </c>
      <c r="AR53" s="8" t="s">
        <v>1293</v>
      </c>
      <c r="AS53" s="36">
        <v>98</v>
      </c>
    </row>
    <row r="54" spans="15:45" x14ac:dyDescent="0.25">
      <c r="O54" s="200">
        <v>50</v>
      </c>
      <c r="P54" s="8">
        <v>126</v>
      </c>
      <c r="Q54" s="8" t="s">
        <v>1133</v>
      </c>
      <c r="R54" s="36">
        <v>96</v>
      </c>
      <c r="AG54" s="352">
        <v>49</v>
      </c>
      <c r="AH54" s="8">
        <v>134</v>
      </c>
      <c r="AI54" s="8" t="s">
        <v>1237</v>
      </c>
      <c r="AJ54" s="36">
        <v>99</v>
      </c>
      <c r="AP54" s="352">
        <v>49</v>
      </c>
      <c r="AQ54" s="8">
        <v>134</v>
      </c>
      <c r="AR54" s="8" t="s">
        <v>1294</v>
      </c>
      <c r="AS54" s="36">
        <v>99</v>
      </c>
    </row>
    <row r="55" spans="15:45" x14ac:dyDescent="0.25">
      <c r="O55" s="200">
        <v>51</v>
      </c>
      <c r="P55" s="8">
        <v>128</v>
      </c>
      <c r="Q55" s="8" t="s">
        <v>1134</v>
      </c>
      <c r="R55" s="36">
        <v>97</v>
      </c>
      <c r="AG55" s="352">
        <v>50</v>
      </c>
      <c r="AH55" s="8">
        <v>136</v>
      </c>
      <c r="AI55" s="8" t="s">
        <v>1043</v>
      </c>
      <c r="AJ55" s="36">
        <v>99</v>
      </c>
      <c r="AP55" s="352">
        <v>50</v>
      </c>
      <c r="AQ55" s="8">
        <v>136</v>
      </c>
      <c r="AR55" s="8" t="s">
        <v>1295</v>
      </c>
      <c r="AS55" s="36">
        <v>99</v>
      </c>
    </row>
    <row r="56" spans="15:45" x14ac:dyDescent="0.25">
      <c r="O56" s="200">
        <v>52</v>
      </c>
      <c r="P56" s="8">
        <v>131</v>
      </c>
      <c r="Q56" s="8" t="s">
        <v>1135</v>
      </c>
      <c r="R56" s="36">
        <v>98</v>
      </c>
      <c r="AG56" s="352">
        <v>51</v>
      </c>
      <c r="AH56" s="8">
        <v>138</v>
      </c>
      <c r="AI56" s="8" t="s">
        <v>1238</v>
      </c>
      <c r="AJ56" s="36">
        <v>99</v>
      </c>
      <c r="AP56" s="352">
        <v>51</v>
      </c>
      <c r="AQ56" s="8">
        <v>138</v>
      </c>
      <c r="AR56" s="8" t="s">
        <v>1296</v>
      </c>
      <c r="AS56" s="36">
        <v>99.54</v>
      </c>
    </row>
    <row r="57" spans="15:45" x14ac:dyDescent="0.25">
      <c r="O57" s="200">
        <v>53</v>
      </c>
      <c r="P57" s="8">
        <v>134</v>
      </c>
      <c r="Q57" s="8" t="s">
        <v>1136</v>
      </c>
      <c r="R57" s="36">
        <v>99</v>
      </c>
      <c r="AG57" s="352">
        <v>52</v>
      </c>
      <c r="AH57" s="8">
        <v>139</v>
      </c>
      <c r="AI57" s="8" t="s">
        <v>1044</v>
      </c>
      <c r="AJ57" s="36">
        <v>99.5</v>
      </c>
      <c r="AP57" s="352">
        <v>52</v>
      </c>
      <c r="AQ57" s="8">
        <v>139</v>
      </c>
      <c r="AR57" s="8" t="s">
        <v>1296</v>
      </c>
      <c r="AS57" s="36">
        <v>99.5</v>
      </c>
    </row>
    <row r="58" spans="15:45" x14ac:dyDescent="0.25">
      <c r="O58" s="200">
        <v>54</v>
      </c>
      <c r="P58" s="8">
        <v>137</v>
      </c>
      <c r="Q58" s="8" t="s">
        <v>1137</v>
      </c>
      <c r="R58" s="36">
        <v>99</v>
      </c>
      <c r="AG58" s="352">
        <v>53</v>
      </c>
      <c r="AH58" s="8">
        <v>141</v>
      </c>
      <c r="AI58" s="8" t="s">
        <v>1239</v>
      </c>
      <c r="AJ58" s="36">
        <v>99.7</v>
      </c>
      <c r="AP58" s="352">
        <v>53</v>
      </c>
      <c r="AQ58" s="8">
        <v>141</v>
      </c>
      <c r="AR58" s="8" t="s">
        <v>1297</v>
      </c>
      <c r="AS58" s="36">
        <v>99.7</v>
      </c>
    </row>
    <row r="59" spans="15:45" x14ac:dyDescent="0.25">
      <c r="O59" s="200">
        <v>55</v>
      </c>
      <c r="P59" s="8">
        <v>140</v>
      </c>
      <c r="Q59" s="9" t="s">
        <v>1138</v>
      </c>
      <c r="R59" s="36">
        <v>99.6</v>
      </c>
      <c r="AG59" s="352">
        <v>54</v>
      </c>
      <c r="AH59" s="8">
        <v>142</v>
      </c>
      <c r="AI59" s="8" t="s">
        <v>1045</v>
      </c>
      <c r="AJ59" s="36">
        <v>99.7</v>
      </c>
      <c r="AP59" s="352">
        <v>54</v>
      </c>
      <c r="AQ59" s="8">
        <v>142</v>
      </c>
      <c r="AR59" s="8" t="s">
        <v>1297</v>
      </c>
      <c r="AS59" s="36">
        <v>99.7</v>
      </c>
    </row>
    <row r="60" spans="15:45" x14ac:dyDescent="0.25">
      <c r="O60" s="200">
        <v>56</v>
      </c>
      <c r="P60" s="8">
        <v>143</v>
      </c>
      <c r="Q60" s="8" t="s">
        <v>1139</v>
      </c>
      <c r="R60" s="36">
        <v>99.8</v>
      </c>
      <c r="AG60" s="352">
        <v>55</v>
      </c>
      <c r="AH60" s="8">
        <v>143</v>
      </c>
      <c r="AI60" s="8" t="s">
        <v>1240</v>
      </c>
      <c r="AJ60" s="36">
        <v>99.8</v>
      </c>
      <c r="AP60" s="352">
        <v>55</v>
      </c>
      <c r="AQ60" s="8">
        <v>143</v>
      </c>
      <c r="AR60" s="8" t="s">
        <v>1175</v>
      </c>
      <c r="AS60" s="36">
        <v>99.87</v>
      </c>
    </row>
    <row r="61" spans="15:45" ht="15.75" thickBot="1" x14ac:dyDescent="0.3">
      <c r="O61" s="201">
        <v>57</v>
      </c>
      <c r="P61" s="17">
        <v>145</v>
      </c>
      <c r="Q61" s="17" t="s">
        <v>1092</v>
      </c>
      <c r="R61" s="128">
        <v>99.9</v>
      </c>
      <c r="AG61" s="352">
        <v>56</v>
      </c>
      <c r="AH61" s="8">
        <v>144</v>
      </c>
      <c r="AI61" s="8" t="s">
        <v>1240</v>
      </c>
      <c r="AJ61" s="36">
        <v>998</v>
      </c>
      <c r="AP61" s="352">
        <v>56</v>
      </c>
      <c r="AQ61" s="8">
        <v>144</v>
      </c>
      <c r="AR61" s="8" t="s">
        <v>1176</v>
      </c>
      <c r="AS61" s="36">
        <v>99.8</v>
      </c>
    </row>
    <row r="62" spans="15:45" ht="15.75" thickBot="1" x14ac:dyDescent="0.3">
      <c r="O62" s="2" t="s">
        <v>4</v>
      </c>
      <c r="AG62" s="353">
        <v>57</v>
      </c>
      <c r="AH62" s="17">
        <v>145</v>
      </c>
      <c r="AI62" s="17" t="s">
        <v>1241</v>
      </c>
      <c r="AJ62" s="128">
        <v>99.9</v>
      </c>
      <c r="AP62" s="353">
        <v>57</v>
      </c>
      <c r="AQ62" s="17">
        <v>145</v>
      </c>
      <c r="AR62" s="17" t="s">
        <v>1298</v>
      </c>
      <c r="AS62" s="128">
        <v>99.9</v>
      </c>
    </row>
  </sheetData>
  <sheetProtection algorithmName="SHA-512" hashValue="ZHgu4h0zczoM8gxxcYFWHabvQK1c22OrLYoAqgTfeksGcH6AhmdZuLVk9PhhHzP951OkOzmFF347wcfUtcNNmg==" saltValue="4WljhhPMu1jh/bwgTW3YXQ==" spinCount="100000" sheet="1" objects="1" scenarios="1"/>
  <mergeCells count="28">
    <mergeCell ref="AM1:AO1"/>
    <mergeCell ref="AL2:AS3"/>
    <mergeCell ref="AL4:AO4"/>
    <mergeCell ref="AP4:AS4"/>
    <mergeCell ref="AL5:AO5"/>
    <mergeCell ref="AP5:AS5"/>
    <mergeCell ref="X5:AA5"/>
    <mergeCell ref="U1:W1"/>
    <mergeCell ref="AC5:AF5"/>
    <mergeCell ref="AG5:AJ5"/>
    <mergeCell ref="AD1:AF1"/>
    <mergeCell ref="B5:E5"/>
    <mergeCell ref="F5:I5"/>
    <mergeCell ref="C1:E1"/>
    <mergeCell ref="L1:N1"/>
    <mergeCell ref="T5:W5"/>
    <mergeCell ref="F4:I4"/>
    <mergeCell ref="B2:I3"/>
    <mergeCell ref="K2:R3"/>
    <mergeCell ref="O4:R4"/>
    <mergeCell ref="K4:N4"/>
    <mergeCell ref="B4:E4"/>
    <mergeCell ref="T2:AA3"/>
    <mergeCell ref="T4:W4"/>
    <mergeCell ref="X4:AA4"/>
    <mergeCell ref="AC2:AJ3"/>
    <mergeCell ref="AC4:AF4"/>
    <mergeCell ref="AG4:A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SC</vt:lpstr>
      <vt:lpstr>PR</vt:lpstr>
      <vt:lpstr>AI</vt:lpstr>
      <vt:lpstr>SR</vt:lpstr>
      <vt:lpstr>RC</vt:lpstr>
      <vt:lpstr>EC</vt:lpstr>
      <vt:lpstr>PI</vt:lpstr>
      <vt:lpstr>GM</vt:lpstr>
      <vt:lpstr>FM</vt:lpstr>
      <vt:lpstr>PM</vt:lpstr>
      <vt:lpstr>AM</vt:lpstr>
      <vt:lpstr>RA</vt:lpstr>
      <vt:lpstr>PC</vt:lpstr>
      <vt:lpstr>Age Equivalent</vt:lpstr>
      <vt:lpstr>Scaled Scores</vt:lpstr>
      <vt:lpstr>Other Metrics</vt:lpstr>
      <vt:lpstr>DQs</vt:lpstr>
      <vt:lpstr>DQ.ADP_0_11_Months</vt:lpstr>
      <vt:lpstr>DQ.ADP_24_71_Months</vt:lpstr>
      <vt:lpstr>DQ.COG_0_23_Months</vt:lpstr>
      <vt:lpstr>DQ.COG_24_71_Months</vt:lpstr>
      <vt:lpstr>DQ.COM_0_23_Months</vt:lpstr>
      <vt:lpstr>DQ.COM_24_71_Months</vt:lpstr>
      <vt:lpstr>DQ.MOT_0_23_Months</vt:lpstr>
      <vt:lpstr>DQ.MOT_24_71_Months</vt:lpstr>
      <vt:lpstr>DQ.PS_0_23_Months</vt:lpstr>
      <vt:lpstr>DQ.PS_24_71_Months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Lindstrom</dc:creator>
  <cp:lastModifiedBy>Greg Lindstrom</cp:lastModifiedBy>
  <cp:lastPrinted>2026-08-12T20:08:29Z</cp:lastPrinted>
  <dcterms:created xsi:type="dcterms:W3CDTF">2026-08-04T02:53:28Z</dcterms:created>
  <dcterms:modified xsi:type="dcterms:W3CDTF">2026-08-24T01:00:30Z</dcterms:modified>
</cp:coreProperties>
</file>