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DAnn/"/>
    </mc:Choice>
  </mc:AlternateContent>
  <xr:revisionPtr revIDLastSave="4698" documentId="8_{2B14AACB-AB5A-4829-8BF7-CE25644A3776}" xr6:coauthVersionLast="47" xr6:coauthVersionMax="47" xr10:uidLastSave="{65954C57-B289-4283-823C-55BAB296A4C3}"/>
  <bookViews>
    <workbookView xWindow="-120" yWindow="-120" windowWidth="20730" windowHeight="11160" tabRatio="630" activeTab="1" xr2:uid="{9B71A4BC-8654-451A-8121-C9F88DB92287}"/>
  </bookViews>
  <sheets>
    <sheet name="Summary" sheetId="2" r:id="rId1"/>
    <sheet name="SS-SC" sheetId="18" r:id="rId2"/>
    <sheet name="Age Equivalent" sheetId="17" r:id="rId3"/>
    <sheet name="SC" sheetId="1" r:id="rId4"/>
    <sheet name="PR" sheetId="4" r:id="rId5"/>
    <sheet name="AI" sheetId="5" r:id="rId6"/>
    <sheet name="PI" sheetId="6" r:id="rId7"/>
    <sheet name="SR" sheetId="7" r:id="rId8"/>
    <sheet name="RC" sheetId="8" r:id="rId9"/>
    <sheet name="EC" sheetId="9" r:id="rId10"/>
    <sheet name="GM" sheetId="10" r:id="rId11"/>
    <sheet name="FM" sheetId="11" r:id="rId12"/>
    <sheet name="PM" sheetId="12" r:id="rId13"/>
    <sheet name="AM" sheetId="13" r:id="rId14"/>
    <sheet name="RA" sheetId="14" r:id="rId15"/>
    <sheet name="PC" sheetId="15" r:id="rId1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5" i="18" l="1"/>
  <c r="N5" i="18"/>
  <c r="E161" i="18"/>
  <c r="E164" i="18" s="1"/>
  <c r="E165" i="18" s="1"/>
  <c r="E166" i="18" s="1"/>
  <c r="E171" i="18" s="1"/>
  <c r="E181" i="18" s="1"/>
  <c r="E182" i="18" s="1"/>
  <c r="E183" i="18" s="1"/>
  <c r="E185" i="18" s="1"/>
  <c r="E186" i="18" s="1"/>
  <c r="E189" i="18" s="1"/>
  <c r="E190" i="18" s="1"/>
  <c r="E192" i="18" s="1"/>
  <c r="E198" i="18" s="1"/>
  <c r="E199" i="18" s="1"/>
  <c r="E201" i="18" s="1"/>
  <c r="E202" i="18" s="1"/>
  <c r="E205" i="18" s="1"/>
  <c r="E206" i="18" s="1"/>
  <c r="E207" i="18" s="1"/>
  <c r="E209" i="18" s="1"/>
  <c r="E210" i="18" s="1"/>
  <c r="E215" i="18" s="1"/>
  <c r="E216" i="18" s="1"/>
  <c r="E218" i="18" s="1"/>
  <c r="E220" i="18" s="1"/>
  <c r="E221" i="18" s="1"/>
  <c r="E223" i="18" s="1"/>
  <c r="E224" i="18" s="1"/>
  <c r="E225" i="18" s="1"/>
  <c r="E227" i="18" s="1"/>
  <c r="E228" i="18" s="1"/>
  <c r="E229" i="18" s="1"/>
  <c r="E235" i="18" s="1"/>
  <c r="E237" i="18" s="1"/>
  <c r="E238" i="18" s="1"/>
  <c r="E239" i="18" s="1"/>
  <c r="E241" i="18" s="1"/>
  <c r="E242" i="18" s="1"/>
  <c r="E243" i="18" s="1"/>
  <c r="E245" i="18" s="1"/>
  <c r="E246" i="18" s="1"/>
  <c r="E247" i="18" s="1"/>
  <c r="E253" i="18" s="1"/>
  <c r="E256" i="18" s="1"/>
  <c r="E258" i="18" s="1"/>
  <c r="E261" i="18" s="1"/>
  <c r="E262" i="18" s="1"/>
  <c r="E264" i="18" s="1"/>
  <c r="E266" i="18" s="1"/>
  <c r="E267" i="18" s="1"/>
  <c r="E272" i="18" s="1"/>
  <c r="E274" i="18" s="1"/>
  <c r="E276" i="18" s="1"/>
  <c r="E277" i="18" s="1"/>
  <c r="E279" i="18" s="1"/>
  <c r="E280" i="18" s="1"/>
  <c r="E282" i="18" s="1"/>
  <c r="E284" i="18" s="1"/>
  <c r="E285" i="18" s="1"/>
  <c r="E290" i="18" s="1"/>
  <c r="E293" i="18" s="1"/>
  <c r="E295" i="18" s="1"/>
  <c r="E297" i="18" s="1"/>
  <c r="E298" i="18" s="1"/>
  <c r="E300" i="18" s="1"/>
  <c r="E302" i="18" s="1"/>
  <c r="E303" i="18" s="1"/>
  <c r="E305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142" i="18"/>
  <c r="E143" i="18" s="1"/>
  <c r="E145" i="18" s="1"/>
  <c r="E147" i="18" s="1"/>
  <c r="E148" i="18" s="1"/>
  <c r="E150" i="18" s="1"/>
  <c r="E153" i="18" s="1"/>
  <c r="E120" i="18"/>
  <c r="E121" i="18" s="1"/>
  <c r="E126" i="18" s="1"/>
  <c r="E129" i="18" s="1"/>
  <c r="E130" i="18" s="1"/>
  <c r="E131" i="18" s="1"/>
  <c r="E118" i="18"/>
  <c r="E99" i="18"/>
  <c r="E100" i="18" s="1"/>
  <c r="E101" i="18" s="1"/>
  <c r="E102" i="18" s="1"/>
  <c r="E103" i="18" s="1"/>
  <c r="E105" i="18" s="1"/>
  <c r="E107" i="18" s="1"/>
  <c r="E108" i="18" s="1"/>
  <c r="E110" i="18" s="1"/>
  <c r="E112" i="18" s="1"/>
  <c r="E113" i="18" s="1"/>
  <c r="L5" i="18"/>
  <c r="E81" i="18"/>
  <c r="E82" i="18" s="1"/>
  <c r="E83" i="18" s="1"/>
  <c r="E84" i="18" s="1"/>
  <c r="E85" i="18" s="1"/>
  <c r="E86" i="18" s="1"/>
  <c r="E87" i="18" s="1"/>
  <c r="E88" i="18" s="1"/>
  <c r="E90" i="18" s="1"/>
  <c r="E91" i="18" s="1"/>
  <c r="E93" i="18" s="1"/>
  <c r="E64" i="18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49" i="18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34" i="18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C25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C24" i="2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C23" i="2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B20" i="2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C20" i="2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C19" i="2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C18" i="2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C10" i="2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L7" i="2"/>
  <c r="K8" i="2"/>
  <c r="J7" i="2"/>
  <c r="K7" i="2"/>
  <c r="D25" i="2"/>
  <c r="D24" i="2"/>
  <c r="D23" i="2"/>
  <c r="D26" i="2" s="1"/>
  <c r="D20" i="2"/>
  <c r="D19" i="2"/>
  <c r="D18" i="2"/>
  <c r="D21" i="2" s="1"/>
  <c r="D15" i="2"/>
  <c r="C15" i="2" s="1"/>
  <c r="D14" i="2"/>
  <c r="C14" i="2" s="1"/>
  <c r="D11" i="2"/>
  <c r="C11" i="2" s="1"/>
  <c r="D10" i="2"/>
  <c r="D9" i="2"/>
  <c r="C9" i="2" s="1"/>
  <c r="D6" i="2"/>
  <c r="C6" i="2" s="1"/>
  <c r="D5" i="2"/>
  <c r="C5" i="2" s="1"/>
  <c r="I20" i="2"/>
  <c r="I19" i="2"/>
  <c r="I18" i="2"/>
  <c r="I17" i="2"/>
  <c r="I16" i="2"/>
  <c r="I15" i="2"/>
  <c r="D16" i="2" l="1"/>
  <c r="D12" i="2"/>
  <c r="D7" i="2"/>
</calcChain>
</file>

<file path=xl/sharedStrings.xml><?xml version="1.0" encoding="utf-8"?>
<sst xmlns="http://schemas.openxmlformats.org/spreadsheetml/2006/main" count="1414" uniqueCount="885">
  <si>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</si>
  <si>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</si>
  <si>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</si>
  <si>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</si>
  <si>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</si>
  <si>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</si>
  <si>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</si>
  <si>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</si>
  <si>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</si>
  <si>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</si>
  <si>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</si>
  <si>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</si>
  <si>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</si>
  <si>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</si>
  <si>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</si>
  <si>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</si>
  <si>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</si>
  <si>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</si>
  <si>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</si>
  <si>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</si>
  <si>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</si>
  <si>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</si>
  <si>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</si>
  <si>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</si>
  <si>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</si>
  <si>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</si>
  <si>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</si>
  <si>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</si>
  <si>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</si>
  <si>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</si>
  <si>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</si>
  <si>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</si>
  <si>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</si>
  <si>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</si>
  <si>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</si>
  <si>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</si>
  <si>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</si>
  <si>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</si>
  <si>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</si>
  <si>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</si>
  <si>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</si>
  <si>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</si>
  <si>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</si>
  <si>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</si>
  <si>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</si>
  <si>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</si>
  <si>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</si>
  <si>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</si>
  <si>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</si>
  <si>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</si>
  <si>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</si>
  <si>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</si>
  <si>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Year</t>
  </si>
  <si>
    <t>Month</t>
  </si>
  <si>
    <t>Day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</si>
  <si>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</si>
  <si>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</si>
  <si>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</si>
  <si>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</si>
  <si>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</si>
  <si>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</si>
  <si>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</si>
  <si>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</si>
  <si>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</si>
  <si>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</si>
  <si>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</si>
  <si>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</si>
  <si>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</si>
  <si>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</si>
  <si>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</si>
  <si>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</si>
  <si>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</si>
  <si>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</si>
  <si>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</si>
  <si>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</si>
  <si>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</si>
  <si>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</si>
  <si>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</si>
  <si>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</si>
  <si>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</si>
  <si>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</si>
  <si>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</si>
  <si>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</si>
  <si>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</si>
  <si>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</si>
  <si>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</si>
  <si>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</si>
  <si>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</si>
  <si>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</si>
  <si>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</si>
  <si>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</si>
  <si>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</si>
  <si>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</si>
  <si>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</si>
  <si>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</si>
  <si>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</si>
  <si>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</si>
  <si>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</si>
  <si>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</si>
  <si>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</si>
  <si>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</si>
  <si>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</si>
  <si>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</si>
  <si>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</si>
  <si>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</si>
  <si>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</si>
  <si>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</si>
  <si>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</si>
  <si>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</si>
  <si>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</si>
  <si>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</si>
  <si>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</si>
  <si>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</si>
  <si>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</si>
  <si>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</si>
  <si>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</si>
  <si>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</si>
  <si>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</si>
  <si>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</si>
  <si>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</si>
  <si>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</si>
  <si>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</si>
  <si>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</si>
  <si>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</si>
  <si>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</si>
  <si>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</si>
  <si>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</si>
  <si>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</si>
  <si>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</si>
  <si>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</si>
  <si>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</si>
  <si>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</si>
  <si>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</si>
  <si>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</si>
  <si>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</si>
  <si>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</si>
  <si>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</si>
  <si>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</si>
  <si>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</si>
  <si>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</si>
  <si>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</si>
  <si>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</si>
  <si>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</si>
  <si>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</si>
  <si>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</si>
  <si>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</si>
  <si>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</si>
  <si>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</si>
  <si>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</si>
  <si>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</si>
  <si>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</si>
  <si>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</si>
  <si>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</si>
  <si>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</si>
  <si>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</si>
  <si>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</si>
  <si>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</si>
  <si>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</si>
  <si>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</si>
  <si>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</si>
  <si>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</si>
  <si>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</si>
  <si>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</si>
  <si>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</si>
  <si>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</si>
  <si>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</si>
  <si>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</si>
  <si>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</si>
  <si>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</si>
  <si>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</si>
  <si>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</si>
  <si>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</si>
  <si>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</si>
  <si>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</si>
  <si>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</si>
  <si>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</si>
  <si>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</si>
  <si>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</si>
  <si>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</si>
  <si>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</si>
  <si>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</si>
  <si>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</si>
  <si>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</si>
  <si>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</si>
  <si>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</si>
  <si>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</si>
  <si>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</si>
  <si>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</si>
  <si>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</si>
  <si>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</si>
  <si>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</si>
  <si>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</si>
  <si>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</si>
  <si>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</si>
  <si>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</si>
  <si>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</si>
  <si>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</si>
  <si>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</si>
  <si>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</si>
  <si>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</si>
  <si>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</si>
  <si>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</si>
  <si>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</si>
  <si>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</si>
  <si>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</si>
  <si>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</si>
  <si>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</si>
  <si>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</si>
  <si>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</si>
  <si>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</si>
  <si>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</si>
  <si>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</si>
  <si>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</si>
  <si>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</si>
  <si>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</si>
  <si>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</si>
  <si>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</si>
  <si>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</si>
  <si>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</si>
  <si>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</si>
  <si>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</si>
  <si>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</si>
  <si>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</si>
  <si>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</si>
  <si>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</si>
  <si>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</si>
  <si>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</si>
  <si>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</si>
  <si>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</si>
  <si>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</si>
  <si>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</si>
  <si>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</si>
  <si>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</si>
  <si>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</si>
  <si>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</si>
  <si>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</si>
  <si>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</si>
  <si>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</si>
  <si>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</si>
  <si>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</si>
  <si>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</si>
  <si>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</si>
  <si>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</si>
  <si>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</si>
  <si>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</si>
  <si>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</si>
  <si>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</si>
  <si>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</si>
  <si>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</si>
  <si>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</si>
  <si>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</si>
  <si>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</si>
  <si>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</si>
  <si>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</si>
  <si>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</si>
  <si>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</si>
  <si>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</si>
  <si>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</si>
  <si>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</si>
  <si>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</si>
  <si>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</si>
  <si>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</si>
  <si>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</si>
  <si>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</si>
  <si>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</si>
  <si>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</si>
  <si>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</si>
  <si>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</si>
  <si>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</si>
  <si>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</si>
  <si>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</si>
  <si>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</si>
  <si>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</si>
  <si>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</si>
  <si>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</si>
  <si>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</si>
  <si>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</si>
  <si>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</si>
  <si>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</si>
  <si>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</si>
  <si>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</si>
  <si>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</si>
  <si>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</si>
  <si>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</si>
  <si>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</si>
  <si>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</si>
  <si>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</si>
  <si>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</si>
  <si>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</si>
  <si>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</si>
  <si>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</si>
  <si>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</si>
  <si>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</si>
  <si>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</si>
  <si>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</si>
  <si>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</si>
  <si>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</si>
  <si>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</si>
  <si>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</si>
  <si>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</si>
  <si>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</si>
  <si>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</si>
  <si>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</si>
  <si>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</si>
  <si>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</si>
  <si>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</si>
  <si>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</si>
  <si>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</si>
  <si>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</si>
  <si>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</si>
  <si>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</si>
  <si>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</si>
  <si>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</si>
  <si>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</si>
  <si>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</si>
  <si>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</si>
  <si>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</si>
  <si>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</si>
  <si>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</si>
  <si>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</si>
  <si>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</si>
  <si>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</si>
  <si>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</si>
  <si>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</si>
  <si>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</si>
  <si>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</si>
  <si>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</si>
  <si>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</si>
  <si>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</si>
  <si>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</si>
  <si>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</si>
  <si>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</si>
  <si>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</si>
  <si>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</si>
  <si>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</si>
  <si>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</si>
  <si>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</si>
  <si>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</si>
  <si>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</si>
  <si>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</si>
  <si>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</si>
  <si>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</si>
  <si>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</si>
  <si>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</si>
  <si>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</si>
  <si>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</si>
  <si>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</si>
  <si>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</si>
  <si>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</si>
  <si>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</si>
  <si>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</si>
  <si>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</si>
  <si>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</si>
  <si>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</si>
  <si>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</si>
  <si>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</si>
  <si>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</si>
  <si>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</si>
  <si>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</si>
  <si>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</si>
  <si>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</si>
  <si>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</si>
  <si>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</si>
  <si>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</si>
  <si>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</si>
  <si>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</si>
  <si>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</si>
  <si>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</si>
  <si>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</si>
  <si>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</si>
  <si>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</si>
  <si>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</si>
  <si>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</si>
  <si>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</si>
  <si>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</si>
  <si>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</si>
  <si>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</si>
  <si>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</si>
  <si>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</si>
  <si>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</si>
  <si>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</si>
  <si>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</si>
  <si>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</si>
  <si>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</si>
  <si>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</si>
  <si>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</si>
  <si>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</si>
  <si>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</si>
  <si>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</si>
  <si>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</si>
  <si>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</si>
  <si>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</si>
  <si>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</si>
  <si>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</si>
  <si>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</si>
  <si>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</si>
  <si>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</si>
  <si>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</si>
  <si>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</si>
  <si>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</si>
  <si>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</si>
  <si>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</si>
  <si>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</si>
  <si>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</si>
  <si>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</si>
  <si>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</si>
  <si>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</si>
  <si>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</si>
  <si>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</si>
  <si>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</si>
  <si>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</si>
  <si>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</si>
  <si>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</si>
  <si>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</si>
  <si>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</si>
  <si>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</si>
  <si>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</si>
  <si>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</si>
  <si>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</si>
  <si>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</si>
  <si>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</si>
  <si>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</si>
  <si>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</si>
  <si>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</si>
  <si>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</si>
  <si>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</si>
  <si>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</si>
  <si>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</si>
  <si>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</si>
  <si>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</si>
  <si>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</si>
  <si>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</si>
  <si>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</si>
  <si>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</si>
  <si>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</si>
  <si>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</si>
  <si>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</si>
  <si>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</si>
  <si>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</si>
  <si>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</si>
  <si>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</si>
  <si>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</si>
  <si>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</si>
  <si>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</si>
  <si>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</si>
  <si>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</si>
  <si>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</si>
  <si>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</si>
  <si>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</si>
  <si>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</si>
  <si>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</si>
  <si>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</si>
  <si>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</si>
  <si>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</si>
  <si>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</si>
  <si>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</si>
  <si>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</si>
  <si>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</si>
  <si>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</si>
  <si>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</si>
  <si>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</si>
  <si>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</si>
  <si>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</si>
  <si>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</si>
  <si>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</si>
  <si>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</si>
  <si>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</si>
  <si>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</si>
  <si>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</si>
  <si>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</si>
  <si>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</si>
  <si>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</si>
  <si>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</si>
  <si>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</si>
  <si>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</si>
  <si>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</si>
  <si>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</si>
  <si>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</si>
  <si>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</si>
  <si>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</si>
  <si>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</si>
  <si>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</si>
  <si>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</si>
  <si>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</si>
  <si>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</si>
  <si>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</si>
  <si>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</si>
  <si>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</si>
  <si>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</si>
  <si>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</si>
  <si>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</si>
  <si>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</si>
  <si>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</si>
  <si>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</si>
  <si>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</si>
  <si>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</si>
  <si>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</si>
  <si>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</si>
  <si>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</si>
  <si>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</si>
  <si>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</si>
  <si>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</si>
  <si>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</si>
  <si>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</si>
  <si>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</si>
  <si>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</si>
  <si>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</si>
  <si>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</si>
  <si>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</si>
  <si>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</si>
  <si>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</si>
  <si>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</si>
  <si>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</si>
  <si>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</si>
  <si>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</si>
  <si>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</si>
  <si>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</si>
  <si>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</si>
  <si>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</si>
  <si>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</si>
  <si>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</si>
  <si>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</si>
  <si>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</si>
  <si>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</si>
  <si>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</si>
  <si>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</si>
  <si>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</si>
  <si>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</si>
  <si>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</si>
  <si>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</si>
  <si>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</si>
  <si>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</si>
  <si>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</si>
  <si>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</si>
  <si>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</si>
  <si>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</si>
  <si>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</si>
  <si>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</si>
  <si>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</si>
  <si>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</si>
  <si>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</si>
  <si>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</si>
  <si>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</si>
  <si>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</si>
  <si>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</si>
  <si>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</si>
  <si>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</si>
  <si>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</si>
  <si>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</si>
  <si>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</si>
  <si>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</si>
  <si>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</si>
  <si>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</si>
  <si>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</si>
  <si>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</si>
  <si>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</si>
  <si>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</si>
  <si>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</si>
  <si>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</si>
  <si>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</si>
  <si>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</si>
  <si>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</si>
  <si>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</si>
  <si>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</si>
  <si>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</si>
  <si>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</si>
  <si>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</si>
  <si>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</si>
  <si>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</si>
  <si>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</si>
  <si>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</si>
  <si>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</si>
  <si>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</si>
  <si>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</si>
  <si>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</si>
  <si>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</si>
  <si>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</si>
  <si>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</si>
  <si>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</si>
  <si>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</si>
  <si>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</si>
  <si>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</si>
  <si>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</si>
  <si>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</si>
  <si>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</si>
  <si>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</si>
  <si>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</si>
  <si>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</si>
  <si>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</si>
  <si>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</si>
  <si>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</si>
  <si>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</si>
  <si>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</si>
  <si>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</si>
  <si>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</si>
  <si>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</si>
  <si>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</si>
  <si>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</si>
  <si>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</si>
  <si>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</si>
  <si>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</si>
  <si>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</si>
  <si>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</si>
  <si>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</si>
  <si>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</si>
  <si>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</si>
  <si>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</si>
  <si>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</si>
  <si>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</si>
  <si>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</si>
  <si>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</si>
  <si>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</si>
  <si>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</si>
  <si>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</si>
  <si>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</si>
  <si>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</si>
  <si>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</si>
  <si>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</si>
  <si>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</si>
  <si>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</si>
  <si>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</si>
  <si>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</si>
  <si>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</si>
  <si>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</si>
  <si>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</si>
  <si>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</si>
  <si>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</si>
  <si>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</si>
  <si>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</si>
  <si>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</si>
  <si>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</si>
  <si>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</si>
  <si>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</si>
  <si>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</si>
  <si>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</si>
  <si>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</si>
  <si>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</si>
  <si>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</si>
  <si>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</si>
  <si>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</si>
  <si>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</si>
  <si>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</si>
  <si>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</si>
  <si>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</si>
  <si>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</si>
  <si>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</si>
  <si>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</si>
  <si>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</si>
  <si>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</si>
  <si>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</si>
  <si>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</si>
  <si>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</si>
  <si>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</si>
  <si>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</si>
  <si>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</si>
  <si>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</si>
  <si>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</si>
  <si>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</si>
  <si>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</si>
  <si>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</si>
  <si>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</si>
  <si>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</si>
  <si>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</si>
  <si>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</si>
  <si>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</si>
  <si>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</si>
  <si>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</si>
  <si>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</si>
  <si>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</si>
  <si>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</si>
  <si>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</si>
  <si>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</si>
  <si>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</si>
  <si>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</si>
  <si>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</si>
  <si>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</si>
  <si>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</si>
  <si>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</si>
  <si>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</si>
  <si>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</si>
  <si>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</si>
  <si>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</si>
  <si>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</si>
  <si>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</si>
  <si>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</si>
  <si>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</si>
  <si>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</si>
  <si>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</si>
  <si>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</si>
  <si>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</si>
  <si>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</si>
  <si>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</si>
  <si>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</si>
  <si>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</si>
  <si>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</si>
  <si>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</si>
  <si>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</si>
  <si>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</si>
  <si>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</si>
  <si>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</si>
  <si>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</si>
  <si>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</si>
  <si>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</si>
  <si>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</si>
  <si>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</si>
  <si>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</si>
  <si>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</si>
  <si>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</si>
  <si>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</si>
  <si>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</si>
  <si>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</si>
  <si>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</si>
  <si>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</si>
  <si>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</si>
  <si>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</si>
  <si>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</si>
  <si>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</si>
  <si>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</si>
  <si>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</si>
  <si>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</si>
  <si>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</si>
  <si>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</si>
  <si>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</si>
  <si>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</si>
  <si>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</si>
  <si>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</si>
  <si>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</si>
  <si>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</si>
  <si>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</si>
  <si>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</si>
  <si>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</si>
  <si>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</si>
  <si>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</si>
  <si>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</si>
  <si>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</si>
  <si>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</si>
  <si>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</si>
  <si>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</si>
  <si>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</si>
  <si>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</si>
  <si>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</si>
  <si>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</si>
  <si>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</si>
  <si>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</si>
  <si>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</si>
  <si>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</si>
  <si>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</si>
  <si>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</si>
  <si>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</si>
  <si>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</si>
  <si>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</si>
  <si>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</si>
  <si>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</si>
  <si>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</si>
  <si>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</si>
  <si>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</si>
  <si>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</si>
  <si>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</si>
  <si>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</si>
  <si>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</si>
  <si>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</si>
  <si>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</si>
  <si>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</si>
  <si>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</si>
  <si>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</si>
  <si>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</si>
  <si>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</si>
  <si>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</si>
  <si>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</si>
  <si>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</si>
  <si>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</si>
  <si>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</si>
  <si>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</si>
  <si>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</si>
  <si>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</si>
  <si>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</si>
  <si>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</si>
  <si>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</si>
  <si>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</si>
  <si>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</si>
  <si>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</si>
  <si>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</si>
  <si>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</si>
  <si>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</si>
  <si>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</si>
  <si>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</si>
  <si>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</si>
  <si>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</si>
  <si>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</si>
  <si>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</si>
  <si>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</si>
  <si>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</si>
  <si>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</si>
  <si>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</si>
  <si>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</si>
  <si>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</si>
  <si>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</si>
  <si>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</si>
  <si>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</si>
  <si>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</si>
  <si>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</si>
  <si>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</si>
  <si>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</si>
  <si>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</si>
  <si>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</si>
  <si>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</si>
  <si>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</si>
  <si>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</si>
  <si>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</si>
  <si>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</si>
  <si>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</si>
  <si>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</si>
  <si>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</si>
  <si>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</si>
  <si>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</si>
  <si>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</si>
  <si>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</si>
  <si>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</si>
  <si>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</si>
  <si>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</si>
  <si>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</si>
  <si>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</si>
  <si>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</si>
  <si>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</si>
  <si>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</si>
  <si>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</si>
  <si>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</si>
  <si>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</si>
  <si>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</si>
  <si>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</si>
  <si>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</si>
  <si>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</si>
  <si>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</si>
  <si>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</si>
  <si>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</si>
  <si>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</si>
  <si>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</si>
  <si>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</si>
  <si>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</si>
  <si>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</si>
  <si>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</si>
  <si>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</si>
  <si>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</si>
  <si>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</si>
  <si>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</si>
  <si>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</si>
  <si>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</si>
  <si>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</si>
  <si>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</si>
  <si>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</si>
  <si>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</si>
  <si>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</si>
  <si>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</si>
  <si>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</si>
  <si>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</si>
  <si>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</si>
  <si>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</si>
  <si>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</si>
  <si>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</si>
  <si>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</si>
  <si>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</si>
  <si>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</si>
  <si>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</si>
  <si>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</si>
  <si>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</si>
  <si>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</si>
  <si>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</si>
  <si>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</si>
  <si>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</si>
  <si>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</si>
  <si>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</si>
  <si>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</si>
  <si>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</si>
  <si>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</si>
  <si>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</si>
  <si>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</si>
  <si>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</si>
  <si>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</si>
  <si>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</si>
  <si>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</si>
  <si>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X</t>
  </si>
  <si>
    <t>Y</t>
  </si>
  <si>
    <t>Y'</t>
  </si>
  <si>
    <t>15</t>
  </si>
  <si>
    <t>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</si>
</sst>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1" xfId="0" applyBorder="1"/>
    <xf numFmtId="0" fontId="0" fillId="0" borderId="3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0" borderId="3" xfId="0" applyFont="1" applyBorder="1"/>
    <xf numFmtId="0" fontId="1" fillId="0" borderId="0" xfId="0" applyFont="1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2" xfId="0" applyBorder="1"/>
    <xf numFmtId="0" fontId="0" fillId="0" borderId="6" xfId="0" applyBorder="1"/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0" fontId="0" fillId="0" borderId="11" xfId="0" applyBorder="1" applyAlignment="1">
      <alignment horizontal="left" vertic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0" fillId="0" borderId="28" xfId="0" applyBorder="1"/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1" fillId="2" borderId="24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3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0" borderId="17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0" fillId="2" borderId="2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0" fillId="0" borderId="36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0" fontId="0" fillId="0" borderId="30" xfId="0" applyBorder="1" applyAlignment="1">
      <alignment horizontal="center" vertical="top"/>
    </xf>
    <xf numFmtId="0" fontId="0" fillId="0" borderId="31" xfId="0" applyFill="1" applyBorder="1"/>
    <xf numFmtId="1" fontId="0" fillId="0" borderId="28" xfId="0" applyNumberFormat="1" applyBorder="1" applyAlignment="1">
      <alignment horizontal="center" vertical="center"/>
    </xf>
    <xf numFmtId="1" fontId="0" fillId="2" borderId="17" xfId="0" applyNumberFormat="1" applyFill="1" applyBorder="1"/>
    <xf numFmtId="1" fontId="0" fillId="2" borderId="17" xfId="0" applyNumberFormat="1" applyFill="1" applyBorder="1" applyAlignment="1">
      <alignment horizontal="right" indent="1"/>
    </xf>
    <xf numFmtId="49" fontId="0" fillId="0" borderId="31" xfId="0" applyNumberFormat="1" applyBorder="1" applyAlignment="1">
      <alignment horizontal="left" vertical="center" wrapText="1"/>
    </xf>
    <xf numFmtId="49" fontId="0" fillId="0" borderId="14" xfId="0" applyNumberFormat="1" applyBorder="1" applyAlignment="1">
      <alignment horizontal="center" vertical="center" wrapText="1"/>
    </xf>
    <xf numFmtId="49" fontId="0" fillId="0" borderId="17" xfId="0" applyNumberFormat="1" applyBorder="1" applyAlignment="1">
      <alignment horizontal="left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ont="1" applyFill="1" applyBorder="1" applyAlignment="1">
      <alignment horizontal="center"/>
    </xf>
    <xf numFmtId="0" fontId="0" fillId="0" borderId="7" xfId="0" applyFont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21" xfId="0" applyFont="1" applyFill="1" applyBorder="1" applyAlignment="1">
      <alignment horizontal="center" vertical="center"/>
    </xf>
    <xf numFmtId="0" fontId="0" fillId="2" borderId="22" xfId="0" applyFont="1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2" borderId="23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0" xfId="0" applyBorder="1"/>
    <xf numFmtId="0" fontId="0" fillId="0" borderId="3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left" vertical="center"/>
    </xf>
    <xf numFmtId="0" fontId="0" fillId="0" borderId="39" xfId="0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13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45" xfId="0" applyBorder="1"/>
    <xf numFmtId="0" fontId="0" fillId="2" borderId="1" xfId="0" applyFill="1" applyBorder="1" applyAlignment="1">
      <alignment horizontal="center"/>
    </xf>
    <xf numFmtId="0" fontId="0" fillId="0" borderId="17" xfId="0" applyBorder="1" applyAlignment="1">
      <alignment horizontal="left" vertical="center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0" fontId="0" fillId="2" borderId="21" xfId="0" applyFill="1" applyBorder="1" applyAlignment="1">
      <alignment horizontal="center"/>
    </xf>
    <xf numFmtId="0" fontId="0" fillId="0" borderId="30" xfId="0" applyFont="1" applyBorder="1" applyAlignment="1">
      <alignment horizontal="center" vertical="center"/>
    </xf>
    <xf numFmtId="49" fontId="0" fillId="0" borderId="31" xfId="0" applyNumberFormat="1" applyBorder="1" applyAlignment="1">
      <alignment horizontal="left" vertical="top" wrapText="1"/>
    </xf>
    <xf numFmtId="0" fontId="0" fillId="0" borderId="31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3" xfId="0" applyFont="1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5" xfId="0" applyNumberFormat="1" applyFill="1" applyBorder="1" applyAlignment="1" applyProtection="1">
      <alignment horizontal="center" vertical="center"/>
      <protection locked="0"/>
    </xf>
    <xf numFmtId="1" fontId="0" fillId="0" borderId="12" xfId="0" applyNumberFormat="1" applyFill="1" applyBorder="1" applyAlignment="1" applyProtection="1">
      <alignment horizontal="center" vertical="center"/>
      <protection locked="0"/>
    </xf>
    <xf numFmtId="1" fontId="0" fillId="0" borderId="26" xfId="0" applyNumberFormat="1" applyFill="1" applyBorder="1" applyAlignment="1" applyProtection="1">
      <alignment horizontal="center" vertical="center"/>
      <protection locked="0"/>
    </xf>
    <xf numFmtId="1" fontId="0" fillId="0" borderId="32" xfId="0" applyNumberFormat="1" applyFill="1" applyBorder="1" applyAlignment="1" applyProtection="1">
      <alignment horizontal="center" vertical="top"/>
      <protection locked="0"/>
    </xf>
    <xf numFmtId="1" fontId="0" fillId="0" borderId="12" xfId="0" applyNumberFormat="1" applyFill="1" applyBorder="1" applyAlignment="1" applyProtection="1">
      <alignment horizontal="center" vertical="top"/>
      <protection locked="0"/>
    </xf>
    <xf numFmtId="1" fontId="0" fillId="0" borderId="37" xfId="0" applyNumberFormat="1" applyFill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26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Fill="1" applyBorder="1" applyAlignment="1" applyProtection="1">
      <alignment horizontal="center" vertical="top"/>
      <protection locked="0"/>
    </xf>
    <xf numFmtId="1" fontId="0" fillId="0" borderId="32" xfId="0" applyNumberFormat="1" applyFill="1" applyBorder="1" applyAlignment="1" applyProtection="1">
      <alignment horizontal="center" vertical="center"/>
      <protection locked="0"/>
    </xf>
    <xf numFmtId="1" fontId="0" fillId="0" borderId="8" xfId="0" applyNumberFormat="1" applyFill="1" applyBorder="1" applyAlignment="1" applyProtection="1">
      <alignment horizontal="center"/>
      <protection locked="0"/>
    </xf>
    <xf numFmtId="1" fontId="0" fillId="0" borderId="8" xfId="0" applyNumberFormat="1" applyFill="1" applyBorder="1" applyAlignment="1" applyProtection="1">
      <alignment horizontal="center" vertical="top"/>
      <protection locked="0"/>
    </xf>
    <xf numFmtId="1" fontId="0" fillId="0" borderId="15" xfId="0" applyNumberFormat="1" applyFill="1" applyBorder="1" applyAlignment="1" applyProtection="1">
      <alignment horizontal="center" vertical="top"/>
      <protection locked="0"/>
    </xf>
    <xf numFmtId="1" fontId="0" fillId="0" borderId="26" xfId="0" applyNumberFormat="1" applyFill="1" applyBorder="1" applyAlignment="1" applyProtection="1">
      <alignment horizontal="center" vertical="top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8" xfId="0" applyNumberFormat="1" applyFill="1" applyBorder="1" applyAlignment="1" applyProtection="1">
      <alignment horizontal="center" vertical="center"/>
      <protection locked="0"/>
    </xf>
    <xf numFmtId="1" fontId="0" fillId="0" borderId="9" xfId="0" applyNumberFormat="1" applyFill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9" xfId="0" applyNumberFormat="1" applyFill="1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Fill="1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1" fillId="0" borderId="46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0" xfId="0" applyFill="1"/>
    <xf numFmtId="2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6" xfId="0" applyNumberFormat="1" applyBorder="1" applyAlignment="1">
      <alignment horizontal="center"/>
    </xf>
    <xf numFmtId="49" fontId="0" fillId="0" borderId="8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2" fontId="0" fillId="0" borderId="55" xfId="0" applyNumberFormat="1" applyBorder="1" applyAlignment="1">
      <alignment horizontal="center"/>
    </xf>
    <xf numFmtId="49" fontId="0" fillId="0" borderId="6" xfId="0" quotePrefix="1" applyNumberFormat="1" applyBorder="1" applyAlignment="1">
      <alignment horizontal="center"/>
    </xf>
    <xf numFmtId="49" fontId="0" fillId="0" borderId="8" xfId="0" quotePrefix="1" applyNumberFormat="1" applyBorder="1" applyAlignment="1">
      <alignment horizontal="center"/>
    </xf>
    <xf numFmtId="1" fontId="0" fillId="0" borderId="0" xfId="0" applyNumberFormat="1"/>
    <xf numFmtId="2" fontId="0" fillId="0" borderId="33" xfId="0" applyNumberFormat="1" applyBorder="1" applyAlignment="1">
      <alignment horizontal="center"/>
    </xf>
    <xf numFmtId="49" fontId="0" fillId="0" borderId="12" xfId="0" applyNumberFormat="1" applyBorder="1" applyAlignment="1">
      <alignment horizontal="center"/>
    </xf>
  </cellXfs>
  <cellStyles count="1">
    <cellStyle name="Normal" xfId="0" builtinId="0"/>
  </cellStyles>
  <dxfs count="20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M28"/>
  <sheetViews>
    <sheetView workbookViewId="0">
      <selection activeCell="C26" sqref="C26"/>
    </sheetView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13.28515625" customWidth="1"/>
    <col min="7" max="7" width="21.140625" customWidth="1"/>
    <col min="8" max="8" width="5.140625" customWidth="1"/>
    <col min="9" max="9" width="21.5703125" customWidth="1"/>
    <col min="12" max="12" width="10.28515625" customWidth="1"/>
    <col min="13" max="13" width="11.28515625" customWidth="1"/>
  </cols>
  <sheetData>
    <row r="1" spans="2:13" ht="18.75" x14ac:dyDescent="0.3">
      <c r="B1" s="8" t="s">
        <v>30</v>
      </c>
    </row>
    <row r="2" spans="2:13" ht="15.75" thickBot="1" x14ac:dyDescent="0.3"/>
    <row r="3" spans="2:13" s="9" customFormat="1" ht="36" customHeight="1" thickBot="1" x14ac:dyDescent="0.3">
      <c r="B3" s="12" t="s">
        <v>31</v>
      </c>
      <c r="C3" s="13" t="s">
        <v>32</v>
      </c>
      <c r="D3" s="13" t="s">
        <v>33</v>
      </c>
      <c r="E3" s="13" t="s">
        <v>34</v>
      </c>
      <c r="F3" s="13" t="s">
        <v>846</v>
      </c>
      <c r="G3" s="14" t="s">
        <v>847</v>
      </c>
    </row>
    <row r="4" spans="2:13" x14ac:dyDescent="0.25">
      <c r="B4" s="15" t="s">
        <v>0</v>
      </c>
      <c r="C4" s="10"/>
      <c r="D4" s="10"/>
      <c r="E4" s="10"/>
      <c r="F4" s="10"/>
      <c r="G4" s="16"/>
      <c r="I4" s="29"/>
      <c r="J4" s="30" t="s">
        <v>52</v>
      </c>
      <c r="K4" s="30" t="s">
        <v>53</v>
      </c>
      <c r="L4" s="31" t="s">
        <v>54</v>
      </c>
    </row>
    <row r="5" spans="2:13" x14ac:dyDescent="0.25">
      <c r="B5" s="17" t="s">
        <v>1</v>
      </c>
      <c r="C5" s="59">
        <f>LOOKUP(D5,'Age Equivalent'!B4:B66,'Age Equivalent'!C4:C66)</f>
        <v>10</v>
      </c>
      <c r="D5" s="59">
        <f>SUM(SC!D6:D15,SC!D17:D19,SC!D21:D26,SC!H6:H11,SC!H13:H18,SC!H20:H27)</f>
        <v>18</v>
      </c>
      <c r="E5" s="10"/>
      <c r="F5" s="10"/>
      <c r="G5" s="16"/>
      <c r="I5" s="251" t="s">
        <v>841</v>
      </c>
      <c r="J5" s="253"/>
      <c r="K5" s="257">
        <v>46242</v>
      </c>
      <c r="L5" s="258"/>
    </row>
    <row r="6" spans="2:13" ht="15.75" thickBot="1" x14ac:dyDescent="0.3">
      <c r="B6" s="75" t="s">
        <v>35</v>
      </c>
      <c r="C6" s="76">
        <f>LOOKUP(D6,'Age Equivalent'!E4:E52,'Age Equivalent'!F4:F52)</f>
        <v>48</v>
      </c>
      <c r="D6" s="77">
        <f>SUM(PR!D6:D9,PR!D11:D15,PR!D17:D19,PR!D21:D25,PR!H5,PR!H8:H18)</f>
        <v>20</v>
      </c>
      <c r="E6" s="76"/>
      <c r="F6" s="76"/>
      <c r="G6" s="78"/>
      <c r="I6" s="252" t="s">
        <v>842</v>
      </c>
      <c r="J6" s="254"/>
      <c r="K6" s="259">
        <v>45652</v>
      </c>
      <c r="L6" s="260"/>
    </row>
    <row r="7" spans="2:13" ht="16.5" thickTop="1" thickBot="1" x14ac:dyDescent="0.3">
      <c r="B7" s="200" t="s">
        <v>36</v>
      </c>
      <c r="C7" s="72"/>
      <c r="D7" s="131">
        <f>SUM(D5:D6)</f>
        <v>38</v>
      </c>
      <c r="E7" s="72"/>
      <c r="F7" s="73"/>
      <c r="G7" s="74"/>
      <c r="I7" s="15" t="s">
        <v>55</v>
      </c>
      <c r="J7" s="10">
        <f>INT(DATEDIF(K6,K5,"y"))</f>
        <v>1</v>
      </c>
      <c r="K7" s="10">
        <f>MOD(INT(DATEDIF(K6,K5,"m")),12)</f>
        <v>7</v>
      </c>
      <c r="L7" s="46">
        <f>MOD(DATEDIF(K6,K5,"d"),365)</f>
        <v>225</v>
      </c>
    </row>
    <row r="8" spans="2:13" ht="15.75" thickBot="1" x14ac:dyDescent="0.3">
      <c r="B8" s="22" t="s">
        <v>37</v>
      </c>
      <c r="C8" s="23"/>
      <c r="D8" s="23"/>
      <c r="E8" s="23"/>
      <c r="F8" s="24"/>
      <c r="G8" s="25"/>
      <c r="I8" s="32" t="s">
        <v>56</v>
      </c>
      <c r="J8" s="255"/>
      <c r="K8" s="19">
        <f>INT(DATEDIF(K6,K5,"m"))</f>
        <v>19</v>
      </c>
      <c r="L8" s="256"/>
    </row>
    <row r="9" spans="2:13" x14ac:dyDescent="0.25">
      <c r="B9" s="17" t="s">
        <v>38</v>
      </c>
      <c r="C9" s="10">
        <f>LOOKUP(D9,'Age Equivalent'!H4:H60,'Age Equivalent'!I4:I60)</f>
        <v>2</v>
      </c>
      <c r="D9" s="110">
        <f>SUM(AI!D6:D9,AI!D18,AI!D20:D22,AI!D24:D27,AI!H6:H11,AI!H13:H15,AI!H17:H25)</f>
        <v>8</v>
      </c>
      <c r="E9" s="10"/>
      <c r="F9" s="11"/>
      <c r="G9" s="16"/>
    </row>
    <row r="10" spans="2:13" x14ac:dyDescent="0.25">
      <c r="B10" s="17" t="s">
        <v>39</v>
      </c>
      <c r="C10" s="10">
        <f>LOOKUP(D10,'Age Equivalent'!K4:K54,'Age Equivalent'!L4:L54)</f>
        <v>25</v>
      </c>
      <c r="D10" s="110">
        <f>SUM(PI!D6:D7,PI!D9:D11,PI!D13:D15,PI!D21,PI!H6:H21)</f>
        <v>16</v>
      </c>
      <c r="E10" s="10"/>
      <c r="F10" s="11"/>
      <c r="G10" s="16"/>
    </row>
    <row r="11" spans="2:13" ht="15.75" thickBot="1" x14ac:dyDescent="0.3">
      <c r="B11" s="75" t="s">
        <v>40</v>
      </c>
      <c r="C11" s="76">
        <f>LOOKUP(D11,'Age Equivalent'!N4:N92,'Age Equivalent'!O4:O92)</f>
        <v>24</v>
      </c>
      <c r="D11" s="129">
        <f>SUM(SR!D6:D7,SR!D9:D10,SR!D12:D13,SR!D15:D24,SR!D26:D31,SR!D33:D35,SR!H5:H6,SR!H8:H13,SR!H15:H18,SR!H20:H33)</f>
        <v>30</v>
      </c>
      <c r="E11" s="76"/>
      <c r="F11" s="79"/>
      <c r="G11" s="78"/>
      <c r="I11" s="33" t="s">
        <v>57</v>
      </c>
    </row>
    <row r="12" spans="2:13" ht="16.5" thickTop="1" thickBot="1" x14ac:dyDescent="0.3">
      <c r="B12" s="200" t="s">
        <v>36</v>
      </c>
      <c r="C12" s="72"/>
      <c r="D12" s="130">
        <f>SUM(D9:D11)</f>
        <v>54</v>
      </c>
      <c r="E12" s="72"/>
      <c r="F12" s="73"/>
      <c r="G12" s="74"/>
      <c r="J12" s="34" t="s">
        <v>58</v>
      </c>
      <c r="K12" s="34" t="s">
        <v>59</v>
      </c>
      <c r="L12" s="34" t="s">
        <v>60</v>
      </c>
    </row>
    <row r="13" spans="2:13" x14ac:dyDescent="0.25">
      <c r="B13" s="22" t="s">
        <v>41</v>
      </c>
      <c r="C13" s="23"/>
      <c r="D13" s="23"/>
      <c r="E13" s="23"/>
      <c r="F13" s="24"/>
      <c r="G13" s="25"/>
      <c r="J13" s="35"/>
      <c r="K13" s="35"/>
      <c r="L13" s="35"/>
      <c r="M13" s="34" t="s">
        <v>61</v>
      </c>
    </row>
    <row r="14" spans="2:13" ht="15.75" thickBot="1" x14ac:dyDescent="0.3">
      <c r="B14" s="17" t="s">
        <v>42</v>
      </c>
      <c r="C14" s="10">
        <f>LOOKUP(D14,'Age Equivalent'!Q4:Q56,'Age Equivalent'!R4:R56)</f>
        <v>11</v>
      </c>
      <c r="D14" s="59">
        <f>SUM('RC'!D6:D11,'RC'!D13:D19,'RC'!D21:D24,'RC'!D26:D38,'RC'!H6:H17,'RC'!H19:H26)</f>
        <v>18</v>
      </c>
      <c r="E14" s="10"/>
      <c r="F14" s="11"/>
      <c r="G14" s="16"/>
      <c r="J14" s="35"/>
      <c r="K14" s="35"/>
      <c r="L14" s="35"/>
      <c r="M14" s="35"/>
    </row>
    <row r="15" spans="2:13" ht="15.75" thickBot="1" x14ac:dyDescent="0.3">
      <c r="B15" s="75" t="s">
        <v>43</v>
      </c>
      <c r="C15" s="76">
        <f>LOOKUP(D15,'Age Equivalent'!T4:T69,'Age Equivalent'!U4:U69)</f>
        <v>21</v>
      </c>
      <c r="D15" s="77">
        <f>SUM(EC!D6:D9,EC!D11:D17,EC!D19:D25,EC!D27:D40,EC!H6:H14,EC!H16:H35)</f>
        <v>27</v>
      </c>
      <c r="E15" s="76"/>
      <c r="F15" s="79"/>
      <c r="G15" s="78"/>
      <c r="I15" s="4" t="str">
        <f>B4</f>
        <v>Adaptive (ADP)</v>
      </c>
      <c r="J15" s="27"/>
      <c r="K15" s="36"/>
      <c r="L15" s="36"/>
      <c r="M15" s="37">
        <v>0</v>
      </c>
    </row>
    <row r="16" spans="2:13" ht="16.5" thickTop="1" thickBot="1" x14ac:dyDescent="0.3">
      <c r="B16" s="200" t="s">
        <v>36</v>
      </c>
      <c r="C16" s="72"/>
      <c r="D16" s="130">
        <f>SUM(D14:D15)</f>
        <v>45</v>
      </c>
      <c r="E16" s="72"/>
      <c r="F16" s="73"/>
      <c r="G16" s="74"/>
      <c r="I16" s="4" t="str">
        <f>B8</f>
        <v>Personal Social (P-S)</v>
      </c>
      <c r="J16" s="17"/>
      <c r="K16" s="11"/>
      <c r="L16" s="11"/>
      <c r="M16" s="16"/>
    </row>
    <row r="17" spans="2:13" x14ac:dyDescent="0.25">
      <c r="B17" s="22" t="s">
        <v>44</v>
      </c>
      <c r="C17" s="23"/>
      <c r="D17" s="24"/>
      <c r="E17" s="23"/>
      <c r="F17" s="24"/>
      <c r="G17" s="25"/>
      <c r="I17" s="4" t="str">
        <f>B13</f>
        <v>Communication (COM)</v>
      </c>
      <c r="J17" s="17"/>
      <c r="K17" s="11"/>
      <c r="L17" s="11"/>
      <c r="M17" s="16"/>
    </row>
    <row r="18" spans="2:13" x14ac:dyDescent="0.25">
      <c r="B18" s="17" t="s">
        <v>45</v>
      </c>
      <c r="C18" s="10">
        <f>LOOKUP(D18,'Age Equivalent'!W4:W96,'Age Equivalent'!X4:X96)</f>
        <v>0</v>
      </c>
      <c r="D18" s="59">
        <f>SUM(GM!D6:D13,GM!D15:D26,GM!D28:D35,GM!H6:H10,GM!H12:H15,GM!H17:H22,GM!H24:H27,GM!H29:H38)</f>
        <v>0</v>
      </c>
      <c r="E18" s="10"/>
      <c r="F18" s="11"/>
      <c r="G18" s="16"/>
      <c r="I18" s="4" t="str">
        <f>B17</f>
        <v>Motor (MOT)</v>
      </c>
      <c r="J18" s="17"/>
      <c r="K18" s="11"/>
      <c r="L18" s="11"/>
      <c r="M18" s="16"/>
    </row>
    <row r="19" spans="2:13" x14ac:dyDescent="0.25">
      <c r="B19" s="17" t="s">
        <v>46</v>
      </c>
      <c r="C19" s="10">
        <f>LOOKUP(D19,'Age Equivalent'!Z4:Z64,'Age Equivalent'!AA4:AA64)</f>
        <v>0</v>
      </c>
      <c r="D19" s="59">
        <f>SUM(FM!D6:D12,FM!D14:D18,FM!D20:D22,FM!D24:D25,FM!D27:D31,FM!H6:H12,FM!H14:H24)</f>
        <v>0</v>
      </c>
      <c r="E19" s="10"/>
      <c r="F19" s="11"/>
      <c r="G19" s="16"/>
      <c r="I19" s="4" t="str">
        <f>B22</f>
        <v>Cognitive (COG)</v>
      </c>
      <c r="J19" s="17"/>
      <c r="K19" s="11"/>
      <c r="L19" s="11"/>
      <c r="M19" s="16"/>
    </row>
    <row r="20" spans="2:13" ht="15.75" thickBot="1" x14ac:dyDescent="0.3">
      <c r="B20" s="75">
        <f>LOOKUP(D20,'Age Equivalent'!AC4:AC54,'Age Equivalent'!AD4:AD54)</f>
        <v>0</v>
      </c>
      <c r="C20" s="76">
        <f>LOOKUP(D20,'Age Equivalent'!AC4:AC34,'Age Equivalent'!AD4:AD34)</f>
        <v>0</v>
      </c>
      <c r="D20" s="77">
        <f>SUM(PM!D6:D7,PM!D9:D10,PM!D12:D13,PM!D15:D17,PM!D19:D20,PM!H6:H8,PM!H10:H20)</f>
        <v>0</v>
      </c>
      <c r="E20" s="76"/>
      <c r="F20" s="79"/>
      <c r="G20" s="78"/>
      <c r="I20" s="4" t="str">
        <f>B28</f>
        <v>DDI-2 Total</v>
      </c>
      <c r="J20" s="28"/>
      <c r="K20" s="20"/>
      <c r="L20" s="20"/>
      <c r="M20" s="21"/>
    </row>
    <row r="21" spans="2:13" ht="16.5" thickTop="1" thickBot="1" x14ac:dyDescent="0.3">
      <c r="B21" s="200" t="s">
        <v>36</v>
      </c>
      <c r="C21" s="72"/>
      <c r="D21" s="130">
        <f>SUM(D18:D20)</f>
        <v>0</v>
      </c>
      <c r="E21" s="72"/>
      <c r="F21" s="73"/>
      <c r="G21" s="74"/>
    </row>
    <row r="22" spans="2:13" x14ac:dyDescent="0.25">
      <c r="B22" s="22" t="s">
        <v>47</v>
      </c>
      <c r="C22" s="23"/>
      <c r="D22" s="24"/>
      <c r="E22" s="23"/>
      <c r="F22" s="24"/>
      <c r="G22" s="25"/>
    </row>
    <row r="23" spans="2:13" x14ac:dyDescent="0.25">
      <c r="B23" s="17" t="s">
        <v>48</v>
      </c>
      <c r="C23" s="10">
        <f>LOOKUP(D23,'Age Equivalent'!AF4:AF64,'Age Equivalent'!AG4:AG64)</f>
        <v>0</v>
      </c>
      <c r="D23" s="59">
        <f>SUM(AM!D6:D10,AM!D12:D13,AM!D15:D17,AM!D19:D23,AM!D25:D26,AM!D28:D29,AM!D31:D43,AM!H6:H30)</f>
        <v>0</v>
      </c>
      <c r="E23" s="10"/>
      <c r="F23" s="11"/>
      <c r="G23" s="16"/>
    </row>
    <row r="24" spans="2:13" x14ac:dyDescent="0.25">
      <c r="B24" s="17" t="s">
        <v>49</v>
      </c>
      <c r="C24" s="10">
        <f>LOOKUP(D24,'Age Equivalent'!AI4:AI40,'Age Equivalent'!AJ4:AJ40)</f>
        <v>0</v>
      </c>
      <c r="D24" s="59">
        <f>SUM(RA!D6:D8,RA!D10:D16,RA!D18:D26,RA!H6:H26)</f>
        <v>0</v>
      </c>
      <c r="E24" s="10"/>
      <c r="F24" s="11"/>
      <c r="G24" s="16"/>
    </row>
    <row r="25" spans="2:13" ht="15.75" thickBot="1" x14ac:dyDescent="0.3">
      <c r="B25" s="75" t="s">
        <v>50</v>
      </c>
      <c r="C25" s="76">
        <f>LOOKUP(D25,'Age Equivalent'!AL4:AL52,'Age Equivalent'!AM4:AM52)</f>
        <v>0</v>
      </c>
      <c r="D25" s="77">
        <f>SUM(PC!D6:D8,PC!D10:D11,PC!D13:D14,PC!D16:D25,PC!D27:D33,PC!H6:H20,PC!H22:H39)</f>
        <v>0</v>
      </c>
      <c r="E25" s="76"/>
      <c r="F25" s="79"/>
      <c r="G25" s="78"/>
    </row>
    <row r="26" spans="2:13" ht="16.5" thickTop="1" thickBot="1" x14ac:dyDescent="0.3">
      <c r="B26" s="200" t="s">
        <v>36</v>
      </c>
      <c r="C26" s="72"/>
      <c r="D26" s="130">
        <f>SUM(D23:D25)</f>
        <v>0</v>
      </c>
      <c r="E26" s="72"/>
      <c r="F26" s="73"/>
      <c r="G26" s="74"/>
    </row>
    <row r="27" spans="2:13" x14ac:dyDescent="0.25">
      <c r="B27" s="26"/>
      <c r="C27" s="23"/>
      <c r="D27" s="24"/>
      <c r="E27" s="23"/>
      <c r="F27" s="24"/>
      <c r="G27" s="25"/>
    </row>
    <row r="28" spans="2:13" ht="15.75" thickBot="1" x14ac:dyDescent="0.3">
      <c r="B28" s="18" t="s">
        <v>51</v>
      </c>
      <c r="C28" s="19"/>
      <c r="D28" s="20"/>
      <c r="E28" s="19"/>
      <c r="F28" s="20"/>
      <c r="G28" s="21"/>
    </row>
  </sheetData>
  <sheetProtection selectLockedCells="1"/>
  <mergeCells count="8">
    <mergeCell ref="J12:J14"/>
    <mergeCell ref="K12:K14"/>
    <mergeCell ref="L12:L14"/>
    <mergeCell ref="M13:M14"/>
    <mergeCell ref="I5:J5"/>
    <mergeCell ref="I6:J6"/>
    <mergeCell ref="K5:L5"/>
    <mergeCell ref="K6:L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O343"/>
  <sheetViews>
    <sheetView tabSelected="1" workbookViewId="0">
      <selection activeCell="E1" sqref="E1"/>
    </sheetView>
  </sheetViews>
  <sheetFormatPr defaultRowHeight="15" x14ac:dyDescent="0.25"/>
  <cols>
    <col min="5" max="5" width="9.140625" style="278"/>
    <col min="6" max="6" width="9.140625" style="2"/>
    <col min="7" max="7" width="9.140625" style="279"/>
    <col min="14" max="15" width="9.140625" style="2"/>
  </cols>
  <sheetData>
    <row r="1" spans="1:15" x14ac:dyDescent="0.25">
      <c r="A1" t="s">
        <v>861</v>
      </c>
      <c r="B1" s="277"/>
    </row>
    <row r="2" spans="1:15" x14ac:dyDescent="0.25">
      <c r="B2" s="277"/>
    </row>
    <row r="3" spans="1:15" x14ac:dyDescent="0.25">
      <c r="B3" s="277"/>
    </row>
    <row r="4" spans="1:15" ht="15.75" thickBot="1" x14ac:dyDescent="0.3">
      <c r="J4" t="s">
        <v>53</v>
      </c>
      <c r="K4" t="s">
        <v>3</v>
      </c>
      <c r="L4" t="s">
        <v>880</v>
      </c>
      <c r="N4" s="2" t="s">
        <v>881</v>
      </c>
      <c r="O4" s="2" t="s">
        <v>882</v>
      </c>
    </row>
    <row r="5" spans="1:15" x14ac:dyDescent="0.25">
      <c r="E5" s="283">
        <v>1</v>
      </c>
      <c r="F5" s="262">
        <v>2</v>
      </c>
      <c r="G5" s="286" t="s">
        <v>862</v>
      </c>
      <c r="J5" s="288">
        <v>8</v>
      </c>
      <c r="K5" s="288">
        <v>5</v>
      </c>
      <c r="L5">
        <f>J5+0.01*K5</f>
        <v>8.0500000000000007</v>
      </c>
      <c r="N5" s="2">
        <f>LOOKUP(L5,E5:E249,F5:F249)</f>
        <v>5</v>
      </c>
      <c r="O5" s="2" t="str">
        <f>LOOKUP(L5,E5:E249,G5:G249)</f>
        <v>5</v>
      </c>
    </row>
    <row r="6" spans="1:15" x14ac:dyDescent="0.25">
      <c r="E6" s="284">
        <v>1.01</v>
      </c>
      <c r="F6" s="263">
        <v>4</v>
      </c>
      <c r="G6" s="287" t="s">
        <v>863</v>
      </c>
    </row>
    <row r="7" spans="1:15" x14ac:dyDescent="0.25">
      <c r="E7" s="284">
        <v>1.02</v>
      </c>
      <c r="F7" s="263">
        <v>6</v>
      </c>
      <c r="G7" s="281" t="s">
        <v>864</v>
      </c>
    </row>
    <row r="8" spans="1:15" x14ac:dyDescent="0.25">
      <c r="E8" s="284">
        <v>1.03</v>
      </c>
      <c r="F8" s="263">
        <v>8</v>
      </c>
      <c r="G8" s="281" t="s">
        <v>865</v>
      </c>
    </row>
    <row r="9" spans="1:15" x14ac:dyDescent="0.25">
      <c r="E9" s="284">
        <v>1.04</v>
      </c>
      <c r="F9" s="263">
        <v>10</v>
      </c>
      <c r="G9" s="281" t="s">
        <v>866</v>
      </c>
    </row>
    <row r="10" spans="1:15" x14ac:dyDescent="0.25">
      <c r="E10" s="284">
        <v>1.05</v>
      </c>
      <c r="F10" s="263">
        <v>11</v>
      </c>
      <c r="G10" s="281" t="s">
        <v>867</v>
      </c>
    </row>
    <row r="11" spans="1:15" x14ac:dyDescent="0.25">
      <c r="E11" s="284">
        <v>1.06</v>
      </c>
      <c r="F11" s="263">
        <v>12</v>
      </c>
      <c r="G11" s="281" t="s">
        <v>868</v>
      </c>
    </row>
    <row r="12" spans="1:15" x14ac:dyDescent="0.25">
      <c r="E12" s="284">
        <v>1.07</v>
      </c>
      <c r="F12" s="263">
        <v>13</v>
      </c>
      <c r="G12" s="281" t="s">
        <v>869</v>
      </c>
    </row>
    <row r="13" spans="1:15" x14ac:dyDescent="0.25">
      <c r="E13" s="284">
        <v>1.08</v>
      </c>
      <c r="F13" s="263">
        <v>14</v>
      </c>
      <c r="G13" s="281" t="s">
        <v>870</v>
      </c>
    </row>
    <row r="14" spans="1:15" x14ac:dyDescent="0.25">
      <c r="E14" s="284">
        <v>1.0900000000000001</v>
      </c>
      <c r="F14" s="263">
        <v>15</v>
      </c>
      <c r="G14" s="281" t="s">
        <v>871</v>
      </c>
    </row>
    <row r="15" spans="1:15" x14ac:dyDescent="0.25">
      <c r="E15" s="284">
        <v>1.1000000000000001</v>
      </c>
      <c r="F15" s="263">
        <v>16</v>
      </c>
      <c r="G15" s="281" t="s">
        <v>872</v>
      </c>
    </row>
    <row r="16" spans="1:15" x14ac:dyDescent="0.25">
      <c r="E16" s="284">
        <v>1.1100000000000001</v>
      </c>
      <c r="F16" s="263">
        <v>17</v>
      </c>
      <c r="G16" s="281" t="s">
        <v>873</v>
      </c>
    </row>
    <row r="17" spans="5:7" x14ac:dyDescent="0.25">
      <c r="E17" s="284">
        <v>1.1200000000000001</v>
      </c>
      <c r="F17" s="263">
        <v>18</v>
      </c>
      <c r="G17" s="281" t="s">
        <v>874</v>
      </c>
    </row>
    <row r="18" spans="5:7" x14ac:dyDescent="0.25">
      <c r="E18" s="284">
        <v>1.1299999999999999</v>
      </c>
      <c r="F18" s="263">
        <v>19</v>
      </c>
      <c r="G18" s="281" t="s">
        <v>874</v>
      </c>
    </row>
    <row r="19" spans="5:7" x14ac:dyDescent="0.25">
      <c r="E19" s="284">
        <v>2</v>
      </c>
      <c r="F19" s="263">
        <v>2</v>
      </c>
      <c r="G19" s="281" t="s">
        <v>862</v>
      </c>
    </row>
    <row r="20" spans="5:7" x14ac:dyDescent="0.25">
      <c r="E20" s="284">
        <v>2.0099999999999998</v>
      </c>
      <c r="F20" s="263">
        <v>4</v>
      </c>
      <c r="G20" s="281" t="s">
        <v>863</v>
      </c>
    </row>
    <row r="21" spans="5:7" x14ac:dyDescent="0.25">
      <c r="E21" s="284">
        <v>2.02</v>
      </c>
      <c r="F21" s="263">
        <v>6</v>
      </c>
      <c r="G21" s="281" t="s">
        <v>864</v>
      </c>
    </row>
    <row r="22" spans="5:7" x14ac:dyDescent="0.25">
      <c r="E22" s="284">
        <v>2.0299999999999998</v>
      </c>
      <c r="F22" s="263">
        <v>8</v>
      </c>
      <c r="G22" s="281" t="s">
        <v>865</v>
      </c>
    </row>
    <row r="23" spans="5:7" x14ac:dyDescent="0.25">
      <c r="E23" s="284">
        <v>2.04</v>
      </c>
      <c r="F23" s="263">
        <v>10</v>
      </c>
      <c r="G23" s="281" t="s">
        <v>866</v>
      </c>
    </row>
    <row r="24" spans="5:7" x14ac:dyDescent="0.25">
      <c r="E24" s="284">
        <v>2.0499999999999998</v>
      </c>
      <c r="F24" s="263">
        <v>11</v>
      </c>
      <c r="G24" s="281" t="s">
        <v>867</v>
      </c>
    </row>
    <row r="25" spans="5:7" x14ac:dyDescent="0.25">
      <c r="E25" s="284">
        <v>2.06</v>
      </c>
      <c r="F25" s="263">
        <v>12</v>
      </c>
      <c r="G25" s="281" t="s">
        <v>868</v>
      </c>
    </row>
    <row r="26" spans="5:7" x14ac:dyDescent="0.25">
      <c r="E26" s="284">
        <v>2.0699999999999998</v>
      </c>
      <c r="F26" s="263">
        <v>13</v>
      </c>
      <c r="G26" s="281" t="s">
        <v>869</v>
      </c>
    </row>
    <row r="27" spans="5:7" x14ac:dyDescent="0.25">
      <c r="E27" s="284">
        <v>2.08</v>
      </c>
      <c r="F27" s="263">
        <v>14</v>
      </c>
      <c r="G27" s="281" t="s">
        <v>870</v>
      </c>
    </row>
    <row r="28" spans="5:7" x14ac:dyDescent="0.25">
      <c r="E28" s="284">
        <v>2.09</v>
      </c>
      <c r="F28" s="263">
        <v>15</v>
      </c>
      <c r="G28" s="281" t="s">
        <v>871</v>
      </c>
    </row>
    <row r="29" spans="5:7" x14ac:dyDescent="0.25">
      <c r="E29" s="284">
        <v>2.1</v>
      </c>
      <c r="F29" s="263">
        <v>16</v>
      </c>
      <c r="G29" s="281" t="s">
        <v>872</v>
      </c>
    </row>
    <row r="30" spans="5:7" x14ac:dyDescent="0.25">
      <c r="E30" s="284">
        <v>2.11</v>
      </c>
      <c r="F30" s="263">
        <v>17</v>
      </c>
      <c r="G30" s="281" t="s">
        <v>873</v>
      </c>
    </row>
    <row r="31" spans="5:7" x14ac:dyDescent="0.25">
      <c r="E31" s="284">
        <v>2.12</v>
      </c>
      <c r="F31" s="263">
        <v>18</v>
      </c>
      <c r="G31" s="281" t="s">
        <v>875</v>
      </c>
    </row>
    <row r="32" spans="5:7" x14ac:dyDescent="0.25">
      <c r="E32" s="284">
        <v>2.13</v>
      </c>
      <c r="F32" s="263">
        <v>19</v>
      </c>
      <c r="G32" s="281" t="s">
        <v>874</v>
      </c>
    </row>
    <row r="33" spans="5:7" x14ac:dyDescent="0.25">
      <c r="E33" s="284">
        <v>3</v>
      </c>
      <c r="F33" s="263">
        <v>1</v>
      </c>
      <c r="G33" s="281" t="s">
        <v>862</v>
      </c>
    </row>
    <row r="34" spans="5:7" x14ac:dyDescent="0.25">
      <c r="E34" s="284">
        <f>E33+0.01</f>
        <v>3.01</v>
      </c>
      <c r="F34" s="263">
        <v>3</v>
      </c>
      <c r="G34" s="281" t="s">
        <v>876</v>
      </c>
    </row>
    <row r="35" spans="5:7" x14ac:dyDescent="0.25">
      <c r="E35" s="284">
        <f t="shared" ref="E35:E46" si="0">E34+0.01</f>
        <v>3.0199999999999996</v>
      </c>
      <c r="F35" s="263">
        <v>5</v>
      </c>
      <c r="G35" s="281" t="s">
        <v>877</v>
      </c>
    </row>
    <row r="36" spans="5:7" x14ac:dyDescent="0.25">
      <c r="E36" s="284">
        <f t="shared" si="0"/>
        <v>3.0299999999999994</v>
      </c>
      <c r="F36" s="263">
        <v>7</v>
      </c>
      <c r="G36" s="281" t="s">
        <v>878</v>
      </c>
    </row>
    <row r="37" spans="5:7" x14ac:dyDescent="0.25">
      <c r="E37" s="284">
        <f t="shared" si="0"/>
        <v>3.0399999999999991</v>
      </c>
      <c r="F37" s="263">
        <v>9</v>
      </c>
      <c r="G37" s="281" t="s">
        <v>879</v>
      </c>
    </row>
    <row r="38" spans="5:7" x14ac:dyDescent="0.25">
      <c r="E38" s="284">
        <f t="shared" si="0"/>
        <v>3.0499999999999989</v>
      </c>
      <c r="F38" s="263">
        <v>10</v>
      </c>
      <c r="G38" s="281" t="s">
        <v>866</v>
      </c>
    </row>
    <row r="39" spans="5:7" x14ac:dyDescent="0.25">
      <c r="E39" s="284">
        <f t="shared" si="0"/>
        <v>3.0599999999999987</v>
      </c>
      <c r="F39" s="263">
        <v>11</v>
      </c>
      <c r="G39" s="281" t="s">
        <v>867</v>
      </c>
    </row>
    <row r="40" spans="5:7" x14ac:dyDescent="0.25">
      <c r="E40" s="284">
        <f t="shared" si="0"/>
        <v>3.0699999999999985</v>
      </c>
      <c r="F40" s="263">
        <v>12</v>
      </c>
      <c r="G40" s="281" t="s">
        <v>868</v>
      </c>
    </row>
    <row r="41" spans="5:7" x14ac:dyDescent="0.25">
      <c r="E41" s="284">
        <f t="shared" si="0"/>
        <v>3.0799999999999983</v>
      </c>
      <c r="F41" s="263">
        <v>13</v>
      </c>
      <c r="G41" s="281" t="s">
        <v>869</v>
      </c>
    </row>
    <row r="42" spans="5:7" x14ac:dyDescent="0.25">
      <c r="E42" s="284">
        <f t="shared" si="0"/>
        <v>3.0899999999999981</v>
      </c>
      <c r="F42" s="263">
        <v>14</v>
      </c>
      <c r="G42" s="281" t="s">
        <v>870</v>
      </c>
    </row>
    <row r="43" spans="5:7" x14ac:dyDescent="0.25">
      <c r="E43" s="284">
        <f t="shared" si="0"/>
        <v>3.0999999999999979</v>
      </c>
      <c r="F43" s="263">
        <v>15</v>
      </c>
      <c r="G43" s="281" t="s">
        <v>871</v>
      </c>
    </row>
    <row r="44" spans="5:7" x14ac:dyDescent="0.25">
      <c r="E44" s="284">
        <f t="shared" si="0"/>
        <v>3.1099999999999977</v>
      </c>
      <c r="F44" s="263">
        <v>16</v>
      </c>
      <c r="G44" s="281" t="s">
        <v>872</v>
      </c>
    </row>
    <row r="45" spans="5:7" x14ac:dyDescent="0.25">
      <c r="E45" s="284">
        <f t="shared" si="0"/>
        <v>3.1199999999999974</v>
      </c>
      <c r="F45" s="263">
        <v>17</v>
      </c>
      <c r="G45" s="281" t="s">
        <v>873</v>
      </c>
    </row>
    <row r="46" spans="5:7" x14ac:dyDescent="0.25">
      <c r="E46" s="284">
        <f t="shared" si="0"/>
        <v>3.1299999999999972</v>
      </c>
      <c r="F46" s="263">
        <v>18</v>
      </c>
      <c r="G46" s="281" t="s">
        <v>874</v>
      </c>
    </row>
    <row r="47" spans="5:7" ht="15.75" thickBot="1" x14ac:dyDescent="0.3">
      <c r="E47" s="285">
        <v>3.14</v>
      </c>
      <c r="F47" s="261">
        <v>19</v>
      </c>
      <c r="G47" s="282" t="s">
        <v>874</v>
      </c>
    </row>
    <row r="48" spans="5:7" x14ac:dyDescent="0.25">
      <c r="E48" s="283">
        <v>4</v>
      </c>
      <c r="F48" s="262">
        <v>1</v>
      </c>
      <c r="G48" s="280" t="s">
        <v>862</v>
      </c>
    </row>
    <row r="49" spans="5:8" x14ac:dyDescent="0.25">
      <c r="E49" s="284">
        <f>E48+0.01</f>
        <v>4.01</v>
      </c>
      <c r="F49" s="263">
        <v>3</v>
      </c>
      <c r="G49" s="281" t="s">
        <v>876</v>
      </c>
      <c r="H49" t="s">
        <v>4</v>
      </c>
    </row>
    <row r="50" spans="5:8" x14ac:dyDescent="0.25">
      <c r="E50" s="284">
        <f t="shared" ref="E50:E62" si="1">E49+0.01</f>
        <v>4.0199999999999996</v>
      </c>
      <c r="F50" s="263">
        <v>5</v>
      </c>
      <c r="G50" s="281" t="s">
        <v>877</v>
      </c>
    </row>
    <row r="51" spans="5:8" x14ac:dyDescent="0.25">
      <c r="E51" s="284">
        <f t="shared" si="1"/>
        <v>4.0299999999999994</v>
      </c>
      <c r="F51" s="263">
        <v>7</v>
      </c>
      <c r="G51" s="281" t="s">
        <v>878</v>
      </c>
    </row>
    <row r="52" spans="5:8" x14ac:dyDescent="0.25">
      <c r="E52" s="284">
        <f t="shared" si="1"/>
        <v>4.0399999999999991</v>
      </c>
      <c r="F52" s="263">
        <v>9</v>
      </c>
      <c r="G52" s="281" t="s">
        <v>879</v>
      </c>
    </row>
    <row r="53" spans="5:8" x14ac:dyDescent="0.25">
      <c r="E53" s="284">
        <f t="shared" si="1"/>
        <v>4.0499999999999989</v>
      </c>
      <c r="F53" s="263">
        <v>10</v>
      </c>
      <c r="G53" s="281" t="s">
        <v>866</v>
      </c>
    </row>
    <row r="54" spans="5:8" x14ac:dyDescent="0.25">
      <c r="E54" s="284">
        <f t="shared" si="1"/>
        <v>4.0599999999999987</v>
      </c>
      <c r="F54" s="263">
        <v>11</v>
      </c>
      <c r="G54" s="281" t="s">
        <v>867</v>
      </c>
    </row>
    <row r="55" spans="5:8" x14ac:dyDescent="0.25">
      <c r="E55" s="284">
        <f t="shared" si="1"/>
        <v>4.0699999999999985</v>
      </c>
      <c r="F55" s="263">
        <v>12</v>
      </c>
      <c r="G55" s="281" t="s">
        <v>868</v>
      </c>
    </row>
    <row r="56" spans="5:8" x14ac:dyDescent="0.25">
      <c r="E56" s="284">
        <f t="shared" si="1"/>
        <v>4.0799999999999983</v>
      </c>
      <c r="F56" s="263">
        <v>13</v>
      </c>
      <c r="G56" s="281" t="s">
        <v>869</v>
      </c>
    </row>
    <row r="57" spans="5:8" x14ac:dyDescent="0.25">
      <c r="E57" s="284">
        <f t="shared" si="1"/>
        <v>4.0899999999999981</v>
      </c>
      <c r="F57" s="263">
        <v>14</v>
      </c>
      <c r="G57" s="281" t="s">
        <v>870</v>
      </c>
    </row>
    <row r="58" spans="5:8" x14ac:dyDescent="0.25">
      <c r="E58" s="284">
        <f t="shared" si="1"/>
        <v>4.0999999999999979</v>
      </c>
      <c r="F58" s="263">
        <v>15</v>
      </c>
      <c r="G58" s="281" t="s">
        <v>871</v>
      </c>
    </row>
    <row r="59" spans="5:8" x14ac:dyDescent="0.25">
      <c r="E59" s="284">
        <f t="shared" si="1"/>
        <v>4.1099999999999977</v>
      </c>
      <c r="F59" s="263">
        <v>16</v>
      </c>
      <c r="G59" s="281" t="s">
        <v>872</v>
      </c>
    </row>
    <row r="60" spans="5:8" x14ac:dyDescent="0.25">
      <c r="E60" s="284">
        <f t="shared" si="1"/>
        <v>4.1199999999999974</v>
      </c>
      <c r="F60" s="263">
        <v>17</v>
      </c>
      <c r="G60" s="281" t="s">
        <v>873</v>
      </c>
    </row>
    <row r="61" spans="5:8" x14ac:dyDescent="0.25">
      <c r="E61" s="284">
        <f t="shared" si="1"/>
        <v>4.1299999999999972</v>
      </c>
      <c r="F61" s="263">
        <v>18</v>
      </c>
      <c r="G61" s="281" t="s">
        <v>874</v>
      </c>
    </row>
    <row r="62" spans="5:8" ht="15.75" thickBot="1" x14ac:dyDescent="0.3">
      <c r="E62" s="285">
        <v>4.16</v>
      </c>
      <c r="F62" s="261">
        <v>19</v>
      </c>
      <c r="G62" s="282" t="s">
        <v>874</v>
      </c>
    </row>
    <row r="63" spans="5:8" x14ac:dyDescent="0.25">
      <c r="E63" s="283">
        <v>5</v>
      </c>
      <c r="F63" s="262">
        <v>1</v>
      </c>
      <c r="G63" s="280" t="s">
        <v>862</v>
      </c>
    </row>
    <row r="64" spans="5:8" x14ac:dyDescent="0.25">
      <c r="E64" s="284">
        <f>E63+0.01</f>
        <v>5.01</v>
      </c>
      <c r="F64" s="263">
        <v>3</v>
      </c>
      <c r="G64" s="281" t="s">
        <v>876</v>
      </c>
    </row>
    <row r="65" spans="5:8" x14ac:dyDescent="0.25">
      <c r="E65" s="284">
        <f t="shared" ref="E65:E76" si="2">E64+0.01</f>
        <v>5.0199999999999996</v>
      </c>
      <c r="F65" s="263">
        <v>4</v>
      </c>
      <c r="G65" s="281" t="s">
        <v>863</v>
      </c>
    </row>
    <row r="66" spans="5:8" x14ac:dyDescent="0.25">
      <c r="E66" s="284">
        <f t="shared" si="2"/>
        <v>5.0299999999999994</v>
      </c>
      <c r="F66" s="263">
        <v>6</v>
      </c>
      <c r="G66" s="281" t="s">
        <v>864</v>
      </c>
    </row>
    <row r="67" spans="5:8" x14ac:dyDescent="0.25">
      <c r="E67" s="284">
        <f t="shared" si="2"/>
        <v>5.0399999999999991</v>
      </c>
      <c r="F67" s="263">
        <v>7</v>
      </c>
      <c r="G67" s="281" t="s">
        <v>878</v>
      </c>
    </row>
    <row r="68" spans="5:8" x14ac:dyDescent="0.25">
      <c r="E68" s="284">
        <f t="shared" si="2"/>
        <v>5.0499999999999989</v>
      </c>
      <c r="F68" s="263">
        <v>8</v>
      </c>
      <c r="G68" s="281" t="s">
        <v>865</v>
      </c>
    </row>
    <row r="69" spans="5:8" x14ac:dyDescent="0.25">
      <c r="E69" s="284">
        <f t="shared" si="2"/>
        <v>5.0599999999999987</v>
      </c>
      <c r="F69" s="263">
        <v>9</v>
      </c>
      <c r="G69" s="281" t="s">
        <v>879</v>
      </c>
    </row>
    <row r="70" spans="5:8" x14ac:dyDescent="0.25">
      <c r="E70" s="284">
        <f t="shared" si="2"/>
        <v>5.0699999999999985</v>
      </c>
      <c r="F70" s="263">
        <v>10</v>
      </c>
      <c r="G70" s="281" t="s">
        <v>866</v>
      </c>
    </row>
    <row r="71" spans="5:8" x14ac:dyDescent="0.25">
      <c r="E71" s="284">
        <f t="shared" si="2"/>
        <v>5.0799999999999983</v>
      </c>
      <c r="F71" s="263">
        <v>11</v>
      </c>
      <c r="G71" s="281" t="s">
        <v>867</v>
      </c>
    </row>
    <row r="72" spans="5:8" x14ac:dyDescent="0.25">
      <c r="E72" s="284">
        <f t="shared" si="2"/>
        <v>5.0899999999999981</v>
      </c>
      <c r="F72" s="263">
        <v>12</v>
      </c>
      <c r="G72" s="281" t="s">
        <v>868</v>
      </c>
    </row>
    <row r="73" spans="5:8" x14ac:dyDescent="0.25">
      <c r="E73" s="284">
        <f t="shared" si="2"/>
        <v>5.0999999999999979</v>
      </c>
      <c r="F73" s="263">
        <v>13</v>
      </c>
      <c r="G73" s="281" t="s">
        <v>869</v>
      </c>
    </row>
    <row r="74" spans="5:8" x14ac:dyDescent="0.25">
      <c r="E74" s="284">
        <f t="shared" si="2"/>
        <v>5.1099999999999977</v>
      </c>
      <c r="F74" s="263">
        <v>14</v>
      </c>
      <c r="G74" s="281" t="s">
        <v>870</v>
      </c>
    </row>
    <row r="75" spans="5:8" x14ac:dyDescent="0.25">
      <c r="E75" s="284">
        <f t="shared" si="2"/>
        <v>5.1199999999999974</v>
      </c>
      <c r="F75" s="263">
        <v>15</v>
      </c>
      <c r="G75" s="281" t="s">
        <v>871</v>
      </c>
    </row>
    <row r="76" spans="5:8" x14ac:dyDescent="0.25">
      <c r="E76" s="284">
        <f t="shared" si="2"/>
        <v>5.1299999999999972</v>
      </c>
      <c r="F76" s="263">
        <v>16</v>
      </c>
      <c r="G76" s="281" t="s">
        <v>872</v>
      </c>
    </row>
    <row r="77" spans="5:8" x14ac:dyDescent="0.25">
      <c r="E77" s="284">
        <v>5.15</v>
      </c>
      <c r="F77" s="263">
        <v>17</v>
      </c>
      <c r="G77" s="281" t="s">
        <v>873</v>
      </c>
    </row>
    <row r="78" spans="5:8" x14ac:dyDescent="0.25">
      <c r="E78" s="284">
        <v>5.17</v>
      </c>
      <c r="F78" s="263">
        <v>18</v>
      </c>
      <c r="G78" s="281" t="s">
        <v>874</v>
      </c>
      <c r="H78" t="s">
        <v>4</v>
      </c>
    </row>
    <row r="79" spans="5:8" ht="15.75" thickBot="1" x14ac:dyDescent="0.3">
      <c r="E79" s="285">
        <v>5.2</v>
      </c>
      <c r="F79" s="261">
        <v>19</v>
      </c>
      <c r="G79" s="282" t="s">
        <v>874</v>
      </c>
    </row>
    <row r="80" spans="5:8" x14ac:dyDescent="0.25">
      <c r="E80" s="283">
        <v>6</v>
      </c>
      <c r="F80" s="262">
        <v>1</v>
      </c>
      <c r="G80" s="280" t="s">
        <v>862</v>
      </c>
    </row>
    <row r="81" spans="5:7" x14ac:dyDescent="0.25">
      <c r="E81" s="284">
        <f>E80+0.01</f>
        <v>6.01</v>
      </c>
      <c r="F81" s="263">
        <v>3</v>
      </c>
      <c r="G81" s="281" t="s">
        <v>876</v>
      </c>
    </row>
    <row r="82" spans="5:7" x14ac:dyDescent="0.25">
      <c r="E82" s="284">
        <f>E81+0.01</f>
        <v>6.02</v>
      </c>
      <c r="F82" s="263">
        <v>4</v>
      </c>
      <c r="G82" s="281" t="s">
        <v>863</v>
      </c>
    </row>
    <row r="83" spans="5:7" x14ac:dyDescent="0.25">
      <c r="E83" s="284">
        <f t="shared" ref="E83:E93" si="3">E82+0.01</f>
        <v>6.0299999999999994</v>
      </c>
      <c r="F83" s="263">
        <v>5</v>
      </c>
      <c r="G83" s="281" t="s">
        <v>877</v>
      </c>
    </row>
    <row r="84" spans="5:7" x14ac:dyDescent="0.25">
      <c r="E84" s="284">
        <f t="shared" si="3"/>
        <v>6.0399999999999991</v>
      </c>
      <c r="F84" s="263">
        <v>6</v>
      </c>
      <c r="G84" s="281" t="s">
        <v>864</v>
      </c>
    </row>
    <row r="85" spans="5:7" x14ac:dyDescent="0.25">
      <c r="E85" s="284">
        <f t="shared" si="3"/>
        <v>6.0499999999999989</v>
      </c>
      <c r="F85" s="263">
        <v>7</v>
      </c>
      <c r="G85" s="281" t="s">
        <v>878</v>
      </c>
    </row>
    <row r="86" spans="5:7" x14ac:dyDescent="0.25">
      <c r="E86" s="284">
        <f t="shared" si="3"/>
        <v>6.0599999999999987</v>
      </c>
      <c r="F86" s="263">
        <v>8</v>
      </c>
      <c r="G86" s="281" t="s">
        <v>865</v>
      </c>
    </row>
    <row r="87" spans="5:7" x14ac:dyDescent="0.25">
      <c r="E87" s="284">
        <f t="shared" si="3"/>
        <v>6.0699999999999985</v>
      </c>
      <c r="F87" s="263">
        <v>9</v>
      </c>
      <c r="G87" s="281" t="s">
        <v>879</v>
      </c>
    </row>
    <row r="88" spans="5:7" x14ac:dyDescent="0.25">
      <c r="E88" s="284">
        <f t="shared" si="3"/>
        <v>6.0799999999999983</v>
      </c>
      <c r="F88" s="263">
        <v>10</v>
      </c>
      <c r="G88" s="281" t="s">
        <v>866</v>
      </c>
    </row>
    <row r="89" spans="5:7" x14ac:dyDescent="0.25">
      <c r="E89" s="284">
        <v>6.1</v>
      </c>
      <c r="F89" s="263">
        <v>10</v>
      </c>
      <c r="G89" s="281" t="s">
        <v>867</v>
      </c>
    </row>
    <row r="90" spans="5:7" x14ac:dyDescent="0.25">
      <c r="E90" s="284">
        <f t="shared" si="3"/>
        <v>6.1099999999999994</v>
      </c>
      <c r="F90" s="263">
        <v>12</v>
      </c>
      <c r="G90" s="281" t="s">
        <v>868</v>
      </c>
    </row>
    <row r="91" spans="5:7" x14ac:dyDescent="0.25">
      <c r="E91" s="284">
        <f t="shared" si="3"/>
        <v>6.1199999999999992</v>
      </c>
      <c r="F91" s="263">
        <v>13</v>
      </c>
      <c r="G91" s="281" t="s">
        <v>869</v>
      </c>
    </row>
    <row r="92" spans="5:7" x14ac:dyDescent="0.25">
      <c r="E92" s="284">
        <v>6.14</v>
      </c>
      <c r="F92" s="263">
        <v>14</v>
      </c>
      <c r="G92" s="281" t="s">
        <v>870</v>
      </c>
    </row>
    <row r="93" spans="5:7" x14ac:dyDescent="0.25">
      <c r="E93" s="284">
        <f t="shared" si="3"/>
        <v>6.1499999999999995</v>
      </c>
      <c r="F93" s="263">
        <v>15</v>
      </c>
      <c r="G93" s="281" t="s">
        <v>871</v>
      </c>
    </row>
    <row r="94" spans="5:7" x14ac:dyDescent="0.25">
      <c r="E94" s="284">
        <v>6.17</v>
      </c>
      <c r="F94" s="263">
        <v>16</v>
      </c>
      <c r="G94" s="281" t="s">
        <v>872</v>
      </c>
    </row>
    <row r="95" spans="5:7" x14ac:dyDescent="0.25">
      <c r="E95" s="284">
        <v>6.19</v>
      </c>
      <c r="F95" s="263">
        <v>17</v>
      </c>
      <c r="G95" s="281" t="s">
        <v>873</v>
      </c>
    </row>
    <row r="96" spans="5:7" x14ac:dyDescent="0.25">
      <c r="E96" s="284">
        <v>6.21</v>
      </c>
      <c r="F96" s="263">
        <v>18</v>
      </c>
      <c r="G96" s="281" t="s">
        <v>874</v>
      </c>
    </row>
    <row r="97" spans="5:7" ht="15.75" thickBot="1" x14ac:dyDescent="0.3">
      <c r="E97" s="285">
        <v>6.23</v>
      </c>
      <c r="F97" s="261">
        <v>19</v>
      </c>
      <c r="G97" s="282" t="s">
        <v>874</v>
      </c>
    </row>
    <row r="98" spans="5:7" x14ac:dyDescent="0.25">
      <c r="E98" s="283">
        <v>7</v>
      </c>
      <c r="F98" s="262">
        <v>1</v>
      </c>
      <c r="G98" s="280" t="s">
        <v>862</v>
      </c>
    </row>
    <row r="99" spans="5:7" x14ac:dyDescent="0.25">
      <c r="E99" s="284">
        <f>E98+0.01</f>
        <v>7.01</v>
      </c>
      <c r="F99" s="263">
        <v>2</v>
      </c>
      <c r="G99" s="281" t="s">
        <v>862</v>
      </c>
    </row>
    <row r="100" spans="5:7" x14ac:dyDescent="0.25">
      <c r="E100" s="284">
        <f t="shared" ref="E100:E122" si="4">E99+0.01</f>
        <v>7.02</v>
      </c>
      <c r="F100" s="263">
        <v>3</v>
      </c>
      <c r="G100" s="281" t="s">
        <v>876</v>
      </c>
    </row>
    <row r="101" spans="5:7" x14ac:dyDescent="0.25">
      <c r="E101" s="284">
        <f t="shared" si="4"/>
        <v>7.0299999999999994</v>
      </c>
      <c r="F101" s="263">
        <v>4</v>
      </c>
      <c r="G101" s="281" t="s">
        <v>863</v>
      </c>
    </row>
    <row r="102" spans="5:7" x14ac:dyDescent="0.25">
      <c r="E102" s="284">
        <f t="shared" si="4"/>
        <v>7.0399999999999991</v>
      </c>
      <c r="F102" s="263">
        <v>5</v>
      </c>
      <c r="G102" s="281" t="s">
        <v>877</v>
      </c>
    </row>
    <row r="103" spans="5:7" x14ac:dyDescent="0.25">
      <c r="E103" s="284">
        <f t="shared" si="4"/>
        <v>7.0499999999999989</v>
      </c>
      <c r="F103" s="263">
        <v>6</v>
      </c>
      <c r="G103" s="281" t="s">
        <v>864</v>
      </c>
    </row>
    <row r="104" spans="5:7" x14ac:dyDescent="0.25">
      <c r="E104" s="284">
        <v>7.07</v>
      </c>
      <c r="F104" s="263">
        <v>7</v>
      </c>
      <c r="G104" s="281" t="s">
        <v>878</v>
      </c>
    </row>
    <row r="105" spans="5:7" x14ac:dyDescent="0.25">
      <c r="E105" s="284">
        <f t="shared" si="4"/>
        <v>7.08</v>
      </c>
      <c r="F105" s="263">
        <v>8</v>
      </c>
      <c r="G105" s="281" t="s">
        <v>865</v>
      </c>
    </row>
    <row r="106" spans="5:7" x14ac:dyDescent="0.25">
      <c r="E106" s="284">
        <v>7.1</v>
      </c>
      <c r="F106" s="263">
        <v>9</v>
      </c>
      <c r="G106" s="281" t="s">
        <v>879</v>
      </c>
    </row>
    <row r="107" spans="5:7" x14ac:dyDescent="0.25">
      <c r="E107" s="284">
        <f t="shared" si="4"/>
        <v>7.1099999999999994</v>
      </c>
      <c r="F107" s="263">
        <v>10</v>
      </c>
      <c r="G107" s="281" t="s">
        <v>866</v>
      </c>
    </row>
    <row r="108" spans="5:7" x14ac:dyDescent="0.25">
      <c r="E108" s="284">
        <f t="shared" si="4"/>
        <v>7.1199999999999992</v>
      </c>
      <c r="F108" s="263">
        <v>11</v>
      </c>
      <c r="G108" s="281" t="s">
        <v>867</v>
      </c>
    </row>
    <row r="109" spans="5:7" x14ac:dyDescent="0.25">
      <c r="E109" s="284">
        <v>7.14</v>
      </c>
      <c r="F109" s="263">
        <v>12</v>
      </c>
      <c r="G109" s="281" t="s">
        <v>868</v>
      </c>
    </row>
    <row r="110" spans="5:7" x14ac:dyDescent="0.25">
      <c r="E110" s="284">
        <f t="shared" si="4"/>
        <v>7.1499999999999995</v>
      </c>
      <c r="F110" s="263">
        <v>13</v>
      </c>
      <c r="G110" s="281" t="s">
        <v>883</v>
      </c>
    </row>
    <row r="111" spans="5:7" x14ac:dyDescent="0.25">
      <c r="E111" s="284">
        <v>7.17</v>
      </c>
      <c r="F111" s="263">
        <v>14</v>
      </c>
      <c r="G111" s="281" t="s">
        <v>870</v>
      </c>
    </row>
    <row r="112" spans="5:7" x14ac:dyDescent="0.25">
      <c r="E112" s="284">
        <f t="shared" si="4"/>
        <v>7.18</v>
      </c>
      <c r="F112" s="263">
        <v>15</v>
      </c>
      <c r="G112" s="281" t="s">
        <v>871</v>
      </c>
    </row>
    <row r="113" spans="5:7" x14ac:dyDescent="0.25">
      <c r="E113" s="284">
        <f t="shared" si="4"/>
        <v>7.1899999999999995</v>
      </c>
      <c r="F113" s="263">
        <v>16</v>
      </c>
      <c r="G113" s="281" t="s">
        <v>872</v>
      </c>
    </row>
    <row r="114" spans="5:7" x14ac:dyDescent="0.25">
      <c r="E114" s="284">
        <v>7.21</v>
      </c>
      <c r="F114" s="263">
        <v>17</v>
      </c>
      <c r="G114" s="281" t="s">
        <v>873</v>
      </c>
    </row>
    <row r="115" spans="5:7" x14ac:dyDescent="0.25">
      <c r="E115" s="284">
        <v>7.22</v>
      </c>
      <c r="F115" s="263">
        <v>18</v>
      </c>
      <c r="G115" s="281" t="s">
        <v>874</v>
      </c>
    </row>
    <row r="116" spans="5:7" ht="15.75" thickBot="1" x14ac:dyDescent="0.3">
      <c r="E116" s="285">
        <v>7.25</v>
      </c>
      <c r="F116" s="261">
        <v>19</v>
      </c>
      <c r="G116" s="282" t="s">
        <v>874</v>
      </c>
    </row>
    <row r="117" spans="5:7" x14ac:dyDescent="0.25">
      <c r="E117" s="283">
        <v>8</v>
      </c>
      <c r="F117" s="262">
        <v>1</v>
      </c>
      <c r="G117" s="280" t="s">
        <v>862</v>
      </c>
    </row>
    <row r="118" spans="5:7" x14ac:dyDescent="0.25">
      <c r="E118" s="284">
        <f>E117+0.01</f>
        <v>8.01</v>
      </c>
      <c r="F118" s="263">
        <v>2</v>
      </c>
      <c r="G118" s="281" t="s">
        <v>862</v>
      </c>
    </row>
    <row r="119" spans="5:7" x14ac:dyDescent="0.25">
      <c r="E119" s="284">
        <v>8.0299999999999994</v>
      </c>
      <c r="F119" s="263">
        <v>3</v>
      </c>
      <c r="G119" s="281" t="s">
        <v>876</v>
      </c>
    </row>
    <row r="120" spans="5:7" x14ac:dyDescent="0.25">
      <c r="E120" s="284">
        <f t="shared" ref="E119:E136" si="5">E119+0.01</f>
        <v>8.0399999999999991</v>
      </c>
      <c r="F120" s="263">
        <v>4</v>
      </c>
      <c r="G120" s="281" t="s">
        <v>863</v>
      </c>
    </row>
    <row r="121" spans="5:7" x14ac:dyDescent="0.25">
      <c r="E121" s="284">
        <f t="shared" si="5"/>
        <v>8.0499999999999989</v>
      </c>
      <c r="F121" s="263">
        <v>5</v>
      </c>
      <c r="G121" s="281" t="s">
        <v>877</v>
      </c>
    </row>
    <row r="122" spans="5:7" x14ac:dyDescent="0.25">
      <c r="E122" s="284">
        <v>8.07</v>
      </c>
      <c r="F122" s="263">
        <v>6</v>
      </c>
      <c r="G122" s="281" t="s">
        <v>864</v>
      </c>
    </row>
    <row r="123" spans="5:7" x14ac:dyDescent="0.25">
      <c r="E123" s="284">
        <v>8.08</v>
      </c>
      <c r="F123" s="263">
        <v>7</v>
      </c>
      <c r="G123" s="281" t="s">
        <v>878</v>
      </c>
    </row>
    <row r="124" spans="5:7" x14ac:dyDescent="0.25">
      <c r="E124" s="284">
        <v>8.1</v>
      </c>
      <c r="F124" s="263">
        <v>8</v>
      </c>
      <c r="G124" s="281" t="s">
        <v>865</v>
      </c>
    </row>
    <row r="125" spans="5:7" x14ac:dyDescent="0.25">
      <c r="E125" s="284">
        <v>8.1199999999999992</v>
      </c>
      <c r="F125" s="263">
        <v>9</v>
      </c>
      <c r="G125" s="281" t="s">
        <v>879</v>
      </c>
    </row>
    <row r="126" spans="5:7" x14ac:dyDescent="0.25">
      <c r="E126" s="284">
        <f t="shared" si="5"/>
        <v>8.129999999999999</v>
      </c>
      <c r="F126" s="263">
        <v>10</v>
      </c>
      <c r="G126" s="281" t="s">
        <v>866</v>
      </c>
    </row>
    <row r="127" spans="5:7" x14ac:dyDescent="0.25">
      <c r="E127" s="284">
        <v>8.15</v>
      </c>
      <c r="F127" s="263">
        <v>11</v>
      </c>
      <c r="G127" s="281" t="s">
        <v>867</v>
      </c>
    </row>
    <row r="128" spans="5:7" x14ac:dyDescent="0.25">
      <c r="E128" s="284">
        <v>8.17</v>
      </c>
      <c r="F128" s="263">
        <v>12</v>
      </c>
      <c r="G128" s="281" t="s">
        <v>868</v>
      </c>
    </row>
    <row r="129" spans="5:7" x14ac:dyDescent="0.25">
      <c r="E129" s="284">
        <f t="shared" si="5"/>
        <v>8.18</v>
      </c>
      <c r="F129" s="263">
        <v>13</v>
      </c>
      <c r="G129" s="281" t="s">
        <v>869</v>
      </c>
    </row>
    <row r="130" spans="5:7" x14ac:dyDescent="0.25">
      <c r="E130" s="284">
        <f t="shared" si="5"/>
        <v>8.19</v>
      </c>
      <c r="F130" s="263">
        <v>14</v>
      </c>
      <c r="G130" s="281" t="s">
        <v>870</v>
      </c>
    </row>
    <row r="131" spans="5:7" x14ac:dyDescent="0.25">
      <c r="E131" s="284">
        <f t="shared" si="5"/>
        <v>8.1999999999999993</v>
      </c>
      <c r="F131" s="263">
        <v>15</v>
      </c>
      <c r="G131" s="281" t="s">
        <v>871</v>
      </c>
    </row>
    <row r="132" spans="5:7" x14ac:dyDescent="0.25">
      <c r="E132" s="284">
        <v>8.2200000000000006</v>
      </c>
      <c r="F132" s="263">
        <v>16</v>
      </c>
      <c r="G132" s="281" t="s">
        <v>872</v>
      </c>
    </row>
    <row r="133" spans="5:7" x14ac:dyDescent="0.25">
      <c r="E133" s="284">
        <v>8.24</v>
      </c>
      <c r="F133" s="263">
        <v>17</v>
      </c>
      <c r="G133" s="281" t="s">
        <v>873</v>
      </c>
    </row>
    <row r="134" spans="5:7" x14ac:dyDescent="0.25">
      <c r="E134" s="284">
        <v>8.26</v>
      </c>
      <c r="F134" s="263">
        <v>18</v>
      </c>
      <c r="G134" s="281" t="s">
        <v>874</v>
      </c>
    </row>
    <row r="135" spans="5:7" ht="15.75" thickBot="1" x14ac:dyDescent="0.3">
      <c r="E135" s="285">
        <v>8.2799999999999994</v>
      </c>
      <c r="F135" s="261">
        <v>19</v>
      </c>
      <c r="G135" s="282" t="s">
        <v>874</v>
      </c>
    </row>
    <row r="136" spans="5:7" x14ac:dyDescent="0.25">
      <c r="E136" s="289">
        <v>9</v>
      </c>
      <c r="F136" s="264">
        <v>1</v>
      </c>
      <c r="G136" s="290" t="s">
        <v>862</v>
      </c>
    </row>
    <row r="137" spans="5:7" x14ac:dyDescent="0.25">
      <c r="E137" s="284">
        <v>9.02</v>
      </c>
      <c r="F137" s="263">
        <v>2</v>
      </c>
      <c r="G137" s="281" t="s">
        <v>862</v>
      </c>
    </row>
    <row r="138" spans="5:7" x14ac:dyDescent="0.25">
      <c r="E138" s="284">
        <v>9.0399999999999991</v>
      </c>
      <c r="F138" s="263">
        <v>3</v>
      </c>
      <c r="G138" s="281" t="s">
        <v>876</v>
      </c>
    </row>
    <row r="139" spans="5:7" x14ac:dyDescent="0.25">
      <c r="E139" s="284">
        <v>9.06</v>
      </c>
      <c r="F139" s="263">
        <v>4</v>
      </c>
      <c r="G139" s="281" t="s">
        <v>863</v>
      </c>
    </row>
    <row r="140" spans="5:7" x14ac:dyDescent="0.25">
      <c r="E140" s="284">
        <v>9.08</v>
      </c>
      <c r="F140" s="263">
        <v>5</v>
      </c>
      <c r="G140" s="281" t="s">
        <v>877</v>
      </c>
    </row>
    <row r="141" spans="5:7" x14ac:dyDescent="0.25">
      <c r="E141" s="284">
        <v>9.1</v>
      </c>
      <c r="F141" s="263">
        <v>6</v>
      </c>
      <c r="G141" s="281" t="s">
        <v>864</v>
      </c>
    </row>
    <row r="142" spans="5:7" x14ac:dyDescent="0.25">
      <c r="E142" s="284">
        <f t="shared" ref="E138:E165" si="6">E141+0.01</f>
        <v>9.11</v>
      </c>
      <c r="F142" s="263">
        <v>7</v>
      </c>
      <c r="G142" s="281" t="s">
        <v>878</v>
      </c>
    </row>
    <row r="143" spans="5:7" x14ac:dyDescent="0.25">
      <c r="E143" s="284">
        <f t="shared" si="6"/>
        <v>9.1199999999999992</v>
      </c>
      <c r="F143" s="263">
        <v>8</v>
      </c>
      <c r="G143" s="281" t="s">
        <v>865</v>
      </c>
    </row>
    <row r="144" spans="5:7" x14ac:dyDescent="0.25">
      <c r="E144" s="284">
        <v>9.14</v>
      </c>
      <c r="F144" s="263">
        <v>9</v>
      </c>
      <c r="G144" s="281" t="s">
        <v>879</v>
      </c>
    </row>
    <row r="145" spans="5:7" x14ac:dyDescent="0.25">
      <c r="E145" s="284">
        <f t="shared" si="6"/>
        <v>9.15</v>
      </c>
      <c r="F145" s="263">
        <v>10</v>
      </c>
      <c r="G145" s="281" t="s">
        <v>866</v>
      </c>
    </row>
    <row r="146" spans="5:7" x14ac:dyDescent="0.25">
      <c r="E146" s="284">
        <v>9.17</v>
      </c>
      <c r="F146" s="263">
        <v>11</v>
      </c>
      <c r="G146" s="281" t="s">
        <v>867</v>
      </c>
    </row>
    <row r="147" spans="5:7" x14ac:dyDescent="0.25">
      <c r="E147" s="284">
        <f t="shared" si="6"/>
        <v>9.18</v>
      </c>
      <c r="F147" s="263">
        <v>12</v>
      </c>
      <c r="G147" s="281" t="s">
        <v>868</v>
      </c>
    </row>
    <row r="148" spans="5:7" x14ac:dyDescent="0.25">
      <c r="E148" s="284">
        <f t="shared" si="6"/>
        <v>9.19</v>
      </c>
      <c r="F148" s="263">
        <v>13</v>
      </c>
      <c r="G148" s="281" t="s">
        <v>869</v>
      </c>
    </row>
    <row r="149" spans="5:7" x14ac:dyDescent="0.25">
      <c r="E149" s="284">
        <v>9.2100000000000009</v>
      </c>
      <c r="F149" s="263">
        <v>14</v>
      </c>
      <c r="G149" s="281" t="s">
        <v>870</v>
      </c>
    </row>
    <row r="150" spans="5:7" x14ac:dyDescent="0.25">
      <c r="E150" s="284">
        <f t="shared" si="6"/>
        <v>9.2200000000000006</v>
      </c>
      <c r="F150" s="263">
        <v>15</v>
      </c>
      <c r="G150" s="281" t="s">
        <v>871</v>
      </c>
    </row>
    <row r="151" spans="5:7" x14ac:dyDescent="0.25">
      <c r="E151" s="284">
        <v>9.24</v>
      </c>
      <c r="F151" s="263">
        <v>16</v>
      </c>
      <c r="G151" s="281" t="s">
        <v>872</v>
      </c>
    </row>
    <row r="152" spans="5:7" x14ac:dyDescent="0.25">
      <c r="E152" s="284">
        <v>9.2799999999999994</v>
      </c>
      <c r="F152" s="263">
        <v>17</v>
      </c>
      <c r="G152" s="281" t="s">
        <v>873</v>
      </c>
    </row>
    <row r="153" spans="5:7" x14ac:dyDescent="0.25">
      <c r="E153" s="284">
        <f t="shared" si="6"/>
        <v>9.2899999999999991</v>
      </c>
      <c r="F153" s="263">
        <v>18</v>
      </c>
      <c r="G153" s="281" t="s">
        <v>874</v>
      </c>
    </row>
    <row r="154" spans="5:7" ht="15.75" thickBot="1" x14ac:dyDescent="0.3">
      <c r="E154" s="285">
        <v>9.31</v>
      </c>
      <c r="F154" s="261">
        <v>19</v>
      </c>
      <c r="G154" s="282" t="s">
        <v>874</v>
      </c>
    </row>
    <row r="155" spans="5:7" x14ac:dyDescent="0.25">
      <c r="E155" s="283">
        <v>10</v>
      </c>
      <c r="F155" s="262">
        <v>1</v>
      </c>
      <c r="G155" s="280" t="s">
        <v>862</v>
      </c>
    </row>
    <row r="156" spans="5:7" x14ac:dyDescent="0.25">
      <c r="E156" s="284">
        <v>10.039999999999999</v>
      </c>
      <c r="F156" s="263">
        <v>2</v>
      </c>
      <c r="G156" s="281" t="s">
        <v>862</v>
      </c>
    </row>
    <row r="157" spans="5:7" x14ac:dyDescent="0.25">
      <c r="E157" s="284">
        <v>10.06</v>
      </c>
      <c r="F157" s="263">
        <v>3</v>
      </c>
      <c r="G157" s="281" t="s">
        <v>876</v>
      </c>
    </row>
    <row r="158" spans="5:7" x14ac:dyDescent="0.25">
      <c r="E158" s="284">
        <v>10.08</v>
      </c>
      <c r="F158" s="263">
        <v>4</v>
      </c>
      <c r="G158" s="281" t="s">
        <v>863</v>
      </c>
    </row>
    <row r="159" spans="5:7" x14ac:dyDescent="0.25">
      <c r="E159" s="284">
        <v>10.1</v>
      </c>
      <c r="F159" s="263">
        <v>5</v>
      </c>
      <c r="G159" s="281" t="s">
        <v>877</v>
      </c>
    </row>
    <row r="160" spans="5:7" x14ac:dyDescent="0.25">
      <c r="E160" s="284">
        <v>10.119999999999999</v>
      </c>
      <c r="F160" s="263">
        <v>6</v>
      </c>
      <c r="G160" s="281" t="s">
        <v>864</v>
      </c>
    </row>
    <row r="161" spans="5:7" x14ac:dyDescent="0.25">
      <c r="E161" s="284">
        <f t="shared" ref="E161:E220" si="7">E160+0.01</f>
        <v>10.129999999999999</v>
      </c>
      <c r="F161" s="263">
        <v>7</v>
      </c>
      <c r="G161" s="281" t="s">
        <v>878</v>
      </c>
    </row>
    <row r="162" spans="5:7" x14ac:dyDescent="0.25">
      <c r="E162" s="284">
        <v>10.15</v>
      </c>
      <c r="F162" s="263">
        <v>8</v>
      </c>
      <c r="G162" s="281" t="s">
        <v>865</v>
      </c>
    </row>
    <row r="163" spans="5:7" x14ac:dyDescent="0.25">
      <c r="E163" s="284">
        <v>10.17</v>
      </c>
      <c r="F163" s="263">
        <v>9</v>
      </c>
      <c r="G163" s="281" t="s">
        <v>879</v>
      </c>
    </row>
    <row r="164" spans="5:7" x14ac:dyDescent="0.25">
      <c r="E164" s="284">
        <f t="shared" si="7"/>
        <v>10.18</v>
      </c>
      <c r="F164" s="263">
        <v>10</v>
      </c>
      <c r="G164" s="281" t="s">
        <v>866</v>
      </c>
    </row>
    <row r="165" spans="5:7" x14ac:dyDescent="0.25">
      <c r="E165" s="284">
        <f t="shared" si="7"/>
        <v>10.19</v>
      </c>
      <c r="F165" s="263">
        <v>11</v>
      </c>
      <c r="G165" s="281" t="s">
        <v>867</v>
      </c>
    </row>
    <row r="166" spans="5:7" x14ac:dyDescent="0.25">
      <c r="E166" s="284">
        <f t="shared" si="7"/>
        <v>10.199999999999999</v>
      </c>
      <c r="F166" s="263">
        <v>12</v>
      </c>
      <c r="G166" s="281" t="s">
        <v>868</v>
      </c>
    </row>
    <row r="167" spans="5:7" x14ac:dyDescent="0.25">
      <c r="E167" s="284">
        <v>10.220000000000001</v>
      </c>
      <c r="F167" s="263">
        <v>13</v>
      </c>
      <c r="G167" s="281" t="s">
        <v>869</v>
      </c>
    </row>
    <row r="168" spans="5:7" x14ac:dyDescent="0.25">
      <c r="E168" s="284">
        <v>10.24</v>
      </c>
      <c r="F168" s="263">
        <v>14</v>
      </c>
      <c r="G168" s="281" t="s">
        <v>870</v>
      </c>
    </row>
    <row r="169" spans="5:7" x14ac:dyDescent="0.25">
      <c r="E169" s="284">
        <v>10.26</v>
      </c>
      <c r="F169" s="263">
        <v>15</v>
      </c>
      <c r="G169" s="281" t="s">
        <v>871</v>
      </c>
    </row>
    <row r="170" spans="5:7" x14ac:dyDescent="0.25">
      <c r="E170" s="284">
        <v>10.28</v>
      </c>
      <c r="F170" s="263">
        <v>16</v>
      </c>
      <c r="G170" s="281" t="s">
        <v>872</v>
      </c>
    </row>
    <row r="171" spans="5:7" x14ac:dyDescent="0.25">
      <c r="E171" s="284">
        <f t="shared" si="7"/>
        <v>10.29</v>
      </c>
      <c r="F171" s="263">
        <v>17</v>
      </c>
      <c r="G171" s="281" t="s">
        <v>873</v>
      </c>
    </row>
    <row r="172" spans="5:7" x14ac:dyDescent="0.25">
      <c r="E172" s="284">
        <v>10.31</v>
      </c>
      <c r="F172" s="263">
        <v>18</v>
      </c>
      <c r="G172" s="281" t="s">
        <v>874</v>
      </c>
    </row>
    <row r="173" spans="5:7" ht="15.75" thickBot="1" x14ac:dyDescent="0.3">
      <c r="E173" s="285">
        <v>10.33</v>
      </c>
      <c r="F173" s="261">
        <v>19</v>
      </c>
      <c r="G173" s="282" t="s">
        <v>874</v>
      </c>
    </row>
    <row r="174" spans="5:7" x14ac:dyDescent="0.25">
      <c r="E174" s="289">
        <v>11</v>
      </c>
      <c r="F174" s="264">
        <v>1</v>
      </c>
      <c r="G174" s="290" t="s">
        <v>862</v>
      </c>
    </row>
    <row r="175" spans="5:7" x14ac:dyDescent="0.25">
      <c r="E175" s="284">
        <v>11.05</v>
      </c>
      <c r="F175" s="263">
        <v>2</v>
      </c>
      <c r="G175" s="281" t="s">
        <v>862</v>
      </c>
    </row>
    <row r="176" spans="5:7" x14ac:dyDescent="0.25">
      <c r="E176" s="284">
        <v>11.08</v>
      </c>
      <c r="F176" s="263">
        <v>3</v>
      </c>
      <c r="G176" s="281" t="s">
        <v>876</v>
      </c>
    </row>
    <row r="177" spans="5:8" x14ac:dyDescent="0.25">
      <c r="E177" s="284">
        <v>11.1</v>
      </c>
      <c r="F177" s="263">
        <v>4</v>
      </c>
      <c r="G177" s="281" t="s">
        <v>863</v>
      </c>
    </row>
    <row r="178" spans="5:8" x14ac:dyDescent="0.25">
      <c r="E178" s="284">
        <v>11.13</v>
      </c>
      <c r="F178" s="263">
        <v>5</v>
      </c>
      <c r="G178" s="281" t="s">
        <v>877</v>
      </c>
    </row>
    <row r="179" spans="5:8" x14ac:dyDescent="0.25">
      <c r="E179" s="284">
        <v>11.15</v>
      </c>
      <c r="F179" s="263">
        <v>6</v>
      </c>
      <c r="G179" s="281" t="s">
        <v>864</v>
      </c>
    </row>
    <row r="180" spans="5:8" x14ac:dyDescent="0.25">
      <c r="E180" s="284">
        <v>11.17</v>
      </c>
      <c r="F180" s="263">
        <v>7</v>
      </c>
      <c r="G180" s="281" t="s">
        <v>878</v>
      </c>
    </row>
    <row r="181" spans="5:8" x14ac:dyDescent="0.25">
      <c r="E181" s="284">
        <f t="shared" si="7"/>
        <v>11.18</v>
      </c>
      <c r="F181" s="263">
        <v>8</v>
      </c>
      <c r="G181" s="281" t="s">
        <v>865</v>
      </c>
    </row>
    <row r="182" spans="5:8" x14ac:dyDescent="0.25">
      <c r="E182" s="284">
        <f t="shared" si="7"/>
        <v>11.19</v>
      </c>
      <c r="F182" s="263">
        <v>9</v>
      </c>
      <c r="G182" s="281" t="s">
        <v>879</v>
      </c>
    </row>
    <row r="183" spans="5:8" x14ac:dyDescent="0.25">
      <c r="E183" s="284">
        <f t="shared" si="7"/>
        <v>11.2</v>
      </c>
      <c r="F183" s="263">
        <v>10</v>
      </c>
      <c r="G183" s="281" t="s">
        <v>866</v>
      </c>
    </row>
    <row r="184" spans="5:8" x14ac:dyDescent="0.25">
      <c r="E184" s="284">
        <v>11.22</v>
      </c>
      <c r="F184" s="263">
        <v>11</v>
      </c>
      <c r="G184" s="281" t="s">
        <v>867</v>
      </c>
    </row>
    <row r="185" spans="5:8" x14ac:dyDescent="0.25">
      <c r="E185" s="284">
        <f t="shared" si="7"/>
        <v>11.23</v>
      </c>
      <c r="F185" s="263">
        <v>12</v>
      </c>
      <c r="G185" s="281" t="s">
        <v>868</v>
      </c>
    </row>
    <row r="186" spans="5:8" x14ac:dyDescent="0.25">
      <c r="E186" s="284">
        <f t="shared" si="7"/>
        <v>11.24</v>
      </c>
      <c r="F186" s="263">
        <v>13</v>
      </c>
      <c r="G186" s="281" t="s">
        <v>869</v>
      </c>
    </row>
    <row r="187" spans="5:8" x14ac:dyDescent="0.25">
      <c r="E187" s="284">
        <v>11.26</v>
      </c>
      <c r="F187" s="263">
        <v>14</v>
      </c>
      <c r="G187" s="281" t="s">
        <v>870</v>
      </c>
    </row>
    <row r="188" spans="5:8" x14ac:dyDescent="0.25">
      <c r="E188" s="284">
        <v>11.28</v>
      </c>
      <c r="F188" s="263">
        <v>15</v>
      </c>
      <c r="G188" s="281" t="s">
        <v>871</v>
      </c>
    </row>
    <row r="189" spans="5:8" x14ac:dyDescent="0.25">
      <c r="E189" s="284">
        <f t="shared" si="7"/>
        <v>11.29</v>
      </c>
      <c r="F189" s="263">
        <v>16</v>
      </c>
      <c r="G189" s="281" t="s">
        <v>872</v>
      </c>
    </row>
    <row r="190" spans="5:8" x14ac:dyDescent="0.25">
      <c r="E190" s="284">
        <f t="shared" si="7"/>
        <v>11.299999999999999</v>
      </c>
      <c r="F190" s="263">
        <v>17</v>
      </c>
      <c r="G190" s="281" t="s">
        <v>873</v>
      </c>
      <c r="H190" t="s">
        <v>4</v>
      </c>
    </row>
    <row r="191" spans="5:8" x14ac:dyDescent="0.25">
      <c r="E191" s="284">
        <v>11.33</v>
      </c>
      <c r="F191" s="263">
        <v>18</v>
      </c>
      <c r="G191" s="281" t="s">
        <v>874</v>
      </c>
    </row>
    <row r="192" spans="5:8" ht="15.75" thickBot="1" x14ac:dyDescent="0.3">
      <c r="E192" s="285">
        <f t="shared" si="7"/>
        <v>11.34</v>
      </c>
      <c r="F192" s="261">
        <v>19</v>
      </c>
      <c r="G192" s="282" t="s">
        <v>874</v>
      </c>
    </row>
    <row r="193" spans="5:7" x14ac:dyDescent="0.25">
      <c r="E193" s="289">
        <v>12</v>
      </c>
      <c r="F193" s="264">
        <v>1</v>
      </c>
      <c r="G193" s="290" t="s">
        <v>862</v>
      </c>
    </row>
    <row r="194" spans="5:7" x14ac:dyDescent="0.25">
      <c r="E194" s="284">
        <v>12.08</v>
      </c>
      <c r="F194" s="263">
        <v>2</v>
      </c>
      <c r="G194" s="281" t="s">
        <v>862</v>
      </c>
    </row>
    <row r="195" spans="5:7" x14ac:dyDescent="0.25">
      <c r="E195" s="284">
        <v>12.12</v>
      </c>
      <c r="F195" s="263">
        <v>3</v>
      </c>
      <c r="G195" s="281" t="s">
        <v>876</v>
      </c>
    </row>
    <row r="196" spans="5:7" x14ac:dyDescent="0.25">
      <c r="E196" s="284">
        <v>12.14</v>
      </c>
      <c r="F196" s="263">
        <v>4</v>
      </c>
      <c r="G196" s="281" t="s">
        <v>863</v>
      </c>
    </row>
    <row r="197" spans="5:7" x14ac:dyDescent="0.25">
      <c r="E197" s="284">
        <v>12.16</v>
      </c>
      <c r="F197" s="263">
        <v>5</v>
      </c>
      <c r="G197" s="281" t="s">
        <v>877</v>
      </c>
    </row>
    <row r="198" spans="5:7" x14ac:dyDescent="0.25">
      <c r="E198" s="284">
        <f t="shared" si="7"/>
        <v>12.17</v>
      </c>
      <c r="F198" s="263">
        <v>6</v>
      </c>
      <c r="G198" s="281" t="s">
        <v>864</v>
      </c>
    </row>
    <row r="199" spans="5:7" x14ac:dyDescent="0.25">
      <c r="E199" s="284">
        <f t="shared" si="7"/>
        <v>12.18</v>
      </c>
      <c r="F199" s="263">
        <v>7</v>
      </c>
      <c r="G199" s="281" t="s">
        <v>878</v>
      </c>
    </row>
    <row r="200" spans="5:7" x14ac:dyDescent="0.25">
      <c r="E200" s="284">
        <v>12.2</v>
      </c>
      <c r="F200" s="263">
        <v>8</v>
      </c>
      <c r="G200" s="281" t="s">
        <v>865</v>
      </c>
    </row>
    <row r="201" spans="5:7" x14ac:dyDescent="0.25">
      <c r="E201" s="284">
        <f t="shared" si="7"/>
        <v>12.209999999999999</v>
      </c>
      <c r="F201" s="263">
        <v>9</v>
      </c>
      <c r="G201" s="281" t="s">
        <v>879</v>
      </c>
    </row>
    <row r="202" spans="5:7" x14ac:dyDescent="0.25">
      <c r="E202" s="284">
        <f t="shared" si="7"/>
        <v>12.219999999999999</v>
      </c>
      <c r="F202" s="263">
        <v>10</v>
      </c>
      <c r="G202" s="281" t="s">
        <v>866</v>
      </c>
    </row>
    <row r="203" spans="5:7" x14ac:dyDescent="0.25">
      <c r="E203" s="284">
        <v>12.24</v>
      </c>
      <c r="F203" s="263">
        <v>11</v>
      </c>
      <c r="G203" s="281" t="s">
        <v>884</v>
      </c>
    </row>
    <row r="204" spans="5:7" x14ac:dyDescent="0.25">
      <c r="E204" s="284">
        <v>12.26</v>
      </c>
      <c r="F204" s="263">
        <v>12</v>
      </c>
      <c r="G204" s="281" t="s">
        <v>868</v>
      </c>
    </row>
    <row r="205" spans="5:7" x14ac:dyDescent="0.25">
      <c r="E205" s="284">
        <f t="shared" si="7"/>
        <v>12.27</v>
      </c>
      <c r="F205" s="263">
        <v>13</v>
      </c>
      <c r="G205" s="281" t="s">
        <v>869</v>
      </c>
    </row>
    <row r="206" spans="5:7" x14ac:dyDescent="0.25">
      <c r="E206" s="284">
        <f t="shared" si="7"/>
        <v>12.28</v>
      </c>
      <c r="F206" s="263">
        <v>14</v>
      </c>
      <c r="G206" s="281" t="s">
        <v>870</v>
      </c>
    </row>
    <row r="207" spans="5:7" x14ac:dyDescent="0.25">
      <c r="E207" s="284">
        <f t="shared" si="7"/>
        <v>12.29</v>
      </c>
      <c r="F207" s="263">
        <v>15</v>
      </c>
      <c r="G207" s="281" t="s">
        <v>871</v>
      </c>
    </row>
    <row r="208" spans="5:7" x14ac:dyDescent="0.25">
      <c r="E208" s="284">
        <v>12.31</v>
      </c>
      <c r="F208" s="263">
        <v>16</v>
      </c>
      <c r="G208" s="281" t="s">
        <v>872</v>
      </c>
    </row>
    <row r="209" spans="5:7" x14ac:dyDescent="0.25">
      <c r="E209" s="284">
        <f t="shared" si="7"/>
        <v>12.32</v>
      </c>
      <c r="F209" s="263">
        <v>17</v>
      </c>
      <c r="G209" s="281" t="s">
        <v>873</v>
      </c>
    </row>
    <row r="210" spans="5:7" x14ac:dyDescent="0.25">
      <c r="E210" s="284">
        <f t="shared" si="7"/>
        <v>12.33</v>
      </c>
      <c r="F210" s="263">
        <v>18</v>
      </c>
      <c r="G210" s="281" t="s">
        <v>874</v>
      </c>
    </row>
    <row r="211" spans="5:7" ht="15.75" thickBot="1" x14ac:dyDescent="0.3">
      <c r="E211" s="285">
        <v>12.36</v>
      </c>
      <c r="F211" s="261">
        <v>19</v>
      </c>
      <c r="G211" s="282" t="s">
        <v>874</v>
      </c>
    </row>
    <row r="212" spans="5:7" x14ac:dyDescent="0.25">
      <c r="E212" s="289">
        <v>13</v>
      </c>
      <c r="F212" s="264">
        <v>1</v>
      </c>
      <c r="G212" s="290" t="s">
        <v>862</v>
      </c>
    </row>
    <row r="213" spans="5:7" x14ac:dyDescent="0.25">
      <c r="E213" s="284">
        <v>13.11</v>
      </c>
      <c r="F213" s="263">
        <v>2</v>
      </c>
      <c r="G213" s="281" t="s">
        <v>862</v>
      </c>
    </row>
    <row r="214" spans="5:7" x14ac:dyDescent="0.25">
      <c r="E214" s="284">
        <v>13.16</v>
      </c>
      <c r="F214" s="263">
        <v>3</v>
      </c>
      <c r="G214" s="281" t="s">
        <v>876</v>
      </c>
    </row>
    <row r="215" spans="5:7" x14ac:dyDescent="0.25">
      <c r="E215" s="284">
        <f t="shared" si="7"/>
        <v>13.17</v>
      </c>
      <c r="F215" s="263">
        <v>4</v>
      </c>
      <c r="G215" s="281" t="s">
        <v>863</v>
      </c>
    </row>
    <row r="216" spans="5:7" x14ac:dyDescent="0.25">
      <c r="E216" s="284">
        <f t="shared" si="7"/>
        <v>13.18</v>
      </c>
      <c r="F216" s="263">
        <v>5</v>
      </c>
      <c r="G216" s="281" t="s">
        <v>877</v>
      </c>
    </row>
    <row r="217" spans="5:7" x14ac:dyDescent="0.25">
      <c r="E217" s="284">
        <v>13.2</v>
      </c>
      <c r="F217" s="263">
        <v>6</v>
      </c>
      <c r="G217" s="281" t="s">
        <v>864</v>
      </c>
    </row>
    <row r="218" spans="5:7" x14ac:dyDescent="0.25">
      <c r="E218" s="284">
        <f t="shared" si="7"/>
        <v>13.209999999999999</v>
      </c>
      <c r="F218" s="263">
        <v>7</v>
      </c>
      <c r="G218" s="281" t="s">
        <v>878</v>
      </c>
    </row>
    <row r="219" spans="5:7" x14ac:dyDescent="0.25">
      <c r="E219" s="284">
        <v>13.22</v>
      </c>
      <c r="F219" s="263">
        <v>8</v>
      </c>
      <c r="G219" s="281" t="s">
        <v>865</v>
      </c>
    </row>
    <row r="220" spans="5:7" x14ac:dyDescent="0.25">
      <c r="E220" s="284">
        <f t="shared" si="7"/>
        <v>13.23</v>
      </c>
      <c r="F220" s="263">
        <v>9</v>
      </c>
      <c r="G220" s="281" t="s">
        <v>879</v>
      </c>
    </row>
    <row r="221" spans="5:7" x14ac:dyDescent="0.25">
      <c r="E221" s="284">
        <f t="shared" ref="E221:E284" si="8">E220+0.01</f>
        <v>13.24</v>
      </c>
      <c r="F221" s="263">
        <v>10</v>
      </c>
      <c r="G221" s="281" t="s">
        <v>866</v>
      </c>
    </row>
    <row r="222" spans="5:7" x14ac:dyDescent="0.25">
      <c r="E222" s="284">
        <v>13.26</v>
      </c>
      <c r="F222" s="263">
        <v>11</v>
      </c>
      <c r="G222" s="281" t="s">
        <v>867</v>
      </c>
    </row>
    <row r="223" spans="5:7" x14ac:dyDescent="0.25">
      <c r="E223" s="284">
        <f t="shared" si="8"/>
        <v>13.27</v>
      </c>
      <c r="F223" s="263">
        <v>12</v>
      </c>
      <c r="G223" s="281" t="s">
        <v>868</v>
      </c>
    </row>
    <row r="224" spans="5:7" x14ac:dyDescent="0.25">
      <c r="E224" s="284">
        <f t="shared" si="8"/>
        <v>13.28</v>
      </c>
      <c r="F224" s="263">
        <v>13</v>
      </c>
      <c r="G224" s="281" t="s">
        <v>869</v>
      </c>
    </row>
    <row r="225" spans="5:7" x14ac:dyDescent="0.25">
      <c r="E225" s="284">
        <f t="shared" si="8"/>
        <v>13.29</v>
      </c>
      <c r="F225" s="263">
        <v>14</v>
      </c>
      <c r="G225" s="281" t="s">
        <v>870</v>
      </c>
    </row>
    <row r="226" spans="5:7" x14ac:dyDescent="0.25">
      <c r="E226" s="284">
        <v>13.31</v>
      </c>
      <c r="F226" s="263">
        <v>15</v>
      </c>
      <c r="G226" s="281" t="s">
        <v>871</v>
      </c>
    </row>
    <row r="227" spans="5:7" x14ac:dyDescent="0.25">
      <c r="E227" s="284">
        <f t="shared" si="8"/>
        <v>13.32</v>
      </c>
      <c r="F227" s="263">
        <v>16</v>
      </c>
      <c r="G227" s="281" t="s">
        <v>872</v>
      </c>
    </row>
    <row r="228" spans="5:7" x14ac:dyDescent="0.25">
      <c r="E228" s="284">
        <f t="shared" si="8"/>
        <v>13.33</v>
      </c>
      <c r="F228" s="263">
        <v>17</v>
      </c>
      <c r="G228" s="281" t="s">
        <v>873</v>
      </c>
    </row>
    <row r="229" spans="5:7" x14ac:dyDescent="0.25">
      <c r="E229" s="284">
        <f t="shared" si="8"/>
        <v>13.34</v>
      </c>
      <c r="F229" s="263">
        <v>18</v>
      </c>
      <c r="G229" s="281" t="s">
        <v>874</v>
      </c>
    </row>
    <row r="230" spans="5:7" ht="15.75" thickBot="1" x14ac:dyDescent="0.3">
      <c r="E230" s="285">
        <v>13.37</v>
      </c>
      <c r="F230" s="261">
        <v>19</v>
      </c>
      <c r="G230" s="282" t="s">
        <v>874</v>
      </c>
    </row>
    <row r="231" spans="5:7" x14ac:dyDescent="0.25">
      <c r="E231" s="289">
        <v>14</v>
      </c>
      <c r="F231" s="264">
        <v>1</v>
      </c>
      <c r="G231" s="290" t="s">
        <v>862</v>
      </c>
    </row>
    <row r="232" spans="5:7" x14ac:dyDescent="0.25">
      <c r="E232" s="284">
        <v>14.13</v>
      </c>
      <c r="F232" s="263">
        <v>2</v>
      </c>
      <c r="G232" s="281" t="s">
        <v>862</v>
      </c>
    </row>
    <row r="233" spans="5:7" x14ac:dyDescent="0.25">
      <c r="E233" s="284">
        <v>14.16</v>
      </c>
      <c r="F233" s="263">
        <v>3</v>
      </c>
      <c r="G233" s="281" t="s">
        <v>876</v>
      </c>
    </row>
    <row r="234" spans="5:7" x14ac:dyDescent="0.25">
      <c r="E234" s="284">
        <v>14.18</v>
      </c>
      <c r="F234" s="263">
        <v>4</v>
      </c>
      <c r="G234" s="281" t="s">
        <v>863</v>
      </c>
    </row>
    <row r="235" spans="5:7" x14ac:dyDescent="0.25">
      <c r="E235" s="284">
        <f t="shared" si="8"/>
        <v>14.19</v>
      </c>
      <c r="F235" s="263">
        <v>5</v>
      </c>
      <c r="G235" s="281" t="s">
        <v>877</v>
      </c>
    </row>
    <row r="236" spans="5:7" x14ac:dyDescent="0.25">
      <c r="E236" s="284">
        <v>14.21</v>
      </c>
      <c r="F236" s="263">
        <v>6</v>
      </c>
      <c r="G236" s="281" t="s">
        <v>864</v>
      </c>
    </row>
    <row r="237" spans="5:7" x14ac:dyDescent="0.25">
      <c r="E237" s="284">
        <f t="shared" si="8"/>
        <v>14.22</v>
      </c>
      <c r="F237" s="263">
        <v>7</v>
      </c>
      <c r="G237" s="281" t="s">
        <v>878</v>
      </c>
    </row>
    <row r="238" spans="5:7" x14ac:dyDescent="0.25">
      <c r="E238" s="284">
        <f t="shared" si="8"/>
        <v>14.23</v>
      </c>
      <c r="F238" s="263">
        <v>8</v>
      </c>
      <c r="G238" s="281" t="s">
        <v>865</v>
      </c>
    </row>
    <row r="239" spans="5:7" x14ac:dyDescent="0.25">
      <c r="E239" s="284">
        <f t="shared" si="8"/>
        <v>14.24</v>
      </c>
      <c r="F239" s="263">
        <v>9</v>
      </c>
      <c r="G239" s="281" t="s">
        <v>879</v>
      </c>
    </row>
    <row r="240" spans="5:7" x14ac:dyDescent="0.25">
      <c r="E240" s="284">
        <v>14.26</v>
      </c>
      <c r="F240" s="263">
        <v>10</v>
      </c>
      <c r="G240" s="281" t="s">
        <v>866</v>
      </c>
    </row>
    <row r="241" spans="5:7" x14ac:dyDescent="0.25">
      <c r="E241" s="284">
        <f t="shared" si="8"/>
        <v>14.27</v>
      </c>
      <c r="F241" s="263">
        <v>11</v>
      </c>
      <c r="G241" s="281" t="s">
        <v>867</v>
      </c>
    </row>
    <row r="242" spans="5:7" x14ac:dyDescent="0.25">
      <c r="E242" s="284">
        <f t="shared" si="8"/>
        <v>14.28</v>
      </c>
      <c r="F242" s="263">
        <v>12</v>
      </c>
      <c r="G242" s="281" t="s">
        <v>868</v>
      </c>
    </row>
    <row r="243" spans="5:7" x14ac:dyDescent="0.25">
      <c r="E243" s="284">
        <f t="shared" si="8"/>
        <v>14.29</v>
      </c>
      <c r="F243" s="263">
        <v>13</v>
      </c>
      <c r="G243" s="281" t="s">
        <v>869</v>
      </c>
    </row>
    <row r="244" spans="5:7" x14ac:dyDescent="0.25">
      <c r="E244" s="284">
        <v>14.31</v>
      </c>
      <c r="F244" s="263">
        <v>14</v>
      </c>
      <c r="G244" s="281" t="s">
        <v>870</v>
      </c>
    </row>
    <row r="245" spans="5:7" x14ac:dyDescent="0.25">
      <c r="E245" s="284">
        <f t="shared" si="8"/>
        <v>14.32</v>
      </c>
      <c r="F245" s="263">
        <v>15</v>
      </c>
      <c r="G245" s="281" t="s">
        <v>871</v>
      </c>
    </row>
    <row r="246" spans="5:7" x14ac:dyDescent="0.25">
      <c r="E246" s="284">
        <f t="shared" si="8"/>
        <v>14.33</v>
      </c>
      <c r="F246" s="263">
        <v>16</v>
      </c>
      <c r="G246" s="281" t="s">
        <v>872</v>
      </c>
    </row>
    <row r="247" spans="5:7" x14ac:dyDescent="0.25">
      <c r="E247" s="284">
        <f t="shared" si="8"/>
        <v>14.34</v>
      </c>
      <c r="F247" s="263">
        <v>17</v>
      </c>
      <c r="G247" s="281" t="s">
        <v>873</v>
      </c>
    </row>
    <row r="248" spans="5:7" x14ac:dyDescent="0.25">
      <c r="E248" s="284">
        <v>14.36</v>
      </c>
      <c r="F248" s="263">
        <v>18</v>
      </c>
      <c r="G248" s="281" t="s">
        <v>874</v>
      </c>
    </row>
    <row r="249" spans="5:7" ht="15.75" thickBot="1" x14ac:dyDescent="0.3">
      <c r="E249" s="285">
        <v>14.39</v>
      </c>
      <c r="F249" s="261">
        <v>19</v>
      </c>
      <c r="G249" s="282" t="s">
        <v>874</v>
      </c>
    </row>
    <row r="250" spans="5:7" x14ac:dyDescent="0.25">
      <c r="E250" s="283">
        <v>15</v>
      </c>
      <c r="F250" s="262">
        <v>1</v>
      </c>
      <c r="G250" s="280" t="s">
        <v>862</v>
      </c>
    </row>
    <row r="251" spans="5:7" x14ac:dyDescent="0.25">
      <c r="E251" s="284">
        <v>15.15</v>
      </c>
      <c r="F251" s="263">
        <v>2</v>
      </c>
      <c r="G251" s="281" t="s">
        <v>862</v>
      </c>
    </row>
    <row r="252" spans="5:7" x14ac:dyDescent="0.25">
      <c r="E252" s="284">
        <v>15.17</v>
      </c>
      <c r="F252" s="263">
        <v>3</v>
      </c>
      <c r="G252" s="281" t="s">
        <v>876</v>
      </c>
    </row>
    <row r="253" spans="5:7" x14ac:dyDescent="0.25">
      <c r="E253" s="284">
        <f t="shared" si="8"/>
        <v>15.18</v>
      </c>
      <c r="F253" s="263">
        <v>4</v>
      </c>
      <c r="G253" s="281" t="s">
        <v>863</v>
      </c>
    </row>
    <row r="254" spans="5:7" x14ac:dyDescent="0.25">
      <c r="E254" s="284">
        <v>15.2</v>
      </c>
      <c r="F254" s="263">
        <v>5</v>
      </c>
      <c r="G254" s="281" t="s">
        <v>877</v>
      </c>
    </row>
    <row r="255" spans="5:7" x14ac:dyDescent="0.25">
      <c r="E255" s="284">
        <v>15.21</v>
      </c>
      <c r="F255" s="263">
        <v>6</v>
      </c>
      <c r="G255" s="281" t="s">
        <v>864</v>
      </c>
    </row>
    <row r="256" spans="5:7" x14ac:dyDescent="0.25">
      <c r="E256" s="284">
        <f t="shared" si="8"/>
        <v>15.22</v>
      </c>
      <c r="F256" s="263">
        <v>7</v>
      </c>
      <c r="G256" s="281" t="s">
        <v>878</v>
      </c>
    </row>
    <row r="257" spans="5:7" x14ac:dyDescent="0.25">
      <c r="E257" s="284">
        <v>15.24</v>
      </c>
      <c r="F257" s="263">
        <v>8</v>
      </c>
      <c r="G257" s="281" t="s">
        <v>865</v>
      </c>
    </row>
    <row r="258" spans="5:7" x14ac:dyDescent="0.25">
      <c r="E258" s="284">
        <f t="shared" si="8"/>
        <v>15.25</v>
      </c>
      <c r="F258" s="263">
        <v>9</v>
      </c>
      <c r="G258" s="281" t="s">
        <v>879</v>
      </c>
    </row>
    <row r="259" spans="5:7" x14ac:dyDescent="0.25">
      <c r="E259" s="284">
        <v>15.26</v>
      </c>
      <c r="F259" s="263">
        <v>10</v>
      </c>
      <c r="G259" s="281" t="s">
        <v>866</v>
      </c>
    </row>
    <row r="260" spans="5:7" x14ac:dyDescent="0.25">
      <c r="E260" s="284">
        <v>15.28</v>
      </c>
      <c r="F260" s="263">
        <v>11</v>
      </c>
      <c r="G260" s="281" t="s">
        <v>867</v>
      </c>
    </row>
    <row r="261" spans="5:7" x14ac:dyDescent="0.25">
      <c r="E261" s="284">
        <f t="shared" si="8"/>
        <v>15.29</v>
      </c>
      <c r="F261" s="263">
        <v>12</v>
      </c>
      <c r="G261" s="281" t="s">
        <v>868</v>
      </c>
    </row>
    <row r="262" spans="5:7" x14ac:dyDescent="0.25">
      <c r="E262" s="284">
        <f t="shared" si="8"/>
        <v>15.299999999999999</v>
      </c>
      <c r="F262" s="263">
        <v>13</v>
      </c>
      <c r="G262" s="281" t="s">
        <v>869</v>
      </c>
    </row>
    <row r="263" spans="5:7" x14ac:dyDescent="0.25">
      <c r="E263" s="284">
        <v>15.32</v>
      </c>
      <c r="F263" s="263">
        <v>14</v>
      </c>
      <c r="G263" s="281" t="s">
        <v>870</v>
      </c>
    </row>
    <row r="264" spans="5:7" x14ac:dyDescent="0.25">
      <c r="E264" s="284">
        <f t="shared" si="8"/>
        <v>15.33</v>
      </c>
      <c r="F264" s="263">
        <v>15</v>
      </c>
      <c r="G264" s="281" t="s">
        <v>871</v>
      </c>
    </row>
    <row r="265" spans="5:7" x14ac:dyDescent="0.25">
      <c r="E265" s="284">
        <v>15.35</v>
      </c>
      <c r="F265" s="263">
        <v>16</v>
      </c>
      <c r="G265" s="281" t="s">
        <v>872</v>
      </c>
    </row>
    <row r="266" spans="5:7" x14ac:dyDescent="0.25">
      <c r="E266" s="284">
        <f t="shared" si="8"/>
        <v>15.36</v>
      </c>
      <c r="F266" s="263">
        <v>17</v>
      </c>
      <c r="G266" s="281" t="s">
        <v>873</v>
      </c>
    </row>
    <row r="267" spans="5:7" x14ac:dyDescent="0.25">
      <c r="E267" s="284">
        <f t="shared" si="8"/>
        <v>15.37</v>
      </c>
      <c r="F267" s="263">
        <v>18</v>
      </c>
      <c r="G267" s="281" t="s">
        <v>874</v>
      </c>
    </row>
    <row r="268" spans="5:7" ht="15.75" thickBot="1" x14ac:dyDescent="0.3">
      <c r="E268" s="285">
        <v>15.4</v>
      </c>
      <c r="F268" s="261">
        <v>19</v>
      </c>
      <c r="G268" s="282" t="s">
        <v>874</v>
      </c>
    </row>
    <row r="269" spans="5:7" x14ac:dyDescent="0.25">
      <c r="E269" s="289">
        <v>16</v>
      </c>
      <c r="F269" s="264">
        <v>1</v>
      </c>
      <c r="G269" s="290" t="s">
        <v>862</v>
      </c>
    </row>
    <row r="270" spans="5:7" x14ac:dyDescent="0.25">
      <c r="E270" s="284">
        <v>16.16</v>
      </c>
      <c r="F270" s="263">
        <v>2</v>
      </c>
      <c r="G270" s="281" t="s">
        <v>862</v>
      </c>
    </row>
    <row r="271" spans="5:7" x14ac:dyDescent="0.25">
      <c r="E271" s="284">
        <v>16.18</v>
      </c>
      <c r="F271" s="263">
        <v>3</v>
      </c>
      <c r="G271" s="281" t="s">
        <v>876</v>
      </c>
    </row>
    <row r="272" spans="5:7" x14ac:dyDescent="0.25">
      <c r="E272" s="284">
        <f t="shared" si="8"/>
        <v>16.190000000000001</v>
      </c>
      <c r="F272" s="263">
        <v>4</v>
      </c>
      <c r="G272" s="281" t="s">
        <v>863</v>
      </c>
    </row>
    <row r="273" spans="5:7" x14ac:dyDescent="0.25">
      <c r="E273" s="284">
        <v>16.21</v>
      </c>
      <c r="F273" s="263">
        <v>5</v>
      </c>
      <c r="G273" s="281" t="s">
        <v>877</v>
      </c>
    </row>
    <row r="274" spans="5:7" x14ac:dyDescent="0.25">
      <c r="E274" s="284">
        <f t="shared" si="8"/>
        <v>16.220000000000002</v>
      </c>
      <c r="F274" s="263">
        <v>6</v>
      </c>
      <c r="G274" s="281" t="s">
        <v>864</v>
      </c>
    </row>
    <row r="275" spans="5:7" x14ac:dyDescent="0.25">
      <c r="E275" s="284">
        <v>16.239999999999998</v>
      </c>
      <c r="F275" s="263">
        <v>7</v>
      </c>
      <c r="G275" s="281" t="s">
        <v>878</v>
      </c>
    </row>
    <row r="276" spans="5:7" x14ac:dyDescent="0.25">
      <c r="E276" s="284">
        <f t="shared" si="8"/>
        <v>16.25</v>
      </c>
      <c r="F276" s="263">
        <v>8</v>
      </c>
      <c r="G276" s="281" t="s">
        <v>865</v>
      </c>
    </row>
    <row r="277" spans="5:7" x14ac:dyDescent="0.25">
      <c r="E277" s="284">
        <f t="shared" si="8"/>
        <v>16.260000000000002</v>
      </c>
      <c r="F277" s="263">
        <v>9</v>
      </c>
      <c r="G277" s="281" t="s">
        <v>879</v>
      </c>
    </row>
    <row r="278" spans="5:7" x14ac:dyDescent="0.25">
      <c r="E278" s="284">
        <v>16.28</v>
      </c>
      <c r="F278" s="263">
        <v>10</v>
      </c>
      <c r="G278" s="281" t="s">
        <v>866</v>
      </c>
    </row>
    <row r="279" spans="5:7" x14ac:dyDescent="0.25">
      <c r="E279" s="284">
        <f t="shared" si="8"/>
        <v>16.290000000000003</v>
      </c>
      <c r="F279" s="263">
        <v>11</v>
      </c>
      <c r="G279" s="281" t="s">
        <v>867</v>
      </c>
    </row>
    <row r="280" spans="5:7" x14ac:dyDescent="0.25">
      <c r="E280" s="284">
        <f t="shared" si="8"/>
        <v>16.300000000000004</v>
      </c>
      <c r="F280" s="263">
        <v>12</v>
      </c>
      <c r="G280" s="281" t="s">
        <v>868</v>
      </c>
    </row>
    <row r="281" spans="5:7" x14ac:dyDescent="0.25">
      <c r="E281" s="284">
        <v>16.32</v>
      </c>
      <c r="F281" s="263">
        <v>13</v>
      </c>
      <c r="G281" s="281" t="s">
        <v>869</v>
      </c>
    </row>
    <row r="282" spans="5:7" x14ac:dyDescent="0.25">
      <c r="E282" s="284">
        <f t="shared" si="8"/>
        <v>16.330000000000002</v>
      </c>
      <c r="F282" s="263">
        <v>14</v>
      </c>
      <c r="G282" s="281" t="s">
        <v>870</v>
      </c>
    </row>
    <row r="283" spans="5:7" x14ac:dyDescent="0.25">
      <c r="E283" s="284">
        <v>16.350000000000001</v>
      </c>
      <c r="F283" s="263">
        <v>15</v>
      </c>
      <c r="G283" s="281" t="s">
        <v>871</v>
      </c>
    </row>
    <row r="284" spans="5:7" x14ac:dyDescent="0.25">
      <c r="E284" s="284">
        <f t="shared" si="8"/>
        <v>16.360000000000003</v>
      </c>
      <c r="F284" s="263">
        <v>16</v>
      </c>
      <c r="G284" s="281" t="s">
        <v>872</v>
      </c>
    </row>
    <row r="285" spans="5:7" x14ac:dyDescent="0.25">
      <c r="E285" s="284">
        <f t="shared" ref="E285:E343" si="9">E284+0.01</f>
        <v>16.370000000000005</v>
      </c>
      <c r="F285" s="263">
        <v>17</v>
      </c>
      <c r="G285" s="281" t="s">
        <v>873</v>
      </c>
    </row>
    <row r="286" spans="5:7" x14ac:dyDescent="0.25">
      <c r="E286" s="284">
        <v>16.39</v>
      </c>
      <c r="F286" s="263">
        <v>18</v>
      </c>
      <c r="G286" s="281" t="s">
        <v>874</v>
      </c>
    </row>
    <row r="287" spans="5:7" ht="15.75" thickBot="1" x14ac:dyDescent="0.3">
      <c r="E287" s="285">
        <v>16.190000000000001</v>
      </c>
      <c r="F287" s="261">
        <v>19</v>
      </c>
      <c r="G287" s="282" t="s">
        <v>874</v>
      </c>
    </row>
    <row r="288" spans="5:7" x14ac:dyDescent="0.25">
      <c r="E288" s="289">
        <v>17</v>
      </c>
      <c r="F288" s="264">
        <v>1</v>
      </c>
      <c r="G288" s="290" t="s">
        <v>862</v>
      </c>
    </row>
    <row r="289" spans="5:7" x14ac:dyDescent="0.25">
      <c r="E289" s="284">
        <v>17.170000000000002</v>
      </c>
      <c r="F289" s="263">
        <v>2</v>
      </c>
      <c r="G289" s="281" t="s">
        <v>862</v>
      </c>
    </row>
    <row r="290" spans="5:7" x14ac:dyDescent="0.25">
      <c r="E290" s="284">
        <f t="shared" si="9"/>
        <v>17.180000000000003</v>
      </c>
      <c r="F290" s="263">
        <v>3</v>
      </c>
      <c r="G290" s="281" t="s">
        <v>876</v>
      </c>
    </row>
    <row r="291" spans="5:7" x14ac:dyDescent="0.25">
      <c r="E291" s="284">
        <v>17.2</v>
      </c>
      <c r="F291" s="263">
        <v>4</v>
      </c>
      <c r="G291" s="281" t="s">
        <v>863</v>
      </c>
    </row>
    <row r="292" spans="5:7" x14ac:dyDescent="0.25">
      <c r="E292" s="284">
        <v>17.22</v>
      </c>
      <c r="F292" s="263">
        <v>5</v>
      </c>
      <c r="G292" s="281" t="s">
        <v>877</v>
      </c>
    </row>
    <row r="293" spans="5:7" x14ac:dyDescent="0.25">
      <c r="E293" s="284">
        <f t="shared" si="9"/>
        <v>17.23</v>
      </c>
      <c r="F293" s="263">
        <v>6</v>
      </c>
      <c r="G293" s="281" t="s">
        <v>864</v>
      </c>
    </row>
    <row r="294" spans="5:7" x14ac:dyDescent="0.25">
      <c r="E294" s="284">
        <v>17.25</v>
      </c>
      <c r="F294" s="263">
        <v>7</v>
      </c>
      <c r="G294" s="281" t="s">
        <v>878</v>
      </c>
    </row>
    <row r="295" spans="5:7" x14ac:dyDescent="0.25">
      <c r="E295" s="284">
        <f t="shared" si="9"/>
        <v>17.260000000000002</v>
      </c>
      <c r="F295" s="263">
        <v>8</v>
      </c>
      <c r="G295" s="281" t="s">
        <v>865</v>
      </c>
    </row>
    <row r="296" spans="5:7" x14ac:dyDescent="0.25">
      <c r="E296" s="284">
        <v>17.28</v>
      </c>
      <c r="F296" s="263">
        <v>9</v>
      </c>
      <c r="G296" s="281" t="s">
        <v>879</v>
      </c>
    </row>
    <row r="297" spans="5:7" x14ac:dyDescent="0.25">
      <c r="E297" s="284">
        <f t="shared" si="9"/>
        <v>17.290000000000003</v>
      </c>
      <c r="F297" s="263">
        <v>10</v>
      </c>
      <c r="G297" s="281" t="s">
        <v>866</v>
      </c>
    </row>
    <row r="298" spans="5:7" x14ac:dyDescent="0.25">
      <c r="E298" s="284">
        <f t="shared" si="9"/>
        <v>17.300000000000004</v>
      </c>
      <c r="F298" s="263">
        <v>11</v>
      </c>
      <c r="G298" s="281" t="s">
        <v>867</v>
      </c>
    </row>
    <row r="299" spans="5:7" x14ac:dyDescent="0.25">
      <c r="E299" s="284">
        <v>17.32</v>
      </c>
      <c r="F299" s="263">
        <v>12</v>
      </c>
      <c r="G299" s="281" t="s">
        <v>868</v>
      </c>
    </row>
    <row r="300" spans="5:7" x14ac:dyDescent="0.25">
      <c r="E300" s="284">
        <f t="shared" si="9"/>
        <v>17.330000000000002</v>
      </c>
      <c r="F300" s="263">
        <v>13</v>
      </c>
      <c r="G300" s="281" t="s">
        <v>869</v>
      </c>
    </row>
    <row r="301" spans="5:7" x14ac:dyDescent="0.25">
      <c r="E301" s="284">
        <v>17.350000000000001</v>
      </c>
      <c r="F301" s="263">
        <v>14</v>
      </c>
      <c r="G301" s="281" t="s">
        <v>870</v>
      </c>
    </row>
    <row r="302" spans="5:7" x14ac:dyDescent="0.25">
      <c r="E302" s="284">
        <f t="shared" si="9"/>
        <v>17.360000000000003</v>
      </c>
      <c r="F302" s="263">
        <v>15</v>
      </c>
      <c r="G302" s="281" t="s">
        <v>871</v>
      </c>
    </row>
    <row r="303" spans="5:7" x14ac:dyDescent="0.25">
      <c r="E303" s="284">
        <f t="shared" si="9"/>
        <v>17.370000000000005</v>
      </c>
      <c r="F303" s="263">
        <v>16</v>
      </c>
      <c r="G303" s="281" t="s">
        <v>872</v>
      </c>
    </row>
    <row r="304" spans="5:7" x14ac:dyDescent="0.25">
      <c r="E304" s="284">
        <v>17.39</v>
      </c>
      <c r="F304" s="263">
        <v>17</v>
      </c>
      <c r="G304" s="281" t="s">
        <v>873</v>
      </c>
    </row>
    <row r="305" spans="5:7" x14ac:dyDescent="0.25">
      <c r="E305" s="284">
        <f t="shared" si="9"/>
        <v>17.400000000000002</v>
      </c>
      <c r="F305" s="263">
        <v>18</v>
      </c>
      <c r="G305" s="281" t="s">
        <v>874</v>
      </c>
    </row>
    <row r="306" spans="5:7" ht="15.75" thickBot="1" x14ac:dyDescent="0.3">
      <c r="E306" s="285">
        <v>17.43</v>
      </c>
      <c r="F306" s="261">
        <v>19</v>
      </c>
      <c r="G306" s="282" t="s">
        <v>874</v>
      </c>
    </row>
    <row r="307" spans="5:7" x14ac:dyDescent="0.25">
      <c r="E307" s="278">
        <v>18</v>
      </c>
    </row>
    <row r="308" spans="5:7" x14ac:dyDescent="0.25">
      <c r="E308" s="278">
        <f t="shared" si="9"/>
        <v>18.010000000000002</v>
      </c>
    </row>
    <row r="309" spans="5:7" x14ac:dyDescent="0.25">
      <c r="E309" s="278">
        <f t="shared" si="9"/>
        <v>18.020000000000003</v>
      </c>
    </row>
    <row r="310" spans="5:7" x14ac:dyDescent="0.25">
      <c r="E310" s="278">
        <f t="shared" si="9"/>
        <v>18.030000000000005</v>
      </c>
    </row>
    <row r="311" spans="5:7" x14ac:dyDescent="0.25">
      <c r="E311" s="278">
        <f t="shared" si="9"/>
        <v>18.040000000000006</v>
      </c>
    </row>
    <row r="312" spans="5:7" x14ac:dyDescent="0.25">
      <c r="E312" s="278">
        <f t="shared" si="9"/>
        <v>18.050000000000008</v>
      </c>
    </row>
    <row r="313" spans="5:7" x14ac:dyDescent="0.25">
      <c r="E313" s="278">
        <f t="shared" si="9"/>
        <v>18.060000000000009</v>
      </c>
    </row>
    <row r="314" spans="5:7" x14ac:dyDescent="0.25">
      <c r="E314" s="278">
        <f t="shared" si="9"/>
        <v>18.070000000000011</v>
      </c>
    </row>
    <row r="315" spans="5:7" x14ac:dyDescent="0.25">
      <c r="E315" s="278">
        <f t="shared" si="9"/>
        <v>18.080000000000013</v>
      </c>
    </row>
    <row r="316" spans="5:7" x14ac:dyDescent="0.25">
      <c r="E316" s="278">
        <f t="shared" si="9"/>
        <v>18.090000000000014</v>
      </c>
    </row>
    <row r="317" spans="5:7" x14ac:dyDescent="0.25">
      <c r="E317" s="278">
        <f t="shared" si="9"/>
        <v>18.100000000000016</v>
      </c>
    </row>
    <row r="318" spans="5:7" x14ac:dyDescent="0.25">
      <c r="E318" s="278">
        <f t="shared" si="9"/>
        <v>18.110000000000017</v>
      </c>
    </row>
    <row r="319" spans="5:7" x14ac:dyDescent="0.25">
      <c r="E319" s="278">
        <f t="shared" si="9"/>
        <v>18.120000000000019</v>
      </c>
    </row>
    <row r="320" spans="5:7" x14ac:dyDescent="0.25">
      <c r="E320" s="278">
        <f t="shared" si="9"/>
        <v>18.13000000000002</v>
      </c>
    </row>
    <row r="321" spans="5:5" x14ac:dyDescent="0.25">
      <c r="E321" s="278">
        <f t="shared" si="9"/>
        <v>18.140000000000022</v>
      </c>
    </row>
    <row r="322" spans="5:5" x14ac:dyDescent="0.25">
      <c r="E322" s="278">
        <f t="shared" si="9"/>
        <v>18.150000000000023</v>
      </c>
    </row>
    <row r="323" spans="5:5" x14ac:dyDescent="0.25">
      <c r="E323" s="278">
        <f t="shared" si="9"/>
        <v>18.160000000000025</v>
      </c>
    </row>
    <row r="324" spans="5:5" x14ac:dyDescent="0.25">
      <c r="E324" s="278">
        <f t="shared" si="9"/>
        <v>18.170000000000027</v>
      </c>
    </row>
    <row r="325" spans="5:5" x14ac:dyDescent="0.25">
      <c r="E325" s="278">
        <f t="shared" si="9"/>
        <v>18.180000000000028</v>
      </c>
    </row>
    <row r="326" spans="5:5" x14ac:dyDescent="0.25">
      <c r="E326" s="278">
        <f t="shared" si="9"/>
        <v>18.19000000000003</v>
      </c>
    </row>
    <row r="327" spans="5:5" x14ac:dyDescent="0.25">
      <c r="E327" s="278">
        <f t="shared" si="9"/>
        <v>18.200000000000031</v>
      </c>
    </row>
    <row r="328" spans="5:5" x14ac:dyDescent="0.25">
      <c r="E328" s="278">
        <f t="shared" si="9"/>
        <v>18.210000000000033</v>
      </c>
    </row>
    <row r="329" spans="5:5" x14ac:dyDescent="0.25">
      <c r="E329" s="278">
        <f t="shared" si="9"/>
        <v>18.220000000000034</v>
      </c>
    </row>
    <row r="330" spans="5:5" x14ac:dyDescent="0.25">
      <c r="E330" s="278">
        <f t="shared" si="9"/>
        <v>18.230000000000036</v>
      </c>
    </row>
    <row r="331" spans="5:5" x14ac:dyDescent="0.25">
      <c r="E331" s="278">
        <f t="shared" si="9"/>
        <v>18.240000000000038</v>
      </c>
    </row>
    <row r="332" spans="5:5" x14ac:dyDescent="0.25">
      <c r="E332" s="278">
        <f t="shared" si="9"/>
        <v>18.250000000000039</v>
      </c>
    </row>
    <row r="333" spans="5:5" x14ac:dyDescent="0.25">
      <c r="E333" s="278">
        <f t="shared" si="9"/>
        <v>18.260000000000041</v>
      </c>
    </row>
    <row r="334" spans="5:5" x14ac:dyDescent="0.25">
      <c r="E334" s="278">
        <f t="shared" si="9"/>
        <v>18.270000000000042</v>
      </c>
    </row>
    <row r="335" spans="5:5" x14ac:dyDescent="0.25">
      <c r="E335" s="278">
        <f t="shared" si="9"/>
        <v>18.280000000000044</v>
      </c>
    </row>
    <row r="336" spans="5:5" x14ac:dyDescent="0.25">
      <c r="E336" s="278">
        <f t="shared" si="9"/>
        <v>18.290000000000045</v>
      </c>
    </row>
    <row r="337" spans="5:5" x14ac:dyDescent="0.25">
      <c r="E337" s="278">
        <f t="shared" si="9"/>
        <v>18.300000000000047</v>
      </c>
    </row>
    <row r="338" spans="5:5" x14ac:dyDescent="0.25">
      <c r="E338" s="278">
        <f t="shared" si="9"/>
        <v>18.310000000000048</v>
      </c>
    </row>
    <row r="339" spans="5:5" x14ac:dyDescent="0.25">
      <c r="E339" s="278">
        <f t="shared" si="9"/>
        <v>18.32000000000005</v>
      </c>
    </row>
    <row r="340" spans="5:5" x14ac:dyDescent="0.25">
      <c r="E340" s="278">
        <f t="shared" si="9"/>
        <v>18.330000000000052</v>
      </c>
    </row>
    <row r="341" spans="5:5" x14ac:dyDescent="0.25">
      <c r="E341" s="278">
        <f t="shared" si="9"/>
        <v>18.340000000000053</v>
      </c>
    </row>
    <row r="342" spans="5:5" x14ac:dyDescent="0.25">
      <c r="E342" s="278">
        <f t="shared" si="9"/>
        <v>18.350000000000055</v>
      </c>
    </row>
    <row r="343" spans="5:5" x14ac:dyDescent="0.25">
      <c r="E343" s="278">
        <f t="shared" si="9"/>
        <v>18.360000000000056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topLeftCell="Y35" workbookViewId="0">
      <selection activeCell="AL4" sqref="AL4:AL52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194" t="s">
        <v>843</v>
      </c>
      <c r="C2" s="265"/>
      <c r="E2" s="194" t="s">
        <v>845</v>
      </c>
      <c r="F2" s="265"/>
      <c r="H2" s="194" t="s">
        <v>848</v>
      </c>
      <c r="I2" s="265"/>
      <c r="K2" s="194" t="s">
        <v>849</v>
      </c>
      <c r="L2" s="265"/>
      <c r="N2" s="194" t="s">
        <v>850</v>
      </c>
      <c r="O2" s="265"/>
      <c r="Q2" s="194" t="s">
        <v>852</v>
      </c>
      <c r="R2" s="265"/>
      <c r="T2" s="194" t="s">
        <v>854</v>
      </c>
      <c r="U2" s="265"/>
      <c r="W2" s="194" t="s">
        <v>855</v>
      </c>
      <c r="X2" s="265"/>
      <c r="Z2" s="194" t="s">
        <v>856</v>
      </c>
      <c r="AA2" s="265"/>
      <c r="AC2" s="194" t="s">
        <v>857</v>
      </c>
      <c r="AD2" s="265"/>
      <c r="AF2" s="194" t="s">
        <v>858</v>
      </c>
      <c r="AG2" s="265"/>
      <c r="AI2" s="194" t="s">
        <v>859</v>
      </c>
      <c r="AJ2" s="265"/>
      <c r="AL2" s="194" t="s">
        <v>860</v>
      </c>
      <c r="AM2" s="265"/>
    </row>
    <row r="3" spans="2:39" ht="15.75" thickBot="1" x14ac:dyDescent="0.3">
      <c r="B3" s="269" t="s">
        <v>3</v>
      </c>
      <c r="C3" s="270" t="s">
        <v>844</v>
      </c>
      <c r="E3" s="266" t="s">
        <v>3</v>
      </c>
      <c r="F3" s="267" t="s">
        <v>844</v>
      </c>
      <c r="H3" s="266" t="s">
        <v>3</v>
      </c>
      <c r="I3" s="267" t="s">
        <v>844</v>
      </c>
      <c r="K3" s="266" t="s">
        <v>3</v>
      </c>
      <c r="L3" s="267" t="s">
        <v>844</v>
      </c>
      <c r="N3" s="266" t="s">
        <v>3</v>
      </c>
      <c r="O3" s="267" t="s">
        <v>851</v>
      </c>
      <c r="Q3" s="266" t="s">
        <v>3</v>
      </c>
      <c r="R3" s="267" t="s">
        <v>853</v>
      </c>
      <c r="T3" s="266" t="s">
        <v>3</v>
      </c>
      <c r="U3" s="267" t="s">
        <v>853</v>
      </c>
      <c r="W3" s="266" t="s">
        <v>3</v>
      </c>
      <c r="X3" s="267" t="s">
        <v>853</v>
      </c>
      <c r="Z3" s="266" t="s">
        <v>3</v>
      </c>
      <c r="AA3" s="267" t="s">
        <v>853</v>
      </c>
      <c r="AC3" s="266" t="s">
        <v>3</v>
      </c>
      <c r="AD3" s="267" t="s">
        <v>853</v>
      </c>
      <c r="AF3" s="266" t="s">
        <v>3</v>
      </c>
      <c r="AG3" s="267" t="s">
        <v>853</v>
      </c>
      <c r="AI3" s="266" t="s">
        <v>3</v>
      </c>
      <c r="AJ3" s="267" t="s">
        <v>853</v>
      </c>
      <c r="AL3" s="266" t="s">
        <v>3</v>
      </c>
      <c r="AM3" s="267" t="s">
        <v>853</v>
      </c>
    </row>
    <row r="4" spans="2:39" x14ac:dyDescent="0.25">
      <c r="B4" s="198">
        <v>3</v>
      </c>
      <c r="C4" s="47">
        <v>0</v>
      </c>
      <c r="E4" s="41">
        <v>6</v>
      </c>
      <c r="F4" s="46">
        <v>24</v>
      </c>
      <c r="H4" s="275">
        <v>4</v>
      </c>
      <c r="I4" s="276">
        <v>0</v>
      </c>
      <c r="K4" s="275">
        <v>0</v>
      </c>
      <c r="L4" s="46">
        <v>0</v>
      </c>
      <c r="N4" s="41">
        <v>0</v>
      </c>
      <c r="O4" s="46">
        <v>0</v>
      </c>
      <c r="Q4" s="275">
        <v>0</v>
      </c>
      <c r="R4" s="46">
        <v>0</v>
      </c>
      <c r="T4" s="275">
        <v>0</v>
      </c>
      <c r="U4" s="46">
        <v>0</v>
      </c>
      <c r="W4" s="275">
        <v>0</v>
      </c>
      <c r="X4" s="46">
        <v>0</v>
      </c>
      <c r="Z4" s="275">
        <v>0</v>
      </c>
      <c r="AA4" s="276">
        <v>0</v>
      </c>
      <c r="AC4" s="275">
        <v>0</v>
      </c>
      <c r="AD4" s="46">
        <v>0</v>
      </c>
      <c r="AF4" s="275">
        <v>0</v>
      </c>
      <c r="AG4" s="276">
        <v>0</v>
      </c>
      <c r="AI4" s="275">
        <v>0</v>
      </c>
      <c r="AJ4" s="276">
        <v>0</v>
      </c>
      <c r="AL4" s="275">
        <v>0</v>
      </c>
      <c r="AM4" s="46">
        <v>0</v>
      </c>
    </row>
    <row r="5" spans="2:39" x14ac:dyDescent="0.25">
      <c r="B5" s="41">
        <f>B4+1</f>
        <v>4</v>
      </c>
      <c r="C5" s="46">
        <v>1</v>
      </c>
      <c r="E5" s="41">
        <f>E4+1</f>
        <v>7</v>
      </c>
      <c r="F5" s="46">
        <v>24</v>
      </c>
      <c r="H5" s="41">
        <v>5</v>
      </c>
      <c r="I5" s="46">
        <v>0</v>
      </c>
      <c r="K5" s="41">
        <f>K4+1</f>
        <v>1</v>
      </c>
      <c r="L5" s="46">
        <v>0</v>
      </c>
      <c r="N5" s="41">
        <f>N4+1</f>
        <v>1</v>
      </c>
      <c r="O5" s="46">
        <v>0</v>
      </c>
      <c r="Q5" s="41">
        <f>Q4+1</f>
        <v>1</v>
      </c>
      <c r="R5" s="46">
        <v>0</v>
      </c>
      <c r="T5" s="41">
        <f>T4+1</f>
        <v>1</v>
      </c>
      <c r="U5" s="46">
        <v>0</v>
      </c>
      <c r="W5" s="41">
        <f>W4+1</f>
        <v>1</v>
      </c>
      <c r="X5" s="46">
        <v>0</v>
      </c>
      <c r="Z5" s="41">
        <f>Z4+1</f>
        <v>1</v>
      </c>
      <c r="AA5" s="46">
        <v>0</v>
      </c>
      <c r="AC5" s="41">
        <f>AC4+1</f>
        <v>1</v>
      </c>
      <c r="AD5" s="46">
        <v>0</v>
      </c>
      <c r="AF5" s="41">
        <f>AF4+1</f>
        <v>1</v>
      </c>
      <c r="AG5" s="46">
        <v>0</v>
      </c>
      <c r="AI5" s="41">
        <f>AI4+1</f>
        <v>1</v>
      </c>
      <c r="AJ5" s="46">
        <v>0</v>
      </c>
      <c r="AL5" s="41">
        <f>AL4+1</f>
        <v>1</v>
      </c>
      <c r="AM5" s="46">
        <v>0</v>
      </c>
    </row>
    <row r="6" spans="2:39" x14ac:dyDescent="0.25">
      <c r="B6" s="41">
        <f t="shared" ref="B6:B66" si="0">B5+1</f>
        <v>5</v>
      </c>
      <c r="C6" s="46">
        <v>3</v>
      </c>
      <c r="E6" s="41">
        <f t="shared" ref="E6:E50" si="1">E5+1</f>
        <v>8</v>
      </c>
      <c r="F6" s="46">
        <v>25</v>
      </c>
      <c r="H6" s="41">
        <v>6</v>
      </c>
      <c r="I6" s="46">
        <v>1</v>
      </c>
      <c r="K6" s="41">
        <f t="shared" ref="K6:K54" si="2">K5+1</f>
        <v>2</v>
      </c>
      <c r="L6" s="46">
        <v>0</v>
      </c>
      <c r="N6" s="41">
        <f t="shared" ref="N6:N69" si="3">N5+1</f>
        <v>2</v>
      </c>
      <c r="O6" s="46">
        <v>0</v>
      </c>
      <c r="Q6" s="41">
        <f t="shared" ref="Q6:Q56" si="4">Q5+1</f>
        <v>2</v>
      </c>
      <c r="R6" s="46">
        <v>0</v>
      </c>
      <c r="T6" s="41">
        <f t="shared" ref="T6:T58" si="5">T5+1</f>
        <v>2</v>
      </c>
      <c r="U6" s="46">
        <v>0</v>
      </c>
      <c r="W6" s="41">
        <f t="shared" ref="W6:W69" si="6">W5+1</f>
        <v>2</v>
      </c>
      <c r="X6" s="46">
        <v>0</v>
      </c>
      <c r="Z6" s="41">
        <f t="shared" ref="Z6:Z64" si="7">Z5+1</f>
        <v>2</v>
      </c>
      <c r="AA6" s="46">
        <v>0</v>
      </c>
      <c r="AC6" s="41">
        <f t="shared" ref="AC6:AC54" si="8">AC5+1</f>
        <v>2</v>
      </c>
      <c r="AD6" s="46">
        <v>0</v>
      </c>
      <c r="AF6" s="41">
        <f t="shared" ref="AF6:AF64" si="9">AF5+1</f>
        <v>2</v>
      </c>
      <c r="AG6" s="46">
        <v>0</v>
      </c>
      <c r="AI6" s="41">
        <f t="shared" ref="AI6:AI40" si="10">AI5+1</f>
        <v>2</v>
      </c>
      <c r="AJ6" s="46">
        <v>0</v>
      </c>
      <c r="AL6" s="41">
        <f t="shared" ref="AL6:AL52" si="11">AL5+1</f>
        <v>2</v>
      </c>
      <c r="AM6" s="46">
        <v>0</v>
      </c>
    </row>
    <row r="7" spans="2:39" x14ac:dyDescent="0.25">
      <c r="B7" s="41">
        <f t="shared" si="0"/>
        <v>6</v>
      </c>
      <c r="C7" s="46">
        <v>4</v>
      </c>
      <c r="E7" s="41">
        <f t="shared" si="1"/>
        <v>9</v>
      </c>
      <c r="F7" s="46">
        <v>28</v>
      </c>
      <c r="H7" s="41">
        <v>7</v>
      </c>
      <c r="I7" s="46">
        <v>2</v>
      </c>
      <c r="K7" s="41">
        <f t="shared" si="2"/>
        <v>3</v>
      </c>
      <c r="L7" s="46">
        <v>0</v>
      </c>
      <c r="N7" s="41">
        <f t="shared" si="3"/>
        <v>3</v>
      </c>
      <c r="O7" s="46">
        <v>1</v>
      </c>
      <c r="Q7" s="41">
        <f t="shared" si="4"/>
        <v>3</v>
      </c>
      <c r="R7" s="46">
        <v>0</v>
      </c>
      <c r="T7" s="41">
        <f t="shared" si="5"/>
        <v>3</v>
      </c>
      <c r="U7" s="46">
        <v>0</v>
      </c>
      <c r="W7" s="41">
        <f t="shared" si="6"/>
        <v>3</v>
      </c>
      <c r="X7" s="46">
        <v>0</v>
      </c>
      <c r="Z7" s="41">
        <f t="shared" si="7"/>
        <v>3</v>
      </c>
      <c r="AA7" s="46">
        <v>0</v>
      </c>
      <c r="AC7" s="41">
        <f t="shared" si="8"/>
        <v>3</v>
      </c>
      <c r="AD7" s="46">
        <v>0</v>
      </c>
      <c r="AF7" s="41">
        <f t="shared" si="9"/>
        <v>3</v>
      </c>
      <c r="AG7" s="46">
        <v>0</v>
      </c>
      <c r="AI7" s="41">
        <f t="shared" si="10"/>
        <v>3</v>
      </c>
      <c r="AJ7" s="46">
        <v>0</v>
      </c>
      <c r="AL7" s="41">
        <f t="shared" si="11"/>
        <v>3</v>
      </c>
      <c r="AM7" s="46">
        <v>0</v>
      </c>
    </row>
    <row r="8" spans="2:39" x14ac:dyDescent="0.25">
      <c r="B8" s="41">
        <f t="shared" si="0"/>
        <v>7</v>
      </c>
      <c r="C8" s="46">
        <v>5</v>
      </c>
      <c r="E8" s="41">
        <f t="shared" si="1"/>
        <v>10</v>
      </c>
      <c r="F8" s="46">
        <v>31</v>
      </c>
      <c r="H8" s="41">
        <v>8</v>
      </c>
      <c r="I8" s="46">
        <v>2</v>
      </c>
      <c r="K8" s="41">
        <f t="shared" si="2"/>
        <v>4</v>
      </c>
      <c r="L8" s="46">
        <v>0</v>
      </c>
      <c r="N8" s="41">
        <f t="shared" si="3"/>
        <v>4</v>
      </c>
      <c r="O8" s="46">
        <v>1</v>
      </c>
      <c r="Q8" s="41">
        <f t="shared" si="4"/>
        <v>4</v>
      </c>
      <c r="R8" s="46">
        <v>0</v>
      </c>
      <c r="T8" s="41">
        <f t="shared" si="5"/>
        <v>4</v>
      </c>
      <c r="U8" s="46">
        <v>0</v>
      </c>
      <c r="W8" s="41">
        <f t="shared" si="6"/>
        <v>4</v>
      </c>
      <c r="X8" s="46">
        <v>0</v>
      </c>
      <c r="Z8" s="41">
        <f t="shared" si="7"/>
        <v>4</v>
      </c>
      <c r="AA8" s="46">
        <v>0</v>
      </c>
      <c r="AC8" s="41">
        <f t="shared" si="8"/>
        <v>4</v>
      </c>
      <c r="AD8" s="46">
        <v>0</v>
      </c>
      <c r="AF8" s="41">
        <f t="shared" si="9"/>
        <v>4</v>
      </c>
      <c r="AG8" s="46">
        <v>0</v>
      </c>
      <c r="AI8" s="41">
        <f t="shared" si="10"/>
        <v>4</v>
      </c>
      <c r="AJ8" s="46">
        <v>0</v>
      </c>
      <c r="AL8" s="41">
        <f t="shared" si="11"/>
        <v>4</v>
      </c>
      <c r="AM8" s="46">
        <v>0</v>
      </c>
    </row>
    <row r="9" spans="2:39" x14ac:dyDescent="0.25">
      <c r="B9" s="41">
        <f t="shared" si="0"/>
        <v>8</v>
      </c>
      <c r="C9" s="46">
        <v>6</v>
      </c>
      <c r="E9" s="41">
        <f t="shared" si="1"/>
        <v>11</v>
      </c>
      <c r="F9" s="46">
        <v>34</v>
      </c>
      <c r="H9" s="41">
        <v>9</v>
      </c>
      <c r="I9" s="46">
        <v>3</v>
      </c>
      <c r="K9" s="41">
        <f t="shared" si="2"/>
        <v>5</v>
      </c>
      <c r="L9" s="46">
        <v>0</v>
      </c>
      <c r="N9" s="41">
        <f t="shared" si="3"/>
        <v>5</v>
      </c>
      <c r="O9" s="46">
        <v>2</v>
      </c>
      <c r="Q9" s="41">
        <f t="shared" si="4"/>
        <v>5</v>
      </c>
      <c r="R9" s="46">
        <v>0</v>
      </c>
      <c r="T9" s="41">
        <f t="shared" si="5"/>
        <v>5</v>
      </c>
      <c r="U9" s="46">
        <v>2</v>
      </c>
      <c r="W9" s="41">
        <f t="shared" si="6"/>
        <v>5</v>
      </c>
      <c r="X9" s="46">
        <v>0</v>
      </c>
      <c r="Z9" s="41">
        <f t="shared" si="7"/>
        <v>5</v>
      </c>
      <c r="AA9" s="46">
        <v>2</v>
      </c>
      <c r="AC9" s="41">
        <f t="shared" si="8"/>
        <v>5</v>
      </c>
      <c r="AD9" s="46">
        <v>0</v>
      </c>
      <c r="AF9" s="41">
        <f t="shared" si="9"/>
        <v>5</v>
      </c>
      <c r="AG9" s="46">
        <v>0</v>
      </c>
      <c r="AI9" s="41">
        <f t="shared" si="10"/>
        <v>5</v>
      </c>
      <c r="AJ9" s="46">
        <v>0</v>
      </c>
      <c r="AL9" s="41">
        <f t="shared" si="11"/>
        <v>5</v>
      </c>
      <c r="AM9" s="46">
        <v>2</v>
      </c>
    </row>
    <row r="10" spans="2:39" x14ac:dyDescent="0.25">
      <c r="B10" s="41">
        <f t="shared" si="0"/>
        <v>9</v>
      </c>
      <c r="C10" s="46">
        <v>6</v>
      </c>
      <c r="E10" s="41">
        <f t="shared" si="1"/>
        <v>12</v>
      </c>
      <c r="F10" s="46">
        <v>35</v>
      </c>
      <c r="H10" s="41">
        <v>10</v>
      </c>
      <c r="I10" s="46">
        <v>3</v>
      </c>
      <c r="K10" s="41">
        <f t="shared" si="2"/>
        <v>6</v>
      </c>
      <c r="L10" s="46">
        <v>0</v>
      </c>
      <c r="N10" s="41">
        <f t="shared" si="3"/>
        <v>6</v>
      </c>
      <c r="O10" s="46">
        <v>2</v>
      </c>
      <c r="Q10" s="41">
        <f t="shared" si="4"/>
        <v>6</v>
      </c>
      <c r="R10" s="46">
        <v>1</v>
      </c>
      <c r="T10" s="41">
        <f t="shared" si="5"/>
        <v>6</v>
      </c>
      <c r="U10" s="46">
        <v>3</v>
      </c>
      <c r="W10" s="41">
        <f t="shared" si="6"/>
        <v>6</v>
      </c>
      <c r="X10" s="46">
        <v>1</v>
      </c>
      <c r="Z10" s="41">
        <f t="shared" si="7"/>
        <v>6</v>
      </c>
      <c r="AA10" s="46">
        <v>3</v>
      </c>
      <c r="AC10" s="41">
        <f t="shared" si="8"/>
        <v>6</v>
      </c>
      <c r="AD10" s="46">
        <v>0</v>
      </c>
      <c r="AF10" s="41">
        <f t="shared" si="9"/>
        <v>6</v>
      </c>
      <c r="AG10" s="46">
        <v>1</v>
      </c>
      <c r="AI10" s="41">
        <f t="shared" si="10"/>
        <v>6</v>
      </c>
      <c r="AJ10" s="46">
        <v>0</v>
      </c>
      <c r="AL10" s="41">
        <f t="shared" si="11"/>
        <v>6</v>
      </c>
      <c r="AM10" s="46">
        <v>4</v>
      </c>
    </row>
    <row r="11" spans="2:39" x14ac:dyDescent="0.25">
      <c r="B11" s="41">
        <f t="shared" si="0"/>
        <v>10</v>
      </c>
      <c r="C11" s="46">
        <v>6</v>
      </c>
      <c r="E11" s="41">
        <f t="shared" si="1"/>
        <v>13</v>
      </c>
      <c r="F11" s="46">
        <v>36</v>
      </c>
      <c r="H11" s="41">
        <v>11</v>
      </c>
      <c r="I11" s="46">
        <v>4</v>
      </c>
      <c r="K11" s="41">
        <f t="shared" si="2"/>
        <v>7</v>
      </c>
      <c r="L11" s="46">
        <v>0</v>
      </c>
      <c r="N11" s="41">
        <f t="shared" si="3"/>
        <v>7</v>
      </c>
      <c r="O11" s="46">
        <v>3</v>
      </c>
      <c r="Q11" s="41">
        <f t="shared" si="4"/>
        <v>7</v>
      </c>
      <c r="R11" s="46">
        <v>1</v>
      </c>
      <c r="T11" s="41">
        <f t="shared" si="5"/>
        <v>7</v>
      </c>
      <c r="U11" s="46">
        <v>4</v>
      </c>
      <c r="W11" s="41">
        <f t="shared" si="6"/>
        <v>7</v>
      </c>
      <c r="X11" s="46">
        <v>2</v>
      </c>
      <c r="Z11" s="41">
        <f t="shared" si="7"/>
        <v>7</v>
      </c>
      <c r="AA11" s="46">
        <v>4</v>
      </c>
      <c r="AC11" s="41">
        <f t="shared" si="8"/>
        <v>7</v>
      </c>
      <c r="AD11" s="46">
        <v>0</v>
      </c>
      <c r="AF11" s="41">
        <f t="shared" si="9"/>
        <v>7</v>
      </c>
      <c r="AG11" s="46">
        <v>1</v>
      </c>
      <c r="AI11" s="41">
        <f t="shared" si="10"/>
        <v>7</v>
      </c>
      <c r="AJ11" s="46">
        <v>0</v>
      </c>
      <c r="AL11" s="41">
        <f t="shared" si="11"/>
        <v>7</v>
      </c>
      <c r="AM11" s="46">
        <v>5</v>
      </c>
    </row>
    <row r="12" spans="2:39" x14ac:dyDescent="0.25">
      <c r="B12" s="41">
        <f t="shared" si="0"/>
        <v>11</v>
      </c>
      <c r="C12" s="46">
        <v>7</v>
      </c>
      <c r="E12" s="41">
        <f t="shared" si="1"/>
        <v>14</v>
      </c>
      <c r="F12" s="46">
        <v>37</v>
      </c>
      <c r="H12" s="41">
        <v>12</v>
      </c>
      <c r="I12" s="46">
        <v>4</v>
      </c>
      <c r="K12" s="41">
        <f t="shared" si="2"/>
        <v>8</v>
      </c>
      <c r="L12" s="46">
        <v>0</v>
      </c>
      <c r="N12" s="41">
        <f t="shared" si="3"/>
        <v>8</v>
      </c>
      <c r="O12" s="46">
        <v>4</v>
      </c>
      <c r="Q12" s="41">
        <f t="shared" si="4"/>
        <v>8</v>
      </c>
      <c r="R12" s="46">
        <v>2</v>
      </c>
      <c r="T12" s="41">
        <f t="shared" si="5"/>
        <v>8</v>
      </c>
      <c r="U12" s="46">
        <v>5</v>
      </c>
      <c r="W12" s="41">
        <f t="shared" si="6"/>
        <v>8</v>
      </c>
      <c r="X12" s="46">
        <v>2</v>
      </c>
      <c r="Z12" s="41">
        <f t="shared" si="7"/>
        <v>8</v>
      </c>
      <c r="AA12" s="46">
        <v>4</v>
      </c>
      <c r="AC12" s="41">
        <f t="shared" si="8"/>
        <v>8</v>
      </c>
      <c r="AD12" s="46">
        <v>0</v>
      </c>
      <c r="AF12" s="41">
        <f t="shared" si="9"/>
        <v>8</v>
      </c>
      <c r="AG12" s="46">
        <v>2</v>
      </c>
      <c r="AI12" s="41">
        <f t="shared" si="10"/>
        <v>8</v>
      </c>
      <c r="AJ12" s="46">
        <v>0</v>
      </c>
      <c r="AL12" s="41">
        <f t="shared" si="11"/>
        <v>8</v>
      </c>
      <c r="AM12" s="46">
        <v>6</v>
      </c>
    </row>
    <row r="13" spans="2:39" x14ac:dyDescent="0.25">
      <c r="B13" s="41">
        <f t="shared" si="0"/>
        <v>12</v>
      </c>
      <c r="C13" s="46">
        <v>7</v>
      </c>
      <c r="E13" s="41">
        <f t="shared" si="1"/>
        <v>15</v>
      </c>
      <c r="F13" s="46">
        <v>40</v>
      </c>
      <c r="H13" s="41">
        <v>13</v>
      </c>
      <c r="I13" s="46">
        <v>5</v>
      </c>
      <c r="K13" s="41">
        <f t="shared" si="2"/>
        <v>9</v>
      </c>
      <c r="L13" s="46">
        <v>0</v>
      </c>
      <c r="N13" s="41">
        <f t="shared" si="3"/>
        <v>9</v>
      </c>
      <c r="O13" s="46">
        <v>9</v>
      </c>
      <c r="Q13" s="41">
        <f t="shared" si="4"/>
        <v>9</v>
      </c>
      <c r="R13" s="46">
        <v>3</v>
      </c>
      <c r="T13" s="41">
        <f t="shared" si="5"/>
        <v>9</v>
      </c>
      <c r="U13" s="46">
        <v>5</v>
      </c>
      <c r="W13" s="41">
        <f t="shared" si="6"/>
        <v>9</v>
      </c>
      <c r="X13" s="46">
        <v>3</v>
      </c>
      <c r="Z13" s="41">
        <f t="shared" si="7"/>
        <v>9</v>
      </c>
      <c r="AA13" s="46">
        <v>5</v>
      </c>
      <c r="AC13" s="41">
        <f t="shared" si="8"/>
        <v>9</v>
      </c>
      <c r="AD13" s="46">
        <v>0</v>
      </c>
      <c r="AF13" s="41">
        <f t="shared" si="9"/>
        <v>9</v>
      </c>
      <c r="AG13" s="46">
        <v>2</v>
      </c>
      <c r="AI13" s="41">
        <f t="shared" si="10"/>
        <v>9</v>
      </c>
      <c r="AJ13" s="46">
        <v>0</v>
      </c>
      <c r="AL13" s="41">
        <f t="shared" si="11"/>
        <v>9</v>
      </c>
      <c r="AM13" s="46">
        <v>7</v>
      </c>
    </row>
    <row r="14" spans="2:39" x14ac:dyDescent="0.25">
      <c r="B14" s="41">
        <f t="shared" si="0"/>
        <v>13</v>
      </c>
      <c r="C14" s="46">
        <v>8</v>
      </c>
      <c r="E14" s="41">
        <f t="shared" si="1"/>
        <v>16</v>
      </c>
      <c r="F14" s="46">
        <v>42</v>
      </c>
      <c r="H14" s="41">
        <v>14</v>
      </c>
      <c r="I14" s="46">
        <v>5</v>
      </c>
      <c r="K14" s="41">
        <f t="shared" si="2"/>
        <v>10</v>
      </c>
      <c r="L14" s="46">
        <v>0</v>
      </c>
      <c r="N14" s="41">
        <f t="shared" si="3"/>
        <v>10</v>
      </c>
      <c r="O14" s="46">
        <v>6</v>
      </c>
      <c r="Q14" s="41">
        <f t="shared" si="4"/>
        <v>10</v>
      </c>
      <c r="R14" s="46">
        <v>3</v>
      </c>
      <c r="T14" s="41">
        <f t="shared" si="5"/>
        <v>10</v>
      </c>
      <c r="U14" s="46">
        <v>6</v>
      </c>
      <c r="W14" s="41">
        <f t="shared" si="6"/>
        <v>10</v>
      </c>
      <c r="X14" s="46">
        <v>3</v>
      </c>
      <c r="Z14" s="41">
        <f t="shared" si="7"/>
        <v>10</v>
      </c>
      <c r="AA14" s="46">
        <v>5</v>
      </c>
      <c r="AC14" s="41">
        <f t="shared" si="8"/>
        <v>10</v>
      </c>
      <c r="AD14" s="46">
        <v>0</v>
      </c>
      <c r="AF14" s="41">
        <f t="shared" si="9"/>
        <v>10</v>
      </c>
      <c r="AG14" s="46">
        <v>3</v>
      </c>
      <c r="AI14" s="41">
        <f t="shared" si="10"/>
        <v>10</v>
      </c>
      <c r="AJ14" s="46">
        <v>0</v>
      </c>
      <c r="AL14" s="41">
        <f t="shared" si="11"/>
        <v>10</v>
      </c>
      <c r="AM14" s="46">
        <v>9</v>
      </c>
    </row>
    <row r="15" spans="2:39" x14ac:dyDescent="0.25">
      <c r="B15" s="41">
        <f t="shared" si="0"/>
        <v>14</v>
      </c>
      <c r="C15" s="46">
        <v>8</v>
      </c>
      <c r="E15" s="41">
        <f t="shared" si="1"/>
        <v>17</v>
      </c>
      <c r="F15" s="46">
        <v>43</v>
      </c>
      <c r="H15" s="41">
        <v>15</v>
      </c>
      <c r="I15" s="46">
        <v>6</v>
      </c>
      <c r="K15" s="41">
        <f t="shared" si="2"/>
        <v>11</v>
      </c>
      <c r="L15" s="46">
        <v>0</v>
      </c>
      <c r="N15" s="41">
        <f t="shared" si="3"/>
        <v>11</v>
      </c>
      <c r="O15" s="46">
        <v>7</v>
      </c>
      <c r="Q15" s="41">
        <f t="shared" si="4"/>
        <v>11</v>
      </c>
      <c r="R15" s="46">
        <v>4</v>
      </c>
      <c r="T15" s="41">
        <f t="shared" si="5"/>
        <v>11</v>
      </c>
      <c r="U15" s="46">
        <v>7</v>
      </c>
      <c r="W15" s="41">
        <f t="shared" si="6"/>
        <v>11</v>
      </c>
      <c r="X15" s="46">
        <v>3</v>
      </c>
      <c r="Z15" s="41">
        <f t="shared" si="7"/>
        <v>11</v>
      </c>
      <c r="AA15" s="46">
        <v>6</v>
      </c>
      <c r="AC15" s="41">
        <f t="shared" si="8"/>
        <v>11</v>
      </c>
      <c r="AD15" s="46">
        <v>0</v>
      </c>
      <c r="AF15" s="41">
        <f t="shared" si="9"/>
        <v>11</v>
      </c>
      <c r="AG15" s="46">
        <v>3</v>
      </c>
      <c r="AI15" s="41">
        <f t="shared" si="10"/>
        <v>11</v>
      </c>
      <c r="AJ15" s="46">
        <v>0</v>
      </c>
      <c r="AL15" s="41">
        <f t="shared" si="11"/>
        <v>11</v>
      </c>
      <c r="AM15" s="46">
        <v>11</v>
      </c>
    </row>
    <row r="16" spans="2:39" x14ac:dyDescent="0.25">
      <c r="B16" s="41">
        <f t="shared" si="0"/>
        <v>15</v>
      </c>
      <c r="C16" s="46">
        <v>9</v>
      </c>
      <c r="E16" s="41">
        <f t="shared" si="1"/>
        <v>18</v>
      </c>
      <c r="F16" s="46">
        <v>45</v>
      </c>
      <c r="H16" s="41">
        <v>16</v>
      </c>
      <c r="I16" s="46">
        <v>7</v>
      </c>
      <c r="K16" s="41">
        <f t="shared" si="2"/>
        <v>12</v>
      </c>
      <c r="L16" s="46">
        <v>0</v>
      </c>
      <c r="N16" s="41">
        <f t="shared" si="3"/>
        <v>12</v>
      </c>
      <c r="O16" s="46">
        <v>8</v>
      </c>
      <c r="Q16" s="41">
        <f t="shared" si="4"/>
        <v>12</v>
      </c>
      <c r="R16" s="46">
        <v>5</v>
      </c>
      <c r="T16" s="41">
        <f t="shared" si="5"/>
        <v>12</v>
      </c>
      <c r="U16" s="46">
        <v>8</v>
      </c>
      <c r="W16" s="41">
        <f t="shared" si="6"/>
        <v>12</v>
      </c>
      <c r="X16" s="46">
        <v>4</v>
      </c>
      <c r="Z16" s="41">
        <f t="shared" si="7"/>
        <v>12</v>
      </c>
      <c r="AA16" s="46">
        <v>6</v>
      </c>
      <c r="AC16" s="41">
        <f t="shared" si="8"/>
        <v>12</v>
      </c>
      <c r="AD16" s="46">
        <v>0</v>
      </c>
      <c r="AF16" s="41">
        <f t="shared" si="9"/>
        <v>12</v>
      </c>
      <c r="AG16" s="46">
        <v>4</v>
      </c>
      <c r="AI16" s="41">
        <f t="shared" si="10"/>
        <v>12</v>
      </c>
      <c r="AJ16" s="46">
        <v>24</v>
      </c>
      <c r="AL16" s="41">
        <f t="shared" si="11"/>
        <v>12</v>
      </c>
      <c r="AM16" s="46">
        <v>13</v>
      </c>
    </row>
    <row r="17" spans="2:39" x14ac:dyDescent="0.25">
      <c r="B17" s="41">
        <f t="shared" si="0"/>
        <v>16</v>
      </c>
      <c r="C17" s="46">
        <v>9</v>
      </c>
      <c r="E17" s="41">
        <f t="shared" si="1"/>
        <v>19</v>
      </c>
      <c r="F17" s="46">
        <v>46</v>
      </c>
      <c r="H17" s="41">
        <v>17</v>
      </c>
      <c r="I17" s="46">
        <v>7</v>
      </c>
      <c r="K17" s="41">
        <f t="shared" si="2"/>
        <v>13</v>
      </c>
      <c r="L17" s="46">
        <v>0</v>
      </c>
      <c r="N17" s="41">
        <f t="shared" si="3"/>
        <v>13</v>
      </c>
      <c r="O17" s="46">
        <v>10</v>
      </c>
      <c r="Q17" s="41">
        <f t="shared" si="4"/>
        <v>13</v>
      </c>
      <c r="R17" s="46">
        <v>5</v>
      </c>
      <c r="T17" s="41">
        <f t="shared" si="5"/>
        <v>13</v>
      </c>
      <c r="U17" s="46">
        <v>8</v>
      </c>
      <c r="W17" s="41">
        <f t="shared" si="6"/>
        <v>13</v>
      </c>
      <c r="X17" s="46">
        <v>4</v>
      </c>
      <c r="Z17" s="41">
        <f t="shared" si="7"/>
        <v>13</v>
      </c>
      <c r="AA17" s="46">
        <v>7</v>
      </c>
      <c r="AC17" s="41">
        <f t="shared" si="8"/>
        <v>13</v>
      </c>
      <c r="AD17" s="46">
        <v>0</v>
      </c>
      <c r="AF17" s="41">
        <f t="shared" si="9"/>
        <v>13</v>
      </c>
      <c r="AG17" s="46">
        <v>4</v>
      </c>
      <c r="AI17" s="41">
        <f t="shared" si="10"/>
        <v>13</v>
      </c>
      <c r="AJ17" s="46">
        <v>25</v>
      </c>
      <c r="AL17" s="41">
        <f t="shared" si="11"/>
        <v>13</v>
      </c>
      <c r="AM17" s="46">
        <v>16</v>
      </c>
    </row>
    <row r="18" spans="2:39" x14ac:dyDescent="0.25">
      <c r="B18" s="41">
        <f t="shared" si="0"/>
        <v>17</v>
      </c>
      <c r="C18" s="46">
        <v>9</v>
      </c>
      <c r="E18" s="41">
        <f t="shared" si="1"/>
        <v>20</v>
      </c>
      <c r="F18" s="46">
        <v>48</v>
      </c>
      <c r="H18" s="41">
        <v>18</v>
      </c>
      <c r="I18" s="46">
        <v>8</v>
      </c>
      <c r="K18" s="41">
        <f t="shared" si="2"/>
        <v>14</v>
      </c>
      <c r="L18" s="46">
        <v>24</v>
      </c>
      <c r="N18" s="41">
        <f t="shared" si="3"/>
        <v>14</v>
      </c>
      <c r="O18" s="46">
        <v>11</v>
      </c>
      <c r="Q18" s="41">
        <f t="shared" si="4"/>
        <v>14</v>
      </c>
      <c r="R18" s="46">
        <v>6</v>
      </c>
      <c r="T18" s="41">
        <f t="shared" si="5"/>
        <v>14</v>
      </c>
      <c r="U18" s="46">
        <v>9</v>
      </c>
      <c r="W18" s="41">
        <f t="shared" si="6"/>
        <v>14</v>
      </c>
      <c r="X18" s="46">
        <v>4</v>
      </c>
      <c r="Z18" s="41">
        <f t="shared" si="7"/>
        <v>14</v>
      </c>
      <c r="AA18" s="46">
        <v>7</v>
      </c>
      <c r="AC18" s="41">
        <f t="shared" si="8"/>
        <v>14</v>
      </c>
      <c r="AD18" s="46">
        <v>24</v>
      </c>
      <c r="AF18" s="41">
        <f t="shared" si="9"/>
        <v>14</v>
      </c>
      <c r="AG18" s="46">
        <v>4</v>
      </c>
      <c r="AI18" s="41">
        <f t="shared" si="10"/>
        <v>14</v>
      </c>
      <c r="AJ18" s="46">
        <v>28</v>
      </c>
      <c r="AL18" s="41">
        <f t="shared" si="11"/>
        <v>14</v>
      </c>
      <c r="AM18" s="46">
        <v>19</v>
      </c>
    </row>
    <row r="19" spans="2:39" x14ac:dyDescent="0.25">
      <c r="B19" s="41">
        <f t="shared" si="0"/>
        <v>18</v>
      </c>
      <c r="C19" s="46">
        <v>10</v>
      </c>
      <c r="E19" s="41">
        <f t="shared" si="1"/>
        <v>21</v>
      </c>
      <c r="F19" s="46">
        <v>49</v>
      </c>
      <c r="H19" s="41">
        <v>19</v>
      </c>
      <c r="I19" s="46">
        <v>8</v>
      </c>
      <c r="K19" s="41">
        <f t="shared" si="2"/>
        <v>15</v>
      </c>
      <c r="L19" s="46">
        <v>24</v>
      </c>
      <c r="N19" s="41">
        <f t="shared" si="3"/>
        <v>15</v>
      </c>
      <c r="O19" s="46">
        <v>12</v>
      </c>
      <c r="Q19" s="41">
        <f t="shared" si="4"/>
        <v>15</v>
      </c>
      <c r="R19" s="46">
        <v>7</v>
      </c>
      <c r="T19" s="41">
        <f t="shared" si="5"/>
        <v>15</v>
      </c>
      <c r="U19" s="46">
        <v>10</v>
      </c>
      <c r="W19" s="41">
        <f t="shared" si="6"/>
        <v>15</v>
      </c>
      <c r="X19" s="46">
        <v>4</v>
      </c>
      <c r="Z19" s="41">
        <f t="shared" si="7"/>
        <v>15</v>
      </c>
      <c r="AA19" s="46">
        <v>8</v>
      </c>
      <c r="AC19" s="41">
        <f t="shared" si="8"/>
        <v>15</v>
      </c>
      <c r="AD19" s="46">
        <v>15</v>
      </c>
      <c r="AF19" s="41">
        <f t="shared" si="9"/>
        <v>15</v>
      </c>
      <c r="AG19" s="46">
        <v>5</v>
      </c>
      <c r="AI19" s="41">
        <f t="shared" si="10"/>
        <v>15</v>
      </c>
      <c r="AJ19" s="46">
        <v>29</v>
      </c>
      <c r="AL19" s="41">
        <f t="shared" si="11"/>
        <v>15</v>
      </c>
      <c r="AM19" s="46">
        <v>21</v>
      </c>
    </row>
    <row r="20" spans="2:39" x14ac:dyDescent="0.25">
      <c r="B20" s="41">
        <f t="shared" si="0"/>
        <v>19</v>
      </c>
      <c r="C20" s="46">
        <v>10</v>
      </c>
      <c r="E20" s="41">
        <f t="shared" si="1"/>
        <v>22</v>
      </c>
      <c r="F20" s="46">
        <v>51</v>
      </c>
      <c r="H20" s="41">
        <v>20</v>
      </c>
      <c r="I20" s="46">
        <v>9</v>
      </c>
      <c r="K20" s="41">
        <f t="shared" si="2"/>
        <v>16</v>
      </c>
      <c r="L20" s="46">
        <v>25</v>
      </c>
      <c r="N20" s="41">
        <f t="shared" si="3"/>
        <v>16</v>
      </c>
      <c r="O20" s="46">
        <v>13</v>
      </c>
      <c r="Q20" s="41">
        <f t="shared" si="4"/>
        <v>16</v>
      </c>
      <c r="R20" s="46">
        <v>8</v>
      </c>
      <c r="T20" s="41">
        <f t="shared" si="5"/>
        <v>16</v>
      </c>
      <c r="U20" s="46">
        <v>10</v>
      </c>
      <c r="W20" s="41">
        <f t="shared" si="6"/>
        <v>16</v>
      </c>
      <c r="X20" s="46">
        <v>5</v>
      </c>
      <c r="Z20" s="41">
        <f t="shared" si="7"/>
        <v>16</v>
      </c>
      <c r="AA20" s="46">
        <v>8</v>
      </c>
      <c r="AC20" s="41">
        <f t="shared" si="8"/>
        <v>16</v>
      </c>
      <c r="AD20" s="46">
        <v>31</v>
      </c>
      <c r="AF20" s="41">
        <f t="shared" si="9"/>
        <v>16</v>
      </c>
      <c r="AG20" s="46">
        <v>5</v>
      </c>
      <c r="AI20" s="41">
        <f t="shared" si="10"/>
        <v>16</v>
      </c>
      <c r="AJ20" s="46">
        <v>30</v>
      </c>
      <c r="AL20" s="41">
        <f t="shared" si="11"/>
        <v>16</v>
      </c>
      <c r="AM20" s="46">
        <v>23</v>
      </c>
    </row>
    <row r="21" spans="2:39" x14ac:dyDescent="0.25">
      <c r="B21" s="41">
        <f t="shared" si="0"/>
        <v>20</v>
      </c>
      <c r="C21" s="46">
        <v>11</v>
      </c>
      <c r="E21" s="41">
        <f t="shared" si="1"/>
        <v>23</v>
      </c>
      <c r="F21" s="46">
        <v>52</v>
      </c>
      <c r="H21" s="41">
        <v>21</v>
      </c>
      <c r="I21" s="46">
        <v>9</v>
      </c>
      <c r="K21" s="41">
        <f t="shared" si="2"/>
        <v>17</v>
      </c>
      <c r="L21" s="46">
        <v>27</v>
      </c>
      <c r="N21" s="41">
        <f t="shared" si="3"/>
        <v>17</v>
      </c>
      <c r="O21" s="46">
        <v>13</v>
      </c>
      <c r="Q21" s="41">
        <f t="shared" si="4"/>
        <v>17</v>
      </c>
      <c r="R21" s="46">
        <v>9</v>
      </c>
      <c r="T21" s="41">
        <f t="shared" si="5"/>
        <v>17</v>
      </c>
      <c r="U21" s="46">
        <v>11</v>
      </c>
      <c r="W21" s="41">
        <f t="shared" si="6"/>
        <v>17</v>
      </c>
      <c r="X21" s="46">
        <v>5</v>
      </c>
      <c r="Z21" s="41">
        <f t="shared" si="7"/>
        <v>17</v>
      </c>
      <c r="AA21" s="46">
        <v>9</v>
      </c>
      <c r="AC21" s="41">
        <f t="shared" si="8"/>
        <v>17</v>
      </c>
      <c r="AD21" s="46">
        <v>34</v>
      </c>
      <c r="AF21" s="41">
        <f t="shared" si="9"/>
        <v>17</v>
      </c>
      <c r="AG21" s="46">
        <v>6</v>
      </c>
      <c r="AI21" s="41">
        <f t="shared" si="10"/>
        <v>17</v>
      </c>
      <c r="AJ21" s="46">
        <v>31</v>
      </c>
      <c r="AL21" s="41">
        <f t="shared" si="11"/>
        <v>17</v>
      </c>
      <c r="AM21" s="46">
        <v>25</v>
      </c>
    </row>
    <row r="22" spans="2:39" x14ac:dyDescent="0.25">
      <c r="B22" s="41">
        <f t="shared" si="0"/>
        <v>21</v>
      </c>
      <c r="C22" s="46">
        <v>11</v>
      </c>
      <c r="E22" s="41">
        <f t="shared" si="1"/>
        <v>24</v>
      </c>
      <c r="F22" s="46">
        <v>53</v>
      </c>
      <c r="H22" s="41">
        <v>22</v>
      </c>
      <c r="I22" s="46">
        <v>10</v>
      </c>
      <c r="K22" s="41">
        <f t="shared" si="2"/>
        <v>18</v>
      </c>
      <c r="L22" s="46">
        <v>28</v>
      </c>
      <c r="N22" s="41">
        <f t="shared" si="3"/>
        <v>18</v>
      </c>
      <c r="O22" s="46">
        <v>14</v>
      </c>
      <c r="Q22" s="41">
        <f t="shared" si="4"/>
        <v>18</v>
      </c>
      <c r="R22" s="46">
        <v>11</v>
      </c>
      <c r="T22" s="41">
        <f t="shared" si="5"/>
        <v>18</v>
      </c>
      <c r="U22" s="46">
        <v>12</v>
      </c>
      <c r="W22" s="41">
        <f t="shared" si="6"/>
        <v>18</v>
      </c>
      <c r="X22" s="46">
        <v>5</v>
      </c>
      <c r="Z22" s="41">
        <f t="shared" si="7"/>
        <v>18</v>
      </c>
      <c r="AA22" s="46">
        <v>9</v>
      </c>
      <c r="AC22" s="41">
        <f t="shared" si="8"/>
        <v>18</v>
      </c>
      <c r="AD22" s="46">
        <v>37</v>
      </c>
      <c r="AF22" s="41">
        <f t="shared" si="9"/>
        <v>18</v>
      </c>
      <c r="AG22" s="46">
        <v>6</v>
      </c>
      <c r="AI22" s="41">
        <f t="shared" si="10"/>
        <v>18</v>
      </c>
      <c r="AJ22" s="46">
        <v>34</v>
      </c>
      <c r="AL22" s="41">
        <f t="shared" si="11"/>
        <v>18</v>
      </c>
      <c r="AM22" s="46">
        <v>26</v>
      </c>
    </row>
    <row r="23" spans="2:39" x14ac:dyDescent="0.25">
      <c r="B23" s="41">
        <f t="shared" si="0"/>
        <v>22</v>
      </c>
      <c r="C23" s="46">
        <v>12</v>
      </c>
      <c r="E23" s="41">
        <f t="shared" si="1"/>
        <v>25</v>
      </c>
      <c r="F23" s="46">
        <v>54</v>
      </c>
      <c r="H23" s="41">
        <v>23</v>
      </c>
      <c r="I23" s="46">
        <v>10</v>
      </c>
      <c r="K23" s="41">
        <f t="shared" si="2"/>
        <v>19</v>
      </c>
      <c r="L23" s="46">
        <v>28</v>
      </c>
      <c r="N23" s="41">
        <f t="shared" si="3"/>
        <v>19</v>
      </c>
      <c r="O23" s="46">
        <v>15</v>
      </c>
      <c r="Q23" s="41">
        <f t="shared" si="4"/>
        <v>19</v>
      </c>
      <c r="R23" s="46">
        <v>11</v>
      </c>
      <c r="T23" s="41">
        <f t="shared" si="5"/>
        <v>19</v>
      </c>
      <c r="U23" s="46">
        <v>13</v>
      </c>
      <c r="W23" s="41">
        <f t="shared" si="6"/>
        <v>19</v>
      </c>
      <c r="X23" s="46">
        <v>5</v>
      </c>
      <c r="Z23" s="41">
        <f t="shared" si="7"/>
        <v>19</v>
      </c>
      <c r="AA23" s="46">
        <v>9</v>
      </c>
      <c r="AC23" s="41">
        <f t="shared" si="8"/>
        <v>19</v>
      </c>
      <c r="AD23" s="46">
        <v>40</v>
      </c>
      <c r="AF23" s="41">
        <f t="shared" si="9"/>
        <v>19</v>
      </c>
      <c r="AG23" s="46">
        <v>7</v>
      </c>
      <c r="AI23" s="41">
        <f t="shared" si="10"/>
        <v>19</v>
      </c>
      <c r="AJ23" s="46">
        <v>35</v>
      </c>
      <c r="AL23" s="41">
        <f t="shared" si="11"/>
        <v>19</v>
      </c>
      <c r="AM23" s="46">
        <v>27</v>
      </c>
    </row>
    <row r="24" spans="2:39" x14ac:dyDescent="0.25">
      <c r="B24" s="41">
        <f t="shared" si="0"/>
        <v>23</v>
      </c>
      <c r="C24" s="46">
        <v>12</v>
      </c>
      <c r="E24" s="41">
        <f t="shared" si="1"/>
        <v>26</v>
      </c>
      <c r="F24" s="46">
        <v>55</v>
      </c>
      <c r="H24" s="41">
        <v>24</v>
      </c>
      <c r="I24" s="46">
        <v>11</v>
      </c>
      <c r="K24" s="41">
        <f t="shared" si="2"/>
        <v>20</v>
      </c>
      <c r="L24" s="46">
        <v>29</v>
      </c>
      <c r="N24" s="41">
        <f t="shared" si="3"/>
        <v>20</v>
      </c>
      <c r="O24" s="46">
        <v>16</v>
      </c>
      <c r="Q24" s="41">
        <f t="shared" si="4"/>
        <v>20</v>
      </c>
      <c r="R24" s="46">
        <v>12</v>
      </c>
      <c r="T24" s="41">
        <f t="shared" si="5"/>
        <v>20</v>
      </c>
      <c r="U24" s="46">
        <v>14</v>
      </c>
      <c r="W24" s="41">
        <f t="shared" si="6"/>
        <v>20</v>
      </c>
      <c r="X24" s="46">
        <v>5</v>
      </c>
      <c r="Z24" s="41">
        <f t="shared" si="7"/>
        <v>20</v>
      </c>
      <c r="AA24" s="46">
        <v>10</v>
      </c>
      <c r="AC24" s="41">
        <f t="shared" si="8"/>
        <v>20</v>
      </c>
      <c r="AD24" s="46">
        <v>41</v>
      </c>
      <c r="AF24" s="41">
        <f t="shared" si="9"/>
        <v>20</v>
      </c>
      <c r="AG24" s="46">
        <v>8</v>
      </c>
      <c r="AI24" s="41">
        <f t="shared" si="10"/>
        <v>20</v>
      </c>
      <c r="AJ24" s="46">
        <v>36</v>
      </c>
      <c r="AL24" s="41">
        <f t="shared" si="11"/>
        <v>20</v>
      </c>
      <c r="AM24" s="46">
        <v>28</v>
      </c>
    </row>
    <row r="25" spans="2:39" x14ac:dyDescent="0.25">
      <c r="B25" s="41">
        <f t="shared" si="0"/>
        <v>24</v>
      </c>
      <c r="C25" s="46">
        <v>13</v>
      </c>
      <c r="E25" s="41">
        <f t="shared" si="1"/>
        <v>27</v>
      </c>
      <c r="F25" s="46">
        <v>58</v>
      </c>
      <c r="H25" s="41">
        <v>25</v>
      </c>
      <c r="I25" s="46">
        <v>12</v>
      </c>
      <c r="K25" s="41">
        <f t="shared" si="2"/>
        <v>21</v>
      </c>
      <c r="L25" s="46">
        <v>30</v>
      </c>
      <c r="N25" s="41">
        <f t="shared" si="3"/>
        <v>21</v>
      </c>
      <c r="O25" s="46">
        <v>17</v>
      </c>
      <c r="Q25" s="41">
        <f t="shared" si="4"/>
        <v>21</v>
      </c>
      <c r="R25" s="46">
        <v>13</v>
      </c>
      <c r="T25" s="41">
        <f t="shared" si="5"/>
        <v>21</v>
      </c>
      <c r="U25" s="46">
        <v>14</v>
      </c>
      <c r="W25" s="41">
        <f t="shared" si="6"/>
        <v>21</v>
      </c>
      <c r="X25" s="46">
        <v>6</v>
      </c>
      <c r="Z25" s="41">
        <f t="shared" si="7"/>
        <v>21</v>
      </c>
      <c r="AA25" s="46">
        <v>10</v>
      </c>
      <c r="AC25" s="41">
        <f t="shared" si="8"/>
        <v>21</v>
      </c>
      <c r="AD25" s="46">
        <v>43</v>
      </c>
      <c r="AF25" s="41">
        <f t="shared" si="9"/>
        <v>21</v>
      </c>
      <c r="AG25" s="46">
        <v>9</v>
      </c>
      <c r="AI25" s="41">
        <f t="shared" si="10"/>
        <v>21</v>
      </c>
      <c r="AJ25" s="46">
        <v>37</v>
      </c>
      <c r="AL25" s="41">
        <f t="shared" si="11"/>
        <v>21</v>
      </c>
      <c r="AM25" s="46">
        <v>30</v>
      </c>
    </row>
    <row r="26" spans="2:39" x14ac:dyDescent="0.25">
      <c r="B26" s="41">
        <f t="shared" si="0"/>
        <v>25</v>
      </c>
      <c r="C26" s="46">
        <v>13</v>
      </c>
      <c r="E26" s="41">
        <f t="shared" si="1"/>
        <v>28</v>
      </c>
      <c r="F26" s="46">
        <v>59</v>
      </c>
      <c r="H26" s="41">
        <v>26</v>
      </c>
      <c r="I26" s="46">
        <v>13</v>
      </c>
      <c r="K26" s="41">
        <f t="shared" si="2"/>
        <v>22</v>
      </c>
      <c r="L26" s="46">
        <v>31</v>
      </c>
      <c r="N26" s="41">
        <f t="shared" si="3"/>
        <v>22</v>
      </c>
      <c r="O26" s="46">
        <v>18</v>
      </c>
      <c r="Q26" s="41">
        <f t="shared" si="4"/>
        <v>22</v>
      </c>
      <c r="R26" s="46">
        <v>13</v>
      </c>
      <c r="T26" s="41">
        <f t="shared" si="5"/>
        <v>22</v>
      </c>
      <c r="U26" s="46">
        <v>15</v>
      </c>
      <c r="W26" s="41">
        <f t="shared" si="6"/>
        <v>22</v>
      </c>
      <c r="X26" s="46">
        <v>6</v>
      </c>
      <c r="Z26" s="41">
        <f t="shared" si="7"/>
        <v>22</v>
      </c>
      <c r="AA26" s="46">
        <v>11</v>
      </c>
      <c r="AC26" s="41">
        <f t="shared" si="8"/>
        <v>22</v>
      </c>
      <c r="AD26" s="46">
        <v>46</v>
      </c>
      <c r="AF26" s="41">
        <f t="shared" si="9"/>
        <v>22</v>
      </c>
      <c r="AG26" s="46">
        <v>10</v>
      </c>
      <c r="AI26" s="41">
        <f t="shared" si="10"/>
        <v>22</v>
      </c>
      <c r="AJ26" s="46">
        <v>39</v>
      </c>
      <c r="AL26" s="41">
        <f t="shared" si="11"/>
        <v>22</v>
      </c>
      <c r="AM26" s="46">
        <v>31</v>
      </c>
    </row>
    <row r="27" spans="2:39" x14ac:dyDescent="0.25">
      <c r="B27" s="41">
        <f t="shared" si="0"/>
        <v>26</v>
      </c>
      <c r="C27" s="46">
        <v>14</v>
      </c>
      <c r="E27" s="41">
        <f t="shared" si="1"/>
        <v>29</v>
      </c>
      <c r="F27" s="46">
        <v>60</v>
      </c>
      <c r="H27" s="41">
        <v>27</v>
      </c>
      <c r="I27" s="46">
        <v>13</v>
      </c>
      <c r="K27" s="41">
        <f t="shared" si="2"/>
        <v>23</v>
      </c>
      <c r="L27" s="46">
        <v>33</v>
      </c>
      <c r="N27" s="41">
        <f t="shared" si="3"/>
        <v>23</v>
      </c>
      <c r="O27" s="46">
        <v>19</v>
      </c>
      <c r="Q27" s="41">
        <f t="shared" si="4"/>
        <v>23</v>
      </c>
      <c r="R27" s="46">
        <v>14</v>
      </c>
      <c r="T27" s="41">
        <f t="shared" si="5"/>
        <v>23</v>
      </c>
      <c r="U27" s="46">
        <v>15</v>
      </c>
      <c r="W27" s="41">
        <f t="shared" si="6"/>
        <v>23</v>
      </c>
      <c r="X27" s="46">
        <v>6</v>
      </c>
      <c r="Z27" s="41">
        <f t="shared" si="7"/>
        <v>23</v>
      </c>
      <c r="AA27" s="46">
        <v>11</v>
      </c>
      <c r="AC27" s="41">
        <f t="shared" si="8"/>
        <v>23</v>
      </c>
      <c r="AD27" s="46">
        <v>49</v>
      </c>
      <c r="AF27" s="41">
        <f t="shared" si="9"/>
        <v>23</v>
      </c>
      <c r="AG27" s="46">
        <v>10</v>
      </c>
      <c r="AI27" s="41">
        <f t="shared" si="10"/>
        <v>23</v>
      </c>
      <c r="AJ27" s="46">
        <v>40</v>
      </c>
      <c r="AL27" s="41">
        <f t="shared" si="11"/>
        <v>23</v>
      </c>
      <c r="AM27" s="46">
        <v>23</v>
      </c>
    </row>
    <row r="28" spans="2:39" x14ac:dyDescent="0.25">
      <c r="B28" s="41">
        <f t="shared" si="0"/>
        <v>27</v>
      </c>
      <c r="C28" s="46">
        <v>15</v>
      </c>
      <c r="E28" s="41">
        <f t="shared" si="1"/>
        <v>30</v>
      </c>
      <c r="F28" s="46">
        <v>61</v>
      </c>
      <c r="H28" s="41">
        <v>28</v>
      </c>
      <c r="I28" s="46">
        <v>14</v>
      </c>
      <c r="K28" s="41">
        <f t="shared" si="2"/>
        <v>24</v>
      </c>
      <c r="L28" s="46">
        <v>24</v>
      </c>
      <c r="N28" s="41">
        <f t="shared" si="3"/>
        <v>24</v>
      </c>
      <c r="O28" s="46">
        <v>20</v>
      </c>
      <c r="Q28" s="41">
        <f t="shared" si="4"/>
        <v>24</v>
      </c>
      <c r="R28" s="46">
        <v>16</v>
      </c>
      <c r="T28" s="41">
        <f t="shared" si="5"/>
        <v>24</v>
      </c>
      <c r="U28" s="46">
        <v>16</v>
      </c>
      <c r="W28" s="41">
        <f t="shared" si="6"/>
        <v>24</v>
      </c>
      <c r="X28" s="46">
        <v>6</v>
      </c>
      <c r="Z28" s="41">
        <f t="shared" si="7"/>
        <v>24</v>
      </c>
      <c r="AA28" s="46">
        <v>12</v>
      </c>
      <c r="AC28" s="41">
        <f t="shared" si="8"/>
        <v>24</v>
      </c>
      <c r="AD28" s="46">
        <v>52</v>
      </c>
      <c r="AF28" s="41">
        <f t="shared" si="9"/>
        <v>24</v>
      </c>
      <c r="AG28" s="46">
        <v>11</v>
      </c>
      <c r="AI28" s="41">
        <f t="shared" si="10"/>
        <v>24</v>
      </c>
      <c r="AJ28" s="46">
        <v>41</v>
      </c>
      <c r="AL28" s="41">
        <f t="shared" si="11"/>
        <v>24</v>
      </c>
      <c r="AM28" s="46">
        <v>34</v>
      </c>
    </row>
    <row r="29" spans="2:39" x14ac:dyDescent="0.25">
      <c r="B29" s="41">
        <f t="shared" si="0"/>
        <v>28</v>
      </c>
      <c r="C29" s="46">
        <v>16</v>
      </c>
      <c r="E29" s="41">
        <f t="shared" si="1"/>
        <v>31</v>
      </c>
      <c r="F29" s="46">
        <v>64</v>
      </c>
      <c r="H29" s="41">
        <v>29</v>
      </c>
      <c r="I29" s="46">
        <v>14</v>
      </c>
      <c r="K29" s="41">
        <f t="shared" si="2"/>
        <v>25</v>
      </c>
      <c r="L29" s="46">
        <v>36</v>
      </c>
      <c r="N29" s="41">
        <f t="shared" si="3"/>
        <v>25</v>
      </c>
      <c r="O29" s="46">
        <v>21</v>
      </c>
      <c r="Q29" s="41">
        <f t="shared" si="4"/>
        <v>25</v>
      </c>
      <c r="R29" s="46">
        <v>17</v>
      </c>
      <c r="T29" s="41">
        <f t="shared" si="5"/>
        <v>25</v>
      </c>
      <c r="U29" s="46">
        <v>18</v>
      </c>
      <c r="W29" s="41">
        <f t="shared" si="6"/>
        <v>25</v>
      </c>
      <c r="X29" s="46">
        <v>7</v>
      </c>
      <c r="Z29" s="41">
        <f t="shared" si="7"/>
        <v>25</v>
      </c>
      <c r="AA29" s="46">
        <v>13</v>
      </c>
      <c r="AC29" s="41">
        <f t="shared" si="8"/>
        <v>25</v>
      </c>
      <c r="AD29" s="46">
        <v>53</v>
      </c>
      <c r="AF29" s="41">
        <f t="shared" si="9"/>
        <v>25</v>
      </c>
      <c r="AG29" s="46">
        <v>13</v>
      </c>
      <c r="AI29" s="41">
        <f t="shared" si="10"/>
        <v>25</v>
      </c>
      <c r="AJ29" s="46">
        <v>42</v>
      </c>
      <c r="AL29" s="41">
        <f t="shared" si="11"/>
        <v>25</v>
      </c>
      <c r="AM29" s="46">
        <v>25</v>
      </c>
    </row>
    <row r="30" spans="2:39" x14ac:dyDescent="0.25">
      <c r="B30" s="41">
        <f t="shared" si="0"/>
        <v>29</v>
      </c>
      <c r="C30" s="46">
        <v>17</v>
      </c>
      <c r="E30" s="41">
        <f t="shared" si="1"/>
        <v>32</v>
      </c>
      <c r="F30" s="46">
        <v>65</v>
      </c>
      <c r="H30" s="41">
        <v>30</v>
      </c>
      <c r="I30" s="46">
        <v>15</v>
      </c>
      <c r="K30" s="41">
        <f t="shared" si="2"/>
        <v>26</v>
      </c>
      <c r="L30" s="46">
        <v>37</v>
      </c>
      <c r="N30" s="41">
        <f t="shared" si="3"/>
        <v>26</v>
      </c>
      <c r="O30" s="46">
        <v>22</v>
      </c>
      <c r="Q30" s="41">
        <f t="shared" si="4"/>
        <v>26</v>
      </c>
      <c r="R30" s="46">
        <v>18</v>
      </c>
      <c r="T30" s="41">
        <f t="shared" si="5"/>
        <v>26</v>
      </c>
      <c r="U30" s="46">
        <v>20</v>
      </c>
      <c r="W30" s="41">
        <f t="shared" si="6"/>
        <v>26</v>
      </c>
      <c r="X30" s="46">
        <v>7</v>
      </c>
      <c r="Z30" s="41">
        <f t="shared" si="7"/>
        <v>26</v>
      </c>
      <c r="AA30" s="46">
        <v>14</v>
      </c>
      <c r="AC30" s="41">
        <f t="shared" si="8"/>
        <v>26</v>
      </c>
      <c r="AD30" s="46">
        <v>55</v>
      </c>
      <c r="AF30" s="41">
        <f t="shared" si="9"/>
        <v>26</v>
      </c>
      <c r="AG30" s="46">
        <v>14</v>
      </c>
      <c r="AI30" s="41">
        <f t="shared" si="10"/>
        <v>26</v>
      </c>
      <c r="AJ30" s="46">
        <v>43</v>
      </c>
      <c r="AL30" s="41">
        <f t="shared" si="11"/>
        <v>26</v>
      </c>
      <c r="AM30" s="46">
        <v>36</v>
      </c>
    </row>
    <row r="31" spans="2:39" x14ac:dyDescent="0.25">
      <c r="B31" s="41">
        <f t="shared" si="0"/>
        <v>30</v>
      </c>
      <c r="C31" s="46">
        <v>18</v>
      </c>
      <c r="E31" s="41">
        <f t="shared" si="1"/>
        <v>33</v>
      </c>
      <c r="F31" s="46">
        <v>67</v>
      </c>
      <c r="H31" s="41">
        <v>31</v>
      </c>
      <c r="I31" s="46">
        <v>16</v>
      </c>
      <c r="K31" s="41">
        <f t="shared" si="2"/>
        <v>27</v>
      </c>
      <c r="L31" s="46">
        <v>39</v>
      </c>
      <c r="N31" s="41">
        <f t="shared" si="3"/>
        <v>27</v>
      </c>
      <c r="O31" s="46">
        <v>23</v>
      </c>
      <c r="Q31" s="41">
        <f t="shared" si="4"/>
        <v>27</v>
      </c>
      <c r="R31" s="46">
        <v>20</v>
      </c>
      <c r="T31" s="41">
        <f t="shared" si="5"/>
        <v>27</v>
      </c>
      <c r="U31" s="46">
        <v>21</v>
      </c>
      <c r="W31" s="41">
        <f t="shared" si="6"/>
        <v>27</v>
      </c>
      <c r="X31" s="46">
        <v>8</v>
      </c>
      <c r="Z31" s="41">
        <f t="shared" si="7"/>
        <v>27</v>
      </c>
      <c r="AA31" s="46">
        <v>16</v>
      </c>
      <c r="AC31" s="41">
        <f t="shared" si="8"/>
        <v>27</v>
      </c>
      <c r="AD31" s="46">
        <v>56</v>
      </c>
      <c r="AF31" s="41">
        <f t="shared" si="9"/>
        <v>27</v>
      </c>
      <c r="AG31" s="46">
        <v>15</v>
      </c>
      <c r="AI31" s="41">
        <f t="shared" si="10"/>
        <v>27</v>
      </c>
      <c r="AJ31" s="46">
        <v>45</v>
      </c>
      <c r="AL31" s="41">
        <f t="shared" si="11"/>
        <v>27</v>
      </c>
      <c r="AM31" s="46">
        <v>37</v>
      </c>
    </row>
    <row r="32" spans="2:39" x14ac:dyDescent="0.25">
      <c r="B32" s="41">
        <f t="shared" si="0"/>
        <v>31</v>
      </c>
      <c r="C32" s="46">
        <v>19</v>
      </c>
      <c r="E32" s="41">
        <f t="shared" si="1"/>
        <v>34</v>
      </c>
      <c r="F32" s="46">
        <v>70</v>
      </c>
      <c r="H32" s="41">
        <v>32</v>
      </c>
      <c r="I32" s="46">
        <v>16</v>
      </c>
      <c r="K32" s="41">
        <f t="shared" si="2"/>
        <v>28</v>
      </c>
      <c r="L32" s="46">
        <v>40</v>
      </c>
      <c r="N32" s="41">
        <f t="shared" si="3"/>
        <v>28</v>
      </c>
      <c r="O32" s="46">
        <v>23</v>
      </c>
      <c r="Q32" s="41">
        <f t="shared" si="4"/>
        <v>28</v>
      </c>
      <c r="R32" s="46">
        <v>23</v>
      </c>
      <c r="T32" s="41">
        <f t="shared" si="5"/>
        <v>28</v>
      </c>
      <c r="U32" s="46">
        <v>22</v>
      </c>
      <c r="W32" s="41">
        <f t="shared" si="6"/>
        <v>28</v>
      </c>
      <c r="X32" s="46">
        <v>8</v>
      </c>
      <c r="Z32" s="41">
        <f t="shared" si="7"/>
        <v>28</v>
      </c>
      <c r="AA32" s="46">
        <v>19</v>
      </c>
      <c r="AC32" s="41">
        <f t="shared" si="8"/>
        <v>28</v>
      </c>
      <c r="AD32" s="46">
        <v>58</v>
      </c>
      <c r="AF32" s="41">
        <f t="shared" si="9"/>
        <v>28</v>
      </c>
      <c r="AG32" s="46">
        <v>16</v>
      </c>
      <c r="AI32" s="41">
        <f t="shared" si="10"/>
        <v>28</v>
      </c>
      <c r="AJ32" s="46">
        <v>46</v>
      </c>
      <c r="AL32" s="41">
        <f t="shared" si="11"/>
        <v>28</v>
      </c>
      <c r="AM32" s="46">
        <v>37</v>
      </c>
    </row>
    <row r="33" spans="2:39" x14ac:dyDescent="0.25">
      <c r="B33" s="41">
        <f t="shared" si="0"/>
        <v>32</v>
      </c>
      <c r="C33" s="46">
        <v>20</v>
      </c>
      <c r="E33" s="41">
        <f t="shared" si="1"/>
        <v>35</v>
      </c>
      <c r="F33" s="46">
        <v>71</v>
      </c>
      <c r="H33" s="41">
        <v>33</v>
      </c>
      <c r="I33" s="46">
        <v>17</v>
      </c>
      <c r="K33" s="41">
        <f t="shared" si="2"/>
        <v>29</v>
      </c>
      <c r="L33" s="46">
        <v>41</v>
      </c>
      <c r="N33" s="41">
        <f t="shared" si="3"/>
        <v>29</v>
      </c>
      <c r="O33" s="46">
        <v>23</v>
      </c>
      <c r="Q33" s="41">
        <f t="shared" si="4"/>
        <v>29</v>
      </c>
      <c r="R33" s="46">
        <v>25</v>
      </c>
      <c r="T33" s="41">
        <f t="shared" si="5"/>
        <v>29</v>
      </c>
      <c r="U33" s="46">
        <v>23</v>
      </c>
      <c r="W33" s="41">
        <f t="shared" si="6"/>
        <v>29</v>
      </c>
      <c r="X33" s="46">
        <v>8</v>
      </c>
      <c r="Z33" s="41">
        <f t="shared" si="7"/>
        <v>29</v>
      </c>
      <c r="AA33" s="46">
        <v>22</v>
      </c>
      <c r="AC33" s="41">
        <f t="shared" si="8"/>
        <v>29</v>
      </c>
      <c r="AD33" s="46">
        <v>59</v>
      </c>
      <c r="AF33" s="41">
        <f t="shared" si="9"/>
        <v>29</v>
      </c>
      <c r="AG33" s="46">
        <v>17</v>
      </c>
      <c r="AI33" s="41">
        <f t="shared" si="10"/>
        <v>29</v>
      </c>
      <c r="AJ33" s="46">
        <v>48</v>
      </c>
      <c r="AL33" s="41">
        <f t="shared" si="11"/>
        <v>29</v>
      </c>
      <c r="AM33" s="46">
        <v>38</v>
      </c>
    </row>
    <row r="34" spans="2:39" x14ac:dyDescent="0.25">
      <c r="B34" s="41">
        <f t="shared" si="0"/>
        <v>33</v>
      </c>
      <c r="C34" s="46">
        <v>21</v>
      </c>
      <c r="E34" s="41">
        <f t="shared" si="1"/>
        <v>36</v>
      </c>
      <c r="F34" s="46">
        <v>72</v>
      </c>
      <c r="H34" s="41">
        <v>34</v>
      </c>
      <c r="I34" s="46">
        <v>18</v>
      </c>
      <c r="K34" s="41">
        <f t="shared" si="2"/>
        <v>30</v>
      </c>
      <c r="L34" s="46">
        <v>42</v>
      </c>
      <c r="N34" s="41">
        <f t="shared" si="3"/>
        <v>30</v>
      </c>
      <c r="O34" s="46">
        <v>24</v>
      </c>
      <c r="Q34" s="41">
        <f t="shared" si="4"/>
        <v>30</v>
      </c>
      <c r="R34" s="46">
        <v>26</v>
      </c>
      <c r="T34" s="41">
        <f t="shared" si="5"/>
        <v>30</v>
      </c>
      <c r="U34" s="46">
        <v>24</v>
      </c>
      <c r="W34" s="41">
        <f t="shared" si="6"/>
        <v>30</v>
      </c>
      <c r="X34" s="46">
        <v>9</v>
      </c>
      <c r="Z34" s="41">
        <f t="shared" si="7"/>
        <v>30</v>
      </c>
      <c r="AA34" s="46">
        <v>25</v>
      </c>
      <c r="AC34" s="41">
        <f t="shared" si="8"/>
        <v>30</v>
      </c>
      <c r="AD34" s="46">
        <v>60</v>
      </c>
      <c r="AF34" s="41">
        <f t="shared" si="9"/>
        <v>30</v>
      </c>
      <c r="AG34" s="46">
        <v>19</v>
      </c>
      <c r="AI34" s="41">
        <f t="shared" si="10"/>
        <v>30</v>
      </c>
      <c r="AJ34" s="46">
        <v>49</v>
      </c>
      <c r="AL34" s="41">
        <f t="shared" si="11"/>
        <v>30</v>
      </c>
      <c r="AM34" s="46">
        <v>39</v>
      </c>
    </row>
    <row r="35" spans="2:39" x14ac:dyDescent="0.25">
      <c r="B35" s="41">
        <f t="shared" si="0"/>
        <v>34</v>
      </c>
      <c r="C35" s="46">
        <v>22</v>
      </c>
      <c r="E35" s="41">
        <f t="shared" si="1"/>
        <v>37</v>
      </c>
      <c r="F35" s="46">
        <v>73</v>
      </c>
      <c r="H35" s="41">
        <v>35</v>
      </c>
      <c r="I35" s="46">
        <v>19</v>
      </c>
      <c r="K35" s="41">
        <f t="shared" si="2"/>
        <v>31</v>
      </c>
      <c r="L35" s="46">
        <v>43</v>
      </c>
      <c r="N35" s="41">
        <f t="shared" si="3"/>
        <v>31</v>
      </c>
      <c r="O35" s="46">
        <v>25</v>
      </c>
      <c r="Q35" s="41">
        <f t="shared" si="4"/>
        <v>31</v>
      </c>
      <c r="R35" s="46">
        <v>28</v>
      </c>
      <c r="T35" s="41">
        <f t="shared" si="5"/>
        <v>31</v>
      </c>
      <c r="U35" s="46">
        <v>25</v>
      </c>
      <c r="W35" s="41">
        <f t="shared" si="6"/>
        <v>31</v>
      </c>
      <c r="X35" s="46">
        <v>9</v>
      </c>
      <c r="Z35" s="41">
        <f t="shared" si="7"/>
        <v>31</v>
      </c>
      <c r="AA35" s="46">
        <v>28</v>
      </c>
      <c r="AC35" s="41">
        <f t="shared" si="8"/>
        <v>31</v>
      </c>
      <c r="AD35" s="46">
        <v>61</v>
      </c>
      <c r="AF35" s="41">
        <f t="shared" si="9"/>
        <v>31</v>
      </c>
      <c r="AG35" s="46">
        <v>20</v>
      </c>
      <c r="AI35" s="41">
        <f t="shared" si="10"/>
        <v>31</v>
      </c>
      <c r="AJ35" s="46">
        <v>50</v>
      </c>
      <c r="AL35" s="41">
        <f t="shared" si="11"/>
        <v>31</v>
      </c>
      <c r="AM35" s="46">
        <v>40</v>
      </c>
    </row>
    <row r="36" spans="2:39" x14ac:dyDescent="0.25">
      <c r="B36" s="41">
        <f t="shared" si="0"/>
        <v>35</v>
      </c>
      <c r="C36" s="46">
        <v>23</v>
      </c>
      <c r="E36" s="41">
        <f t="shared" si="1"/>
        <v>38</v>
      </c>
      <c r="F36" s="46">
        <v>76</v>
      </c>
      <c r="H36" s="41">
        <v>36</v>
      </c>
      <c r="I36" s="46">
        <v>20</v>
      </c>
      <c r="K36" s="41">
        <f t="shared" si="2"/>
        <v>32</v>
      </c>
      <c r="L36" s="46">
        <v>46</v>
      </c>
      <c r="N36" s="41">
        <f t="shared" si="3"/>
        <v>32</v>
      </c>
      <c r="O36" s="46">
        <v>26</v>
      </c>
      <c r="Q36" s="41">
        <f t="shared" si="4"/>
        <v>32</v>
      </c>
      <c r="R36" s="46">
        <v>29</v>
      </c>
      <c r="T36" s="41">
        <f t="shared" si="5"/>
        <v>32</v>
      </c>
      <c r="U36" s="46">
        <v>26</v>
      </c>
      <c r="W36" s="41">
        <f t="shared" si="6"/>
        <v>32</v>
      </c>
      <c r="X36" s="46">
        <v>9</v>
      </c>
      <c r="Z36" s="41">
        <f t="shared" si="7"/>
        <v>32</v>
      </c>
      <c r="AA36" s="46">
        <v>31</v>
      </c>
      <c r="AC36" s="41">
        <f t="shared" si="8"/>
        <v>32</v>
      </c>
      <c r="AD36" s="46">
        <v>64</v>
      </c>
      <c r="AF36" s="41">
        <f t="shared" si="9"/>
        <v>32</v>
      </c>
      <c r="AG36" s="46">
        <v>21</v>
      </c>
      <c r="AI36" s="41">
        <f t="shared" si="10"/>
        <v>32</v>
      </c>
      <c r="AJ36" s="46">
        <v>51</v>
      </c>
      <c r="AL36" s="41">
        <f t="shared" si="11"/>
        <v>32</v>
      </c>
      <c r="AM36" s="46">
        <v>41</v>
      </c>
    </row>
    <row r="37" spans="2:39" x14ac:dyDescent="0.25">
      <c r="B37" s="41">
        <f t="shared" si="0"/>
        <v>36</v>
      </c>
      <c r="C37" s="46">
        <v>24</v>
      </c>
      <c r="E37" s="41">
        <f t="shared" si="1"/>
        <v>39</v>
      </c>
      <c r="F37" s="46">
        <v>77</v>
      </c>
      <c r="H37" s="41">
        <v>37</v>
      </c>
      <c r="I37" s="46">
        <v>21</v>
      </c>
      <c r="K37" s="41">
        <f t="shared" si="2"/>
        <v>33</v>
      </c>
      <c r="L37" s="46">
        <v>48</v>
      </c>
      <c r="N37" s="41">
        <f t="shared" si="3"/>
        <v>33</v>
      </c>
      <c r="O37" s="46">
        <v>27</v>
      </c>
      <c r="Q37" s="41">
        <f t="shared" si="4"/>
        <v>33</v>
      </c>
      <c r="R37" s="46">
        <v>30</v>
      </c>
      <c r="T37" s="41">
        <f t="shared" si="5"/>
        <v>33</v>
      </c>
      <c r="U37" s="46">
        <v>26</v>
      </c>
      <c r="W37" s="41">
        <f t="shared" si="6"/>
        <v>33</v>
      </c>
      <c r="X37" s="46">
        <v>9</v>
      </c>
      <c r="Z37" s="41">
        <f t="shared" si="7"/>
        <v>33</v>
      </c>
      <c r="AA37" s="46">
        <v>32</v>
      </c>
      <c r="AC37" s="41">
        <f t="shared" si="8"/>
        <v>33</v>
      </c>
      <c r="AD37" s="46">
        <v>65</v>
      </c>
      <c r="AF37" s="41">
        <f t="shared" si="9"/>
        <v>33</v>
      </c>
      <c r="AG37" s="46">
        <v>22</v>
      </c>
      <c r="AI37" s="41">
        <f t="shared" si="10"/>
        <v>33</v>
      </c>
      <c r="AJ37" s="46">
        <v>52</v>
      </c>
      <c r="AL37" s="41">
        <f t="shared" si="11"/>
        <v>33</v>
      </c>
      <c r="AM37" s="46">
        <v>42</v>
      </c>
    </row>
    <row r="38" spans="2:39" x14ac:dyDescent="0.25">
      <c r="B38" s="41">
        <f t="shared" si="0"/>
        <v>37</v>
      </c>
      <c r="C38" s="46">
        <v>25</v>
      </c>
      <c r="E38" s="41">
        <f t="shared" si="1"/>
        <v>40</v>
      </c>
      <c r="F38" s="46">
        <v>79</v>
      </c>
      <c r="H38" s="41">
        <v>38</v>
      </c>
      <c r="I38" s="46">
        <v>22</v>
      </c>
      <c r="K38" s="41">
        <f t="shared" si="2"/>
        <v>34</v>
      </c>
      <c r="L38" s="46">
        <v>49</v>
      </c>
      <c r="N38" s="41">
        <f t="shared" si="3"/>
        <v>34</v>
      </c>
      <c r="O38" s="46">
        <v>28</v>
      </c>
      <c r="Q38" s="41">
        <f t="shared" si="4"/>
        <v>34</v>
      </c>
      <c r="R38" s="46">
        <v>31</v>
      </c>
      <c r="T38" s="41">
        <f t="shared" si="5"/>
        <v>34</v>
      </c>
      <c r="U38" s="46">
        <v>27</v>
      </c>
      <c r="W38" s="41">
        <f t="shared" si="6"/>
        <v>34</v>
      </c>
      <c r="X38" s="46">
        <v>10</v>
      </c>
      <c r="Z38" s="41">
        <f t="shared" si="7"/>
        <v>34</v>
      </c>
      <c r="AA38" s="46">
        <v>34</v>
      </c>
      <c r="AC38" s="41">
        <f t="shared" si="8"/>
        <v>34</v>
      </c>
      <c r="AD38" s="46">
        <v>66</v>
      </c>
      <c r="AF38" s="41">
        <f t="shared" si="9"/>
        <v>34</v>
      </c>
      <c r="AG38" s="46">
        <v>24</v>
      </c>
      <c r="AI38" s="41">
        <f t="shared" si="10"/>
        <v>34</v>
      </c>
      <c r="AJ38" s="46">
        <v>54</v>
      </c>
      <c r="AL38" s="41">
        <f t="shared" si="11"/>
        <v>34</v>
      </c>
      <c r="AM38" s="46">
        <v>34</v>
      </c>
    </row>
    <row r="39" spans="2:39" x14ac:dyDescent="0.25">
      <c r="B39" s="41">
        <f t="shared" si="0"/>
        <v>38</v>
      </c>
      <c r="C39" s="46">
        <v>27</v>
      </c>
      <c r="E39" s="41">
        <f t="shared" si="1"/>
        <v>41</v>
      </c>
      <c r="F39" s="46">
        <v>82</v>
      </c>
      <c r="H39" s="41">
        <v>39</v>
      </c>
      <c r="I39" s="46">
        <v>23</v>
      </c>
      <c r="K39" s="41">
        <f t="shared" si="2"/>
        <v>35</v>
      </c>
      <c r="L39" s="46">
        <v>51</v>
      </c>
      <c r="N39" s="41">
        <f t="shared" si="3"/>
        <v>35</v>
      </c>
      <c r="O39" s="46">
        <v>28</v>
      </c>
      <c r="Q39" s="41">
        <f t="shared" si="4"/>
        <v>35</v>
      </c>
      <c r="R39" s="46">
        <v>34</v>
      </c>
      <c r="T39" s="41">
        <f t="shared" si="5"/>
        <v>35</v>
      </c>
      <c r="U39" s="46">
        <v>28</v>
      </c>
      <c r="W39" s="41">
        <f t="shared" si="6"/>
        <v>35</v>
      </c>
      <c r="X39" s="46">
        <v>10</v>
      </c>
      <c r="Z39" s="41">
        <f t="shared" si="7"/>
        <v>35</v>
      </c>
      <c r="AA39" s="46">
        <v>35</v>
      </c>
      <c r="AC39" s="41">
        <f t="shared" si="8"/>
        <v>35</v>
      </c>
      <c r="AD39" s="46">
        <v>67</v>
      </c>
      <c r="AF39" s="41">
        <f t="shared" si="9"/>
        <v>35</v>
      </c>
      <c r="AG39" s="46">
        <v>25</v>
      </c>
      <c r="AI39" s="41">
        <f t="shared" si="10"/>
        <v>35</v>
      </c>
      <c r="AJ39" s="46">
        <v>55</v>
      </c>
      <c r="AL39" s="41">
        <f t="shared" si="11"/>
        <v>35</v>
      </c>
      <c r="AM39" s="46">
        <v>44</v>
      </c>
    </row>
    <row r="40" spans="2:39" ht="15.75" thickBot="1" x14ac:dyDescent="0.3">
      <c r="B40" s="41">
        <f t="shared" si="0"/>
        <v>39</v>
      </c>
      <c r="C40" s="46">
        <v>28</v>
      </c>
      <c r="E40" s="41">
        <f t="shared" si="1"/>
        <v>42</v>
      </c>
      <c r="F40" s="46">
        <v>85</v>
      </c>
      <c r="H40" s="41">
        <v>40</v>
      </c>
      <c r="I40" s="46">
        <v>24</v>
      </c>
      <c r="K40" s="41">
        <f t="shared" si="2"/>
        <v>36</v>
      </c>
      <c r="L40" s="46">
        <v>52</v>
      </c>
      <c r="N40" s="41">
        <f t="shared" si="3"/>
        <v>36</v>
      </c>
      <c r="O40" s="46">
        <v>28</v>
      </c>
      <c r="Q40" s="41">
        <f t="shared" si="4"/>
        <v>36</v>
      </c>
      <c r="R40" s="46">
        <v>35</v>
      </c>
      <c r="T40" s="41">
        <f t="shared" si="5"/>
        <v>36</v>
      </c>
      <c r="U40" s="46">
        <v>28</v>
      </c>
      <c r="W40" s="41">
        <f t="shared" si="6"/>
        <v>36</v>
      </c>
      <c r="X40" s="46">
        <v>10</v>
      </c>
      <c r="Z40" s="41">
        <f t="shared" si="7"/>
        <v>36</v>
      </c>
      <c r="AA40" s="46">
        <v>36</v>
      </c>
      <c r="AC40" s="41">
        <f t="shared" si="8"/>
        <v>36</v>
      </c>
      <c r="AD40" s="46">
        <v>70</v>
      </c>
      <c r="AF40" s="41">
        <f t="shared" si="9"/>
        <v>36</v>
      </c>
      <c r="AG40" s="46">
        <v>28</v>
      </c>
      <c r="AI40" s="43">
        <f t="shared" si="10"/>
        <v>36</v>
      </c>
      <c r="AJ40" s="268">
        <v>58</v>
      </c>
      <c r="AL40" s="41">
        <f t="shared" si="11"/>
        <v>36</v>
      </c>
      <c r="AM40" s="46">
        <v>45</v>
      </c>
    </row>
    <row r="41" spans="2:39" x14ac:dyDescent="0.25">
      <c r="B41" s="41">
        <f t="shared" si="0"/>
        <v>40</v>
      </c>
      <c r="C41" s="46">
        <v>29</v>
      </c>
      <c r="E41" s="41">
        <f t="shared" si="1"/>
        <v>43</v>
      </c>
      <c r="F41" s="46">
        <v>88</v>
      </c>
      <c r="H41" s="41">
        <v>41</v>
      </c>
      <c r="I41" s="46">
        <v>25</v>
      </c>
      <c r="K41" s="41">
        <f t="shared" si="2"/>
        <v>37</v>
      </c>
      <c r="L41" s="46">
        <v>54</v>
      </c>
      <c r="N41" s="41">
        <f t="shared" si="3"/>
        <v>37</v>
      </c>
      <c r="O41" s="46">
        <v>29</v>
      </c>
      <c r="Q41" s="41">
        <f t="shared" si="4"/>
        <v>37</v>
      </c>
      <c r="R41" s="46">
        <v>36</v>
      </c>
      <c r="T41" s="41">
        <f t="shared" si="5"/>
        <v>37</v>
      </c>
      <c r="U41" s="46">
        <v>29</v>
      </c>
      <c r="W41" s="41">
        <f t="shared" si="6"/>
        <v>37</v>
      </c>
      <c r="X41" s="46">
        <v>11</v>
      </c>
      <c r="Z41" s="41">
        <f t="shared" si="7"/>
        <v>37</v>
      </c>
      <c r="AA41" s="46">
        <v>37</v>
      </c>
      <c r="AC41" s="41">
        <f t="shared" si="8"/>
        <v>37</v>
      </c>
      <c r="AD41" s="46">
        <v>71</v>
      </c>
      <c r="AF41" s="41">
        <f t="shared" si="9"/>
        <v>37</v>
      </c>
      <c r="AG41" s="46">
        <v>30</v>
      </c>
      <c r="AJ41" s="2" t="s">
        <v>4</v>
      </c>
      <c r="AL41" s="41">
        <f t="shared" si="11"/>
        <v>37</v>
      </c>
      <c r="AM41" s="46">
        <v>46</v>
      </c>
    </row>
    <row r="42" spans="2:39" x14ac:dyDescent="0.25">
      <c r="B42" s="41">
        <f t="shared" si="0"/>
        <v>41</v>
      </c>
      <c r="C42" s="46">
        <v>30</v>
      </c>
      <c r="E42" s="41">
        <f t="shared" si="1"/>
        <v>44</v>
      </c>
      <c r="F42" s="46">
        <v>91</v>
      </c>
      <c r="H42" s="41">
        <v>42</v>
      </c>
      <c r="I42" s="46">
        <v>27</v>
      </c>
      <c r="K42" s="41">
        <f t="shared" si="2"/>
        <v>38</v>
      </c>
      <c r="L42" s="46">
        <v>55</v>
      </c>
      <c r="N42" s="41">
        <f t="shared" si="3"/>
        <v>38</v>
      </c>
      <c r="O42" s="46">
        <v>29</v>
      </c>
      <c r="Q42" s="41">
        <f t="shared" si="4"/>
        <v>38</v>
      </c>
      <c r="R42" s="46">
        <v>37</v>
      </c>
      <c r="T42" s="41">
        <f t="shared" si="5"/>
        <v>38</v>
      </c>
      <c r="U42" s="46">
        <v>30</v>
      </c>
      <c r="W42" s="41">
        <f t="shared" si="6"/>
        <v>38</v>
      </c>
      <c r="X42" s="46">
        <v>11</v>
      </c>
      <c r="Z42" s="41">
        <f t="shared" si="7"/>
        <v>38</v>
      </c>
      <c r="AA42" s="46">
        <v>40</v>
      </c>
      <c r="AC42" s="41">
        <f t="shared" si="8"/>
        <v>38</v>
      </c>
      <c r="AD42" s="46">
        <v>73</v>
      </c>
      <c r="AF42" s="41">
        <f t="shared" si="9"/>
        <v>38</v>
      </c>
      <c r="AG42" s="46">
        <v>31</v>
      </c>
      <c r="AL42" s="41">
        <f t="shared" si="11"/>
        <v>38</v>
      </c>
      <c r="AM42" s="46">
        <v>47</v>
      </c>
    </row>
    <row r="43" spans="2:39" x14ac:dyDescent="0.25">
      <c r="B43" s="41">
        <f t="shared" si="0"/>
        <v>42</v>
      </c>
      <c r="C43" s="46">
        <v>31</v>
      </c>
      <c r="E43" s="41">
        <f t="shared" si="1"/>
        <v>45</v>
      </c>
      <c r="F43" s="46">
        <v>95</v>
      </c>
      <c r="H43" s="41">
        <v>43</v>
      </c>
      <c r="I43" s="46">
        <v>28</v>
      </c>
      <c r="K43" s="41">
        <f t="shared" si="2"/>
        <v>39</v>
      </c>
      <c r="L43" s="46">
        <v>58</v>
      </c>
      <c r="N43" s="41">
        <f t="shared" si="3"/>
        <v>39</v>
      </c>
      <c r="O43" s="46">
        <v>30</v>
      </c>
      <c r="Q43" s="41">
        <f t="shared" si="4"/>
        <v>39</v>
      </c>
      <c r="R43" s="46">
        <v>37</v>
      </c>
      <c r="T43" s="41">
        <f t="shared" si="5"/>
        <v>39</v>
      </c>
      <c r="U43" s="46">
        <v>31</v>
      </c>
      <c r="W43" s="41">
        <f t="shared" si="6"/>
        <v>39</v>
      </c>
      <c r="X43" s="46">
        <v>11</v>
      </c>
      <c r="Z43" s="41">
        <f t="shared" si="7"/>
        <v>39</v>
      </c>
      <c r="AA43" s="46">
        <v>41</v>
      </c>
      <c r="AC43" s="41">
        <f t="shared" si="8"/>
        <v>39</v>
      </c>
      <c r="AD43" s="46">
        <v>76</v>
      </c>
      <c r="AF43" s="41">
        <f t="shared" si="9"/>
        <v>39</v>
      </c>
      <c r="AG43" s="46">
        <v>32</v>
      </c>
      <c r="AL43" s="41">
        <f t="shared" si="11"/>
        <v>39</v>
      </c>
      <c r="AM43" s="46">
        <v>48</v>
      </c>
    </row>
    <row r="44" spans="2:39" x14ac:dyDescent="0.25">
      <c r="B44" s="41">
        <f t="shared" si="0"/>
        <v>43</v>
      </c>
      <c r="C44" s="46">
        <v>31</v>
      </c>
      <c r="E44" s="271">
        <f>E43+1</f>
        <v>46</v>
      </c>
      <c r="F44" s="272">
        <v>95</v>
      </c>
      <c r="H44" s="41">
        <v>44</v>
      </c>
      <c r="I44" s="46">
        <v>29</v>
      </c>
      <c r="K44" s="41">
        <f t="shared" si="2"/>
        <v>40</v>
      </c>
      <c r="L44" s="46">
        <v>61</v>
      </c>
      <c r="N44" s="41">
        <f t="shared" si="3"/>
        <v>40</v>
      </c>
      <c r="O44" s="46">
        <v>31</v>
      </c>
      <c r="Q44" s="41">
        <f t="shared" si="4"/>
        <v>40</v>
      </c>
      <c r="R44" s="46">
        <v>38</v>
      </c>
      <c r="T44" s="41">
        <f t="shared" si="5"/>
        <v>40</v>
      </c>
      <c r="U44" s="46">
        <v>32</v>
      </c>
      <c r="W44" s="41">
        <f t="shared" si="6"/>
        <v>40</v>
      </c>
      <c r="X44" s="46">
        <v>12</v>
      </c>
      <c r="Z44" s="41">
        <f t="shared" si="7"/>
        <v>40</v>
      </c>
      <c r="AA44" s="46">
        <v>42</v>
      </c>
      <c r="AC44" s="41">
        <f t="shared" si="8"/>
        <v>40</v>
      </c>
      <c r="AD44" s="46">
        <v>79</v>
      </c>
      <c r="AF44" s="41">
        <f t="shared" si="9"/>
        <v>40</v>
      </c>
      <c r="AG44" s="46">
        <v>34</v>
      </c>
      <c r="AL44" s="41">
        <f t="shared" si="11"/>
        <v>40</v>
      </c>
      <c r="AM44" s="46">
        <v>49</v>
      </c>
    </row>
    <row r="45" spans="2:39" x14ac:dyDescent="0.25">
      <c r="B45" s="41">
        <f t="shared" si="0"/>
        <v>44</v>
      </c>
      <c r="C45" s="46">
        <v>32</v>
      </c>
      <c r="E45" s="271">
        <f>E44+1</f>
        <v>47</v>
      </c>
      <c r="F45" s="272">
        <v>95</v>
      </c>
      <c r="H45" s="41">
        <v>45</v>
      </c>
      <c r="I45" s="46">
        <v>30</v>
      </c>
      <c r="K45" s="41">
        <f t="shared" si="2"/>
        <v>41</v>
      </c>
      <c r="L45" s="46">
        <v>64</v>
      </c>
      <c r="N45" s="41">
        <f t="shared" si="3"/>
        <v>41</v>
      </c>
      <c r="O45" s="46">
        <v>31</v>
      </c>
      <c r="Q45" s="41">
        <f t="shared" si="4"/>
        <v>41</v>
      </c>
      <c r="R45" s="46">
        <v>40</v>
      </c>
      <c r="T45" s="41">
        <f t="shared" si="5"/>
        <v>41</v>
      </c>
      <c r="U45" s="46">
        <v>33</v>
      </c>
      <c r="W45" s="41">
        <f t="shared" si="6"/>
        <v>41</v>
      </c>
      <c r="X45" s="46">
        <v>12</v>
      </c>
      <c r="Z45" s="41">
        <f t="shared" si="7"/>
        <v>41</v>
      </c>
      <c r="AA45" s="46">
        <v>43</v>
      </c>
      <c r="AC45" s="41">
        <f t="shared" si="8"/>
        <v>41</v>
      </c>
      <c r="AD45" s="46">
        <v>82</v>
      </c>
      <c r="AF45" s="41">
        <f t="shared" si="9"/>
        <v>41</v>
      </c>
      <c r="AG45" s="46">
        <v>35</v>
      </c>
      <c r="AL45" s="41">
        <f t="shared" si="11"/>
        <v>41</v>
      </c>
      <c r="AM45" s="46">
        <v>49</v>
      </c>
    </row>
    <row r="46" spans="2:39" x14ac:dyDescent="0.25">
      <c r="B46" s="41">
        <f t="shared" si="0"/>
        <v>45</v>
      </c>
      <c r="C46" s="46">
        <v>33</v>
      </c>
      <c r="E46" s="271">
        <f t="shared" ref="E46:E52" si="12">E45+1</f>
        <v>48</v>
      </c>
      <c r="F46" s="272">
        <v>95</v>
      </c>
      <c r="H46" s="41">
        <v>46</v>
      </c>
      <c r="I46" s="46">
        <v>31</v>
      </c>
      <c r="K46" s="41">
        <f t="shared" si="2"/>
        <v>42</v>
      </c>
      <c r="L46" s="46">
        <v>67</v>
      </c>
      <c r="N46" s="41">
        <f t="shared" si="3"/>
        <v>42</v>
      </c>
      <c r="O46" s="46">
        <v>31</v>
      </c>
      <c r="Q46" s="41">
        <f t="shared" si="4"/>
        <v>42</v>
      </c>
      <c r="R46" s="46">
        <v>41</v>
      </c>
      <c r="T46" s="41">
        <f t="shared" si="5"/>
        <v>42</v>
      </c>
      <c r="U46" s="46">
        <v>34</v>
      </c>
      <c r="W46" s="41">
        <f t="shared" si="6"/>
        <v>42</v>
      </c>
      <c r="X46" s="46">
        <v>12</v>
      </c>
      <c r="Z46" s="41">
        <f t="shared" si="7"/>
        <v>42</v>
      </c>
      <c r="AA46" s="46">
        <v>44</v>
      </c>
      <c r="AC46" s="41">
        <f t="shared" si="8"/>
        <v>42</v>
      </c>
      <c r="AD46" s="46">
        <v>85</v>
      </c>
      <c r="AF46" s="41">
        <f t="shared" si="9"/>
        <v>42</v>
      </c>
      <c r="AG46" s="46">
        <v>36</v>
      </c>
      <c r="AL46" s="41">
        <f t="shared" si="11"/>
        <v>42</v>
      </c>
      <c r="AM46" s="46">
        <v>50</v>
      </c>
    </row>
    <row r="47" spans="2:39" x14ac:dyDescent="0.25">
      <c r="B47" s="41">
        <f t="shared" si="0"/>
        <v>46</v>
      </c>
      <c r="C47" s="46">
        <v>34</v>
      </c>
      <c r="E47" s="271">
        <f t="shared" si="12"/>
        <v>49</v>
      </c>
      <c r="F47" s="272">
        <v>95</v>
      </c>
      <c r="H47" s="41">
        <v>47</v>
      </c>
      <c r="I47" s="46">
        <v>34</v>
      </c>
      <c r="K47" s="41">
        <f t="shared" si="2"/>
        <v>43</v>
      </c>
      <c r="L47" s="46">
        <v>71</v>
      </c>
      <c r="N47" s="41">
        <f t="shared" si="3"/>
        <v>43</v>
      </c>
      <c r="O47" s="46">
        <v>32</v>
      </c>
      <c r="Q47" s="41">
        <f t="shared" si="4"/>
        <v>43</v>
      </c>
      <c r="R47" s="46">
        <v>42</v>
      </c>
      <c r="T47" s="41">
        <f t="shared" si="5"/>
        <v>43</v>
      </c>
      <c r="U47" s="46">
        <v>34</v>
      </c>
      <c r="W47" s="41">
        <f t="shared" si="6"/>
        <v>43</v>
      </c>
      <c r="X47" s="46">
        <v>13</v>
      </c>
      <c r="Z47" s="41">
        <f t="shared" si="7"/>
        <v>43</v>
      </c>
      <c r="AA47" s="46">
        <v>46</v>
      </c>
      <c r="AC47" s="41">
        <f t="shared" si="8"/>
        <v>43</v>
      </c>
      <c r="AD47" s="46">
        <v>91</v>
      </c>
      <c r="AF47" s="41">
        <f t="shared" si="9"/>
        <v>43</v>
      </c>
      <c r="AG47" s="46">
        <v>37</v>
      </c>
      <c r="AL47" s="41">
        <f t="shared" si="11"/>
        <v>43</v>
      </c>
      <c r="AM47" s="46">
        <v>51</v>
      </c>
    </row>
    <row r="48" spans="2:39" x14ac:dyDescent="0.25">
      <c r="B48" s="41">
        <f t="shared" si="0"/>
        <v>47</v>
      </c>
      <c r="C48" s="46">
        <v>34</v>
      </c>
      <c r="E48" s="271">
        <f t="shared" si="12"/>
        <v>50</v>
      </c>
      <c r="F48" s="272">
        <v>95</v>
      </c>
      <c r="H48" s="41">
        <v>48</v>
      </c>
      <c r="I48" s="46">
        <v>37</v>
      </c>
      <c r="K48" s="41">
        <f t="shared" si="2"/>
        <v>44</v>
      </c>
      <c r="L48" s="46">
        <v>71</v>
      </c>
      <c r="N48" s="41">
        <f t="shared" si="3"/>
        <v>44</v>
      </c>
      <c r="O48" s="46">
        <v>32</v>
      </c>
      <c r="Q48" s="41">
        <f t="shared" si="4"/>
        <v>44</v>
      </c>
      <c r="R48" s="46">
        <v>43</v>
      </c>
      <c r="T48" s="41">
        <f t="shared" si="5"/>
        <v>44</v>
      </c>
      <c r="U48" s="46">
        <v>35</v>
      </c>
      <c r="W48" s="41">
        <f t="shared" si="6"/>
        <v>44</v>
      </c>
      <c r="X48" s="46">
        <v>13</v>
      </c>
      <c r="Z48" s="41">
        <f t="shared" si="7"/>
        <v>44</v>
      </c>
      <c r="AA48" s="46">
        <v>47</v>
      </c>
      <c r="AC48" s="41">
        <f t="shared" si="8"/>
        <v>44</v>
      </c>
      <c r="AD48" s="46">
        <v>95</v>
      </c>
      <c r="AF48" s="41">
        <f t="shared" si="9"/>
        <v>44</v>
      </c>
      <c r="AG48" s="46">
        <v>40</v>
      </c>
      <c r="AL48" s="41">
        <f t="shared" si="11"/>
        <v>44</v>
      </c>
      <c r="AM48" s="46">
        <v>52</v>
      </c>
    </row>
    <row r="49" spans="2:39" x14ac:dyDescent="0.25">
      <c r="B49" s="41">
        <f t="shared" si="0"/>
        <v>48</v>
      </c>
      <c r="C49" s="46">
        <v>35</v>
      </c>
      <c r="E49" s="271">
        <f t="shared" si="12"/>
        <v>51</v>
      </c>
      <c r="F49" s="272">
        <v>95</v>
      </c>
      <c r="H49" s="41">
        <v>49</v>
      </c>
      <c r="I49" s="46">
        <v>40</v>
      </c>
      <c r="K49" s="41">
        <f t="shared" si="2"/>
        <v>45</v>
      </c>
      <c r="L49" s="46">
        <v>71</v>
      </c>
      <c r="N49" s="41">
        <f t="shared" si="3"/>
        <v>45</v>
      </c>
      <c r="O49" s="46">
        <v>33</v>
      </c>
      <c r="Q49" s="41">
        <f t="shared" si="4"/>
        <v>45</v>
      </c>
      <c r="R49" s="46">
        <v>43</v>
      </c>
      <c r="T49" s="41">
        <f t="shared" si="5"/>
        <v>45</v>
      </c>
      <c r="U49" s="46">
        <v>36</v>
      </c>
      <c r="W49" s="41">
        <f t="shared" si="6"/>
        <v>45</v>
      </c>
      <c r="X49" s="46">
        <v>13</v>
      </c>
      <c r="Z49" s="41">
        <f t="shared" si="7"/>
        <v>45</v>
      </c>
      <c r="AA49" s="46">
        <v>48</v>
      </c>
      <c r="AC49" s="41">
        <f t="shared" si="8"/>
        <v>45</v>
      </c>
      <c r="AD49" s="46">
        <v>95</v>
      </c>
      <c r="AF49" s="41">
        <f t="shared" si="9"/>
        <v>45</v>
      </c>
      <c r="AG49" s="46">
        <v>41</v>
      </c>
      <c r="AL49" s="41">
        <f t="shared" si="11"/>
        <v>45</v>
      </c>
      <c r="AM49" s="46">
        <v>52</v>
      </c>
    </row>
    <row r="50" spans="2:39" x14ac:dyDescent="0.25">
      <c r="B50" s="41">
        <f t="shared" si="0"/>
        <v>49</v>
      </c>
      <c r="C50" s="46">
        <v>36</v>
      </c>
      <c r="E50" s="271">
        <f t="shared" si="12"/>
        <v>52</v>
      </c>
      <c r="F50" s="272">
        <v>95</v>
      </c>
      <c r="H50" s="41">
        <v>50</v>
      </c>
      <c r="I50" s="46">
        <v>41</v>
      </c>
      <c r="K50" s="41">
        <f t="shared" si="2"/>
        <v>46</v>
      </c>
      <c r="L50" s="46">
        <v>71</v>
      </c>
      <c r="N50" s="41">
        <f t="shared" si="3"/>
        <v>46</v>
      </c>
      <c r="O50" s="46">
        <v>34</v>
      </c>
      <c r="Q50" s="41">
        <f t="shared" si="4"/>
        <v>46</v>
      </c>
      <c r="R50" s="46">
        <v>44</v>
      </c>
      <c r="T50" s="41">
        <f t="shared" si="5"/>
        <v>46</v>
      </c>
      <c r="U50" s="46">
        <v>37</v>
      </c>
      <c r="W50" s="41">
        <f t="shared" si="6"/>
        <v>46</v>
      </c>
      <c r="X50" s="46">
        <v>14</v>
      </c>
      <c r="Z50" s="41">
        <f t="shared" si="7"/>
        <v>46</v>
      </c>
      <c r="AA50" s="46">
        <v>49</v>
      </c>
      <c r="AC50" s="41">
        <f t="shared" si="8"/>
        <v>46</v>
      </c>
      <c r="AD50" s="46">
        <v>95</v>
      </c>
      <c r="AF50" s="41">
        <f t="shared" si="9"/>
        <v>46</v>
      </c>
      <c r="AG50" s="46">
        <v>43</v>
      </c>
      <c r="AL50" s="41">
        <f t="shared" si="11"/>
        <v>46</v>
      </c>
      <c r="AM50" s="46">
        <v>53</v>
      </c>
    </row>
    <row r="51" spans="2:39" x14ac:dyDescent="0.25">
      <c r="B51" s="41">
        <f t="shared" si="0"/>
        <v>50</v>
      </c>
      <c r="C51" s="46">
        <v>37</v>
      </c>
      <c r="E51" s="271">
        <f t="shared" si="12"/>
        <v>53</v>
      </c>
      <c r="F51" s="272">
        <v>95</v>
      </c>
      <c r="H51" s="41">
        <v>51</v>
      </c>
      <c r="I51" s="46">
        <v>43</v>
      </c>
      <c r="K51" s="41">
        <f t="shared" si="2"/>
        <v>47</v>
      </c>
      <c r="L51" s="46">
        <v>71</v>
      </c>
      <c r="N51" s="41">
        <f t="shared" si="3"/>
        <v>47</v>
      </c>
      <c r="O51" s="46">
        <v>34</v>
      </c>
      <c r="Q51" s="41">
        <f t="shared" si="4"/>
        <v>47</v>
      </c>
      <c r="R51" s="46">
        <v>45</v>
      </c>
      <c r="T51" s="41">
        <f t="shared" si="5"/>
        <v>47</v>
      </c>
      <c r="U51" s="46">
        <v>38</v>
      </c>
      <c r="W51" s="41">
        <f t="shared" si="6"/>
        <v>47</v>
      </c>
      <c r="X51" s="46">
        <v>14</v>
      </c>
      <c r="Z51" s="41">
        <f t="shared" si="7"/>
        <v>47</v>
      </c>
      <c r="AA51" s="46">
        <v>50</v>
      </c>
      <c r="AC51" s="41">
        <f t="shared" si="8"/>
        <v>47</v>
      </c>
      <c r="AD51" s="46">
        <v>95</v>
      </c>
      <c r="AF51" s="41">
        <f t="shared" si="9"/>
        <v>47</v>
      </c>
      <c r="AG51" s="46">
        <v>46</v>
      </c>
      <c r="AL51" s="41">
        <f t="shared" si="11"/>
        <v>47</v>
      </c>
      <c r="AM51" s="46">
        <v>54</v>
      </c>
    </row>
    <row r="52" spans="2:39" ht="15.75" thickBot="1" x14ac:dyDescent="0.3">
      <c r="B52" s="41">
        <f t="shared" si="0"/>
        <v>51</v>
      </c>
      <c r="C52" s="46">
        <v>37</v>
      </c>
      <c r="E52" s="273">
        <f t="shared" si="12"/>
        <v>54</v>
      </c>
      <c r="F52" s="274">
        <v>95</v>
      </c>
      <c r="H52" s="41">
        <v>52</v>
      </c>
      <c r="I52" s="46">
        <v>46</v>
      </c>
      <c r="K52" s="41">
        <f t="shared" si="2"/>
        <v>48</v>
      </c>
      <c r="L52" s="46">
        <v>71</v>
      </c>
      <c r="N52" s="41">
        <f t="shared" si="3"/>
        <v>48</v>
      </c>
      <c r="O52" s="46">
        <v>35</v>
      </c>
      <c r="Q52" s="41">
        <f t="shared" si="4"/>
        <v>48</v>
      </c>
      <c r="R52" s="46">
        <v>46</v>
      </c>
      <c r="T52" s="41">
        <f t="shared" si="5"/>
        <v>48</v>
      </c>
      <c r="U52" s="46">
        <v>39</v>
      </c>
      <c r="W52" s="41">
        <f t="shared" si="6"/>
        <v>48</v>
      </c>
      <c r="X52" s="46">
        <v>15</v>
      </c>
      <c r="Z52" s="41">
        <f t="shared" si="7"/>
        <v>48</v>
      </c>
      <c r="AA52" s="46">
        <v>52</v>
      </c>
      <c r="AC52" s="41">
        <f t="shared" si="8"/>
        <v>48</v>
      </c>
      <c r="AD52" s="46">
        <v>95</v>
      </c>
      <c r="AF52" s="41">
        <f t="shared" si="9"/>
        <v>48</v>
      </c>
      <c r="AG52" s="46">
        <v>47</v>
      </c>
      <c r="AL52" s="43">
        <f t="shared" si="11"/>
        <v>48</v>
      </c>
      <c r="AM52" s="268">
        <v>55</v>
      </c>
    </row>
    <row r="53" spans="2:39" x14ac:dyDescent="0.25">
      <c r="B53" s="41">
        <f t="shared" si="0"/>
        <v>52</v>
      </c>
      <c r="C53" s="46">
        <v>38</v>
      </c>
      <c r="H53" s="41">
        <v>53</v>
      </c>
      <c r="I53" s="46">
        <v>49</v>
      </c>
      <c r="K53" s="41">
        <f t="shared" si="2"/>
        <v>49</v>
      </c>
      <c r="L53" s="46">
        <v>71</v>
      </c>
      <c r="N53" s="41">
        <f t="shared" si="3"/>
        <v>49</v>
      </c>
      <c r="O53" s="46">
        <v>35</v>
      </c>
      <c r="Q53" s="41">
        <f t="shared" si="4"/>
        <v>49</v>
      </c>
      <c r="R53" s="46">
        <v>47</v>
      </c>
      <c r="T53" s="41">
        <f t="shared" si="5"/>
        <v>49</v>
      </c>
      <c r="U53" s="46">
        <v>40</v>
      </c>
      <c r="W53" s="41">
        <f t="shared" si="6"/>
        <v>49</v>
      </c>
      <c r="X53" s="46">
        <v>15</v>
      </c>
      <c r="Z53" s="41">
        <f t="shared" si="7"/>
        <v>49</v>
      </c>
      <c r="AA53" s="46">
        <v>53</v>
      </c>
      <c r="AC53" s="41">
        <f t="shared" si="8"/>
        <v>49</v>
      </c>
      <c r="AD53" s="46">
        <v>95</v>
      </c>
      <c r="AF53" s="41">
        <f t="shared" si="9"/>
        <v>49</v>
      </c>
      <c r="AG53" s="46">
        <v>49</v>
      </c>
    </row>
    <row r="54" spans="2:39" ht="15.75" thickBot="1" x14ac:dyDescent="0.3">
      <c r="B54" s="41">
        <f t="shared" si="0"/>
        <v>53</v>
      </c>
      <c r="C54" s="46">
        <v>40</v>
      </c>
      <c r="H54" s="41">
        <v>54</v>
      </c>
      <c r="I54" s="46">
        <v>55</v>
      </c>
      <c r="K54" s="43">
        <f t="shared" si="2"/>
        <v>50</v>
      </c>
      <c r="L54" s="268">
        <v>71</v>
      </c>
      <c r="N54" s="41">
        <f t="shared" si="3"/>
        <v>50</v>
      </c>
      <c r="O54" s="46">
        <v>36</v>
      </c>
      <c r="Q54" s="41">
        <f t="shared" si="4"/>
        <v>50</v>
      </c>
      <c r="R54" s="46">
        <v>48</v>
      </c>
      <c r="T54" s="41">
        <f t="shared" si="5"/>
        <v>50</v>
      </c>
      <c r="U54" s="46">
        <v>42</v>
      </c>
      <c r="W54" s="41">
        <f t="shared" si="6"/>
        <v>50</v>
      </c>
      <c r="X54" s="46">
        <v>16</v>
      </c>
      <c r="Z54" s="41">
        <f t="shared" si="7"/>
        <v>50</v>
      </c>
      <c r="AA54" s="46">
        <v>55</v>
      </c>
      <c r="AC54" s="43">
        <f t="shared" si="8"/>
        <v>50</v>
      </c>
      <c r="AD54" s="268">
        <v>95</v>
      </c>
      <c r="AF54" s="41">
        <f t="shared" si="9"/>
        <v>50</v>
      </c>
      <c r="AG54" s="46">
        <v>52</v>
      </c>
    </row>
    <row r="55" spans="2:39" x14ac:dyDescent="0.25">
      <c r="B55" s="41">
        <f t="shared" si="0"/>
        <v>54</v>
      </c>
      <c r="C55" s="46">
        <v>41</v>
      </c>
      <c r="H55" s="41">
        <v>55</v>
      </c>
      <c r="I55" s="46">
        <v>61</v>
      </c>
      <c r="N55" s="41">
        <f t="shared" si="3"/>
        <v>51</v>
      </c>
      <c r="O55" s="46">
        <v>37</v>
      </c>
      <c r="Q55" s="41">
        <f t="shared" si="4"/>
        <v>51</v>
      </c>
      <c r="R55" s="46">
        <v>49</v>
      </c>
      <c r="T55" s="41">
        <f t="shared" si="5"/>
        <v>51</v>
      </c>
      <c r="U55" s="46">
        <v>43</v>
      </c>
      <c r="W55" s="41">
        <f t="shared" si="6"/>
        <v>51</v>
      </c>
      <c r="X55" s="46">
        <v>16</v>
      </c>
      <c r="Z55" s="41">
        <f t="shared" si="7"/>
        <v>51</v>
      </c>
      <c r="AA55" s="46">
        <v>56</v>
      </c>
      <c r="AF55" s="41">
        <f t="shared" si="9"/>
        <v>51</v>
      </c>
      <c r="AG55" s="46">
        <v>55</v>
      </c>
    </row>
    <row r="56" spans="2:39" ht="15.75" thickBot="1" x14ac:dyDescent="0.3">
      <c r="B56" s="41">
        <f t="shared" si="0"/>
        <v>55</v>
      </c>
      <c r="C56" s="46">
        <v>42</v>
      </c>
      <c r="H56" s="41">
        <v>56</v>
      </c>
      <c r="I56" s="46">
        <v>67</v>
      </c>
      <c r="N56" s="41">
        <f t="shared" si="3"/>
        <v>52</v>
      </c>
      <c r="O56" s="46">
        <v>37</v>
      </c>
      <c r="Q56" s="43">
        <f t="shared" si="4"/>
        <v>52</v>
      </c>
      <c r="R56" s="268">
        <v>51</v>
      </c>
      <c r="T56" s="41">
        <f t="shared" si="5"/>
        <v>52</v>
      </c>
      <c r="U56" s="46">
        <v>44</v>
      </c>
      <c r="W56" s="41">
        <f t="shared" si="6"/>
        <v>52</v>
      </c>
      <c r="X56" s="46">
        <v>17</v>
      </c>
      <c r="Z56" s="41">
        <f t="shared" si="7"/>
        <v>52</v>
      </c>
      <c r="AA56" s="46">
        <v>58</v>
      </c>
      <c r="AF56" s="41">
        <f t="shared" si="9"/>
        <v>52</v>
      </c>
      <c r="AG56" s="46">
        <v>61</v>
      </c>
    </row>
    <row r="57" spans="2:39" x14ac:dyDescent="0.25">
      <c r="B57" s="41">
        <f t="shared" si="0"/>
        <v>56</v>
      </c>
      <c r="C57" s="46">
        <v>43</v>
      </c>
      <c r="H57" s="41">
        <v>57</v>
      </c>
      <c r="I57" s="46">
        <v>71</v>
      </c>
      <c r="N57" s="41">
        <f t="shared" si="3"/>
        <v>53</v>
      </c>
      <c r="O57" s="46">
        <v>39</v>
      </c>
      <c r="T57" s="41">
        <f t="shared" si="5"/>
        <v>53</v>
      </c>
      <c r="U57" s="46">
        <v>45</v>
      </c>
      <c r="W57" s="41">
        <f t="shared" si="6"/>
        <v>53</v>
      </c>
      <c r="X57" s="46">
        <v>18</v>
      </c>
      <c r="Z57" s="41">
        <f t="shared" si="7"/>
        <v>53</v>
      </c>
      <c r="AA57" s="46">
        <v>59</v>
      </c>
      <c r="AF57" s="41">
        <f t="shared" si="9"/>
        <v>53</v>
      </c>
      <c r="AG57" s="46">
        <v>64</v>
      </c>
    </row>
    <row r="58" spans="2:39" x14ac:dyDescent="0.25">
      <c r="B58" s="41">
        <f t="shared" si="0"/>
        <v>57</v>
      </c>
      <c r="C58" s="46">
        <v>44</v>
      </c>
      <c r="H58" s="41">
        <v>58</v>
      </c>
      <c r="I58" s="46">
        <v>71</v>
      </c>
      <c r="N58" s="41">
        <f t="shared" si="3"/>
        <v>54</v>
      </c>
      <c r="O58" s="46">
        <v>40</v>
      </c>
      <c r="T58" s="41">
        <f t="shared" si="5"/>
        <v>54</v>
      </c>
      <c r="U58" s="46">
        <v>46</v>
      </c>
      <c r="W58" s="41">
        <f t="shared" si="6"/>
        <v>54</v>
      </c>
      <c r="X58" s="46">
        <v>54</v>
      </c>
      <c r="Z58" s="41">
        <f t="shared" si="7"/>
        <v>54</v>
      </c>
      <c r="AA58" s="46">
        <v>61</v>
      </c>
      <c r="AF58" s="41">
        <f t="shared" si="9"/>
        <v>54</v>
      </c>
      <c r="AG58" s="46">
        <v>67</v>
      </c>
    </row>
    <row r="59" spans="2:39" x14ac:dyDescent="0.25">
      <c r="B59" s="41">
        <f t="shared" si="0"/>
        <v>58</v>
      </c>
      <c r="C59" s="46">
        <v>46</v>
      </c>
      <c r="H59" s="41">
        <v>59</v>
      </c>
      <c r="I59" s="46">
        <v>71</v>
      </c>
      <c r="N59" s="41">
        <f t="shared" si="3"/>
        <v>55</v>
      </c>
      <c r="O59" s="46">
        <v>41</v>
      </c>
      <c r="T59" s="41">
        <v>55</v>
      </c>
      <c r="U59" s="46">
        <v>47</v>
      </c>
      <c r="W59" s="41">
        <f t="shared" si="6"/>
        <v>55</v>
      </c>
      <c r="X59" s="46">
        <v>21</v>
      </c>
      <c r="Z59" s="41">
        <f t="shared" si="7"/>
        <v>55</v>
      </c>
      <c r="AA59" s="46">
        <v>64</v>
      </c>
      <c r="AF59" s="41">
        <f t="shared" si="9"/>
        <v>55</v>
      </c>
      <c r="AG59" s="46">
        <v>71</v>
      </c>
    </row>
    <row r="60" spans="2:39" ht="15.75" thickBot="1" x14ac:dyDescent="0.3">
      <c r="B60" s="41">
        <f t="shared" si="0"/>
        <v>59</v>
      </c>
      <c r="C60" s="46">
        <v>49</v>
      </c>
      <c r="H60" s="43">
        <v>60</v>
      </c>
      <c r="I60" s="268">
        <v>71</v>
      </c>
      <c r="N60" s="41">
        <f t="shared" si="3"/>
        <v>56</v>
      </c>
      <c r="O60" s="46">
        <v>42</v>
      </c>
      <c r="T60" s="41">
        <v>56</v>
      </c>
      <c r="U60" s="46">
        <v>48</v>
      </c>
      <c r="W60" s="41">
        <f t="shared" si="6"/>
        <v>56</v>
      </c>
      <c r="X60" s="46">
        <v>22</v>
      </c>
      <c r="Z60" s="41">
        <f t="shared" si="7"/>
        <v>56</v>
      </c>
      <c r="AA60" s="46">
        <v>67</v>
      </c>
      <c r="AF60" s="41">
        <f t="shared" si="9"/>
        <v>56</v>
      </c>
      <c r="AG60" s="46">
        <v>71</v>
      </c>
    </row>
    <row r="61" spans="2:39" x14ac:dyDescent="0.25">
      <c r="B61" s="41">
        <f t="shared" si="0"/>
        <v>60</v>
      </c>
      <c r="C61" s="46">
        <v>52</v>
      </c>
      <c r="N61" s="41">
        <f t="shared" si="3"/>
        <v>57</v>
      </c>
      <c r="O61" s="46">
        <v>43</v>
      </c>
      <c r="T61" s="41">
        <v>57</v>
      </c>
      <c r="U61" s="46">
        <v>49</v>
      </c>
      <c r="W61" s="41">
        <f t="shared" si="6"/>
        <v>57</v>
      </c>
      <c r="X61" s="46">
        <v>23</v>
      </c>
      <c r="Z61" s="41">
        <f t="shared" si="7"/>
        <v>57</v>
      </c>
      <c r="AA61" s="46">
        <v>71</v>
      </c>
      <c r="AF61" s="41">
        <f t="shared" si="9"/>
        <v>57</v>
      </c>
      <c r="AG61" s="46">
        <v>71</v>
      </c>
    </row>
    <row r="62" spans="2:39" x14ac:dyDescent="0.25">
      <c r="B62" s="41">
        <f t="shared" si="0"/>
        <v>61</v>
      </c>
      <c r="C62" s="46">
        <v>55</v>
      </c>
      <c r="N62" s="41">
        <f t="shared" si="3"/>
        <v>58</v>
      </c>
      <c r="O62" s="46">
        <v>44</v>
      </c>
      <c r="T62" s="41">
        <v>58</v>
      </c>
      <c r="U62" s="46">
        <v>50</v>
      </c>
      <c r="W62" s="41">
        <f t="shared" si="6"/>
        <v>58</v>
      </c>
      <c r="X62" s="46">
        <v>24</v>
      </c>
      <c r="Z62" s="41">
        <f t="shared" si="7"/>
        <v>58</v>
      </c>
      <c r="AA62" s="46">
        <v>71</v>
      </c>
      <c r="AF62" s="41">
        <f t="shared" si="9"/>
        <v>58</v>
      </c>
      <c r="AG62" s="46">
        <v>71</v>
      </c>
    </row>
    <row r="63" spans="2:39" x14ac:dyDescent="0.25">
      <c r="B63" s="41">
        <f t="shared" si="0"/>
        <v>62</v>
      </c>
      <c r="C63" s="46">
        <v>61</v>
      </c>
      <c r="N63" s="41">
        <f t="shared" si="3"/>
        <v>59</v>
      </c>
      <c r="O63" s="46">
        <v>45</v>
      </c>
      <c r="T63" s="41">
        <v>59</v>
      </c>
      <c r="U63" s="46">
        <v>51</v>
      </c>
      <c r="W63" s="41">
        <f t="shared" si="6"/>
        <v>59</v>
      </c>
      <c r="X63" s="46">
        <v>25</v>
      </c>
      <c r="Z63" s="41">
        <f t="shared" si="7"/>
        <v>59</v>
      </c>
      <c r="AA63" s="46">
        <v>71</v>
      </c>
      <c r="AF63" s="41">
        <f t="shared" si="9"/>
        <v>59</v>
      </c>
      <c r="AG63" s="46">
        <v>71</v>
      </c>
    </row>
    <row r="64" spans="2:39" ht="15.75" thickBot="1" x14ac:dyDescent="0.3">
      <c r="B64" s="41">
        <f t="shared" si="0"/>
        <v>63</v>
      </c>
      <c r="C64" s="46">
        <v>64</v>
      </c>
      <c r="N64" s="41">
        <f t="shared" si="3"/>
        <v>60</v>
      </c>
      <c r="O64" s="46">
        <v>46</v>
      </c>
      <c r="T64" s="41">
        <v>60</v>
      </c>
      <c r="U64" s="46">
        <v>52</v>
      </c>
      <c r="W64" s="41">
        <f t="shared" si="6"/>
        <v>60</v>
      </c>
      <c r="X64" s="46">
        <v>27</v>
      </c>
      <c r="Z64" s="43">
        <f t="shared" si="7"/>
        <v>60</v>
      </c>
      <c r="AA64" s="268">
        <v>71</v>
      </c>
      <c r="AF64" s="43">
        <f t="shared" si="9"/>
        <v>60</v>
      </c>
      <c r="AG64" s="268">
        <v>71</v>
      </c>
    </row>
    <row r="65" spans="2:24" x14ac:dyDescent="0.25">
      <c r="B65" s="41">
        <f t="shared" si="0"/>
        <v>64</v>
      </c>
      <c r="C65" s="46">
        <v>67</v>
      </c>
      <c r="N65" s="41">
        <f t="shared" si="3"/>
        <v>61</v>
      </c>
      <c r="O65" s="46">
        <v>48</v>
      </c>
      <c r="T65" s="41">
        <v>61</v>
      </c>
      <c r="U65" s="46">
        <v>54</v>
      </c>
      <c r="W65" s="41">
        <f t="shared" si="6"/>
        <v>61</v>
      </c>
      <c r="X65" s="46">
        <v>28</v>
      </c>
    </row>
    <row r="66" spans="2:24" ht="15.75" thickBot="1" x14ac:dyDescent="0.3">
      <c r="B66" s="43">
        <f t="shared" si="0"/>
        <v>65</v>
      </c>
      <c r="C66" s="268">
        <v>71</v>
      </c>
      <c r="N66" s="41">
        <f t="shared" si="3"/>
        <v>62</v>
      </c>
      <c r="O66" s="46">
        <v>49</v>
      </c>
      <c r="T66" s="41">
        <v>62</v>
      </c>
      <c r="U66" s="46">
        <v>55</v>
      </c>
      <c r="W66" s="41">
        <f t="shared" si="6"/>
        <v>62</v>
      </c>
      <c r="X66" s="46">
        <v>30</v>
      </c>
    </row>
    <row r="67" spans="2:24" x14ac:dyDescent="0.25">
      <c r="B67" s="2">
        <f>B66+1</f>
        <v>66</v>
      </c>
      <c r="C67" s="2">
        <v>71</v>
      </c>
      <c r="N67" s="41">
        <f t="shared" si="3"/>
        <v>63</v>
      </c>
      <c r="O67" s="46">
        <v>52</v>
      </c>
      <c r="T67" s="41">
        <v>63</v>
      </c>
      <c r="U67" s="46">
        <v>58</v>
      </c>
      <c r="W67" s="41">
        <f t="shared" si="6"/>
        <v>63</v>
      </c>
      <c r="X67" s="46">
        <v>31</v>
      </c>
    </row>
    <row r="68" spans="2:24" x14ac:dyDescent="0.25">
      <c r="B68" s="2">
        <f t="shared" ref="B68:B75" si="13">B67+1</f>
        <v>67</v>
      </c>
      <c r="C68" s="2">
        <v>71</v>
      </c>
      <c r="N68" s="41">
        <f t="shared" si="3"/>
        <v>64</v>
      </c>
      <c r="O68" s="46">
        <v>54</v>
      </c>
      <c r="T68" s="41">
        <v>64</v>
      </c>
      <c r="U68" s="46">
        <v>59</v>
      </c>
      <c r="W68" s="41">
        <f t="shared" si="6"/>
        <v>64</v>
      </c>
      <c r="X68" s="46">
        <v>32</v>
      </c>
    </row>
    <row r="69" spans="2:24" ht="15.75" thickBot="1" x14ac:dyDescent="0.3">
      <c r="B69" s="2">
        <f t="shared" si="13"/>
        <v>68</v>
      </c>
      <c r="C69" s="2">
        <v>71</v>
      </c>
      <c r="N69" s="41">
        <f t="shared" si="3"/>
        <v>65</v>
      </c>
      <c r="O69" s="46">
        <v>55</v>
      </c>
      <c r="T69" s="43">
        <v>65</v>
      </c>
      <c r="U69" s="268">
        <v>60</v>
      </c>
      <c r="W69" s="41">
        <f t="shared" si="6"/>
        <v>65</v>
      </c>
      <c r="X69" s="46">
        <v>33</v>
      </c>
    </row>
    <row r="70" spans="2:24" x14ac:dyDescent="0.25">
      <c r="B70" s="2">
        <f t="shared" si="13"/>
        <v>69</v>
      </c>
      <c r="C70" s="2">
        <v>71</v>
      </c>
      <c r="N70" s="41">
        <f t="shared" ref="N70:N92" si="14">N69+1</f>
        <v>66</v>
      </c>
      <c r="O70" s="46">
        <v>56</v>
      </c>
      <c r="W70" s="41">
        <f t="shared" ref="W70:W96" si="15">W69+1</f>
        <v>66</v>
      </c>
      <c r="X70" s="46">
        <v>34</v>
      </c>
    </row>
    <row r="71" spans="2:24" x14ac:dyDescent="0.25">
      <c r="B71" s="2">
        <f t="shared" si="13"/>
        <v>70</v>
      </c>
      <c r="C71" s="2">
        <v>71</v>
      </c>
      <c r="N71" s="41">
        <f t="shared" si="14"/>
        <v>67</v>
      </c>
      <c r="O71" s="46">
        <v>58</v>
      </c>
      <c r="W71" s="41">
        <f t="shared" si="15"/>
        <v>67</v>
      </c>
      <c r="X71" s="46">
        <v>35</v>
      </c>
    </row>
    <row r="72" spans="2:24" x14ac:dyDescent="0.25">
      <c r="B72" s="2">
        <f t="shared" si="13"/>
        <v>71</v>
      </c>
      <c r="C72" s="2">
        <v>71</v>
      </c>
      <c r="N72" s="41">
        <f t="shared" si="14"/>
        <v>68</v>
      </c>
      <c r="O72" s="46">
        <v>59</v>
      </c>
      <c r="W72" s="41">
        <f t="shared" si="15"/>
        <v>68</v>
      </c>
      <c r="X72" s="46">
        <v>36</v>
      </c>
    </row>
    <row r="73" spans="2:24" x14ac:dyDescent="0.25">
      <c r="B73" s="2">
        <f t="shared" si="13"/>
        <v>72</v>
      </c>
      <c r="C73" s="2">
        <v>71</v>
      </c>
      <c r="N73" s="41">
        <f t="shared" si="14"/>
        <v>69</v>
      </c>
      <c r="O73" s="46">
        <v>60</v>
      </c>
      <c r="W73" s="41">
        <f t="shared" si="15"/>
        <v>69</v>
      </c>
      <c r="X73" s="46">
        <v>37</v>
      </c>
    </row>
    <row r="74" spans="2:24" x14ac:dyDescent="0.25">
      <c r="B74" s="2">
        <f t="shared" si="13"/>
        <v>73</v>
      </c>
      <c r="C74" s="2">
        <v>71</v>
      </c>
      <c r="N74" s="41">
        <f t="shared" si="14"/>
        <v>70</v>
      </c>
      <c r="O74" s="46">
        <v>61</v>
      </c>
      <c r="W74" s="41">
        <f t="shared" si="15"/>
        <v>70</v>
      </c>
      <c r="X74" s="46">
        <v>39</v>
      </c>
    </row>
    <row r="75" spans="2:24" x14ac:dyDescent="0.25">
      <c r="B75" s="2">
        <f t="shared" si="13"/>
        <v>74</v>
      </c>
      <c r="C75" s="2">
        <v>71</v>
      </c>
      <c r="N75" s="41">
        <f t="shared" si="14"/>
        <v>71</v>
      </c>
      <c r="O75" s="46">
        <v>64</v>
      </c>
      <c r="W75" s="41">
        <f t="shared" si="15"/>
        <v>71</v>
      </c>
      <c r="X75" s="46">
        <v>40</v>
      </c>
    </row>
    <row r="76" spans="2:24" x14ac:dyDescent="0.25">
      <c r="N76" s="41">
        <f t="shared" si="14"/>
        <v>72</v>
      </c>
      <c r="O76" s="46">
        <v>61</v>
      </c>
      <c r="W76" s="41">
        <f t="shared" si="15"/>
        <v>72</v>
      </c>
      <c r="X76" s="46">
        <v>41</v>
      </c>
    </row>
    <row r="77" spans="2:24" x14ac:dyDescent="0.25">
      <c r="N77" s="41">
        <f t="shared" si="14"/>
        <v>73</v>
      </c>
      <c r="O77" s="46">
        <v>62</v>
      </c>
      <c r="W77" s="41">
        <f t="shared" si="15"/>
        <v>73</v>
      </c>
      <c r="X77" s="46">
        <v>43</v>
      </c>
    </row>
    <row r="78" spans="2:24" x14ac:dyDescent="0.25">
      <c r="N78" s="41">
        <f t="shared" si="14"/>
        <v>74</v>
      </c>
      <c r="O78" s="46">
        <v>68</v>
      </c>
      <c r="W78" s="41">
        <f t="shared" si="15"/>
        <v>74</v>
      </c>
      <c r="X78" s="46">
        <v>46</v>
      </c>
    </row>
    <row r="79" spans="2:24" x14ac:dyDescent="0.25">
      <c r="N79" s="41">
        <f t="shared" si="14"/>
        <v>75</v>
      </c>
      <c r="O79" s="46">
        <v>70</v>
      </c>
      <c r="W79" s="41">
        <f t="shared" si="15"/>
        <v>75</v>
      </c>
      <c r="X79" s="46">
        <v>47</v>
      </c>
    </row>
    <row r="80" spans="2:24" x14ac:dyDescent="0.25">
      <c r="N80" s="41">
        <f t="shared" si="14"/>
        <v>76</v>
      </c>
      <c r="O80" s="46">
        <v>70</v>
      </c>
      <c r="W80" s="41">
        <f t="shared" si="15"/>
        <v>76</v>
      </c>
      <c r="X80" s="46">
        <v>49</v>
      </c>
    </row>
    <row r="81" spans="14:24" x14ac:dyDescent="0.25">
      <c r="N81" s="41">
        <f t="shared" si="14"/>
        <v>77</v>
      </c>
      <c r="O81" s="46">
        <v>71</v>
      </c>
      <c r="W81" s="41">
        <f t="shared" si="15"/>
        <v>77</v>
      </c>
      <c r="X81" s="46">
        <v>52</v>
      </c>
    </row>
    <row r="82" spans="14:24" x14ac:dyDescent="0.25">
      <c r="N82" s="41">
        <f t="shared" si="14"/>
        <v>78</v>
      </c>
      <c r="O82" s="46">
        <v>72</v>
      </c>
      <c r="W82" s="41">
        <f t="shared" si="15"/>
        <v>78</v>
      </c>
      <c r="X82" s="46">
        <v>55</v>
      </c>
    </row>
    <row r="83" spans="14:24" x14ac:dyDescent="0.25">
      <c r="N83" s="41">
        <f t="shared" si="14"/>
        <v>79</v>
      </c>
      <c r="O83" s="46">
        <v>73</v>
      </c>
      <c r="W83" s="41">
        <f t="shared" si="15"/>
        <v>79</v>
      </c>
      <c r="X83" s="46">
        <v>58</v>
      </c>
    </row>
    <row r="84" spans="14:24" x14ac:dyDescent="0.25">
      <c r="N84" s="41">
        <f t="shared" si="14"/>
        <v>80</v>
      </c>
      <c r="O84" s="46">
        <v>74</v>
      </c>
      <c r="W84" s="41">
        <f t="shared" si="15"/>
        <v>80</v>
      </c>
      <c r="X84" s="46">
        <v>59</v>
      </c>
    </row>
    <row r="85" spans="14:24" x14ac:dyDescent="0.25">
      <c r="N85" s="41">
        <f t="shared" si="14"/>
        <v>81</v>
      </c>
      <c r="O85" s="46">
        <v>76</v>
      </c>
      <c r="W85" s="41">
        <f t="shared" si="15"/>
        <v>81</v>
      </c>
      <c r="X85" s="46">
        <v>60</v>
      </c>
    </row>
    <row r="86" spans="14:24" x14ac:dyDescent="0.25">
      <c r="N86" s="41">
        <f t="shared" si="14"/>
        <v>82</v>
      </c>
      <c r="O86" s="46">
        <v>79</v>
      </c>
      <c r="W86" s="41">
        <f t="shared" si="15"/>
        <v>82</v>
      </c>
      <c r="X86" s="46">
        <v>61</v>
      </c>
    </row>
    <row r="87" spans="14:24" x14ac:dyDescent="0.25">
      <c r="N87" s="41">
        <f t="shared" si="14"/>
        <v>83</v>
      </c>
      <c r="O87" s="46">
        <v>85</v>
      </c>
      <c r="W87" s="41">
        <f t="shared" si="15"/>
        <v>83</v>
      </c>
      <c r="X87" s="46">
        <v>64</v>
      </c>
    </row>
    <row r="88" spans="14:24" x14ac:dyDescent="0.25">
      <c r="N88" s="41">
        <f t="shared" si="14"/>
        <v>84</v>
      </c>
      <c r="O88" s="46">
        <v>89</v>
      </c>
      <c r="W88" s="41">
        <f t="shared" si="15"/>
        <v>84</v>
      </c>
      <c r="X88" s="46">
        <v>67</v>
      </c>
    </row>
    <row r="89" spans="14:24" x14ac:dyDescent="0.25">
      <c r="N89" s="41">
        <f t="shared" si="14"/>
        <v>85</v>
      </c>
      <c r="O89" s="46">
        <v>92</v>
      </c>
      <c r="W89" s="41">
        <f t="shared" si="15"/>
        <v>85</v>
      </c>
      <c r="X89" s="46">
        <v>71</v>
      </c>
    </row>
    <row r="90" spans="14:24" x14ac:dyDescent="0.25">
      <c r="N90" s="41">
        <f t="shared" si="14"/>
        <v>86</v>
      </c>
      <c r="O90" s="46">
        <v>95</v>
      </c>
      <c r="W90" s="41">
        <f t="shared" si="15"/>
        <v>86</v>
      </c>
      <c r="X90" s="46">
        <v>71</v>
      </c>
    </row>
    <row r="91" spans="14:24" x14ac:dyDescent="0.25">
      <c r="N91" s="41">
        <f t="shared" si="14"/>
        <v>87</v>
      </c>
      <c r="O91" s="46">
        <v>95</v>
      </c>
      <c r="W91" s="41">
        <f t="shared" si="15"/>
        <v>87</v>
      </c>
      <c r="X91" s="46">
        <v>71</v>
      </c>
    </row>
    <row r="92" spans="14:24" ht="15.75" thickBot="1" x14ac:dyDescent="0.3">
      <c r="N92" s="43">
        <f t="shared" si="14"/>
        <v>88</v>
      </c>
      <c r="O92" s="268">
        <v>95</v>
      </c>
      <c r="W92" s="41">
        <f t="shared" si="15"/>
        <v>88</v>
      </c>
      <c r="X92" s="46">
        <v>71</v>
      </c>
    </row>
    <row r="93" spans="14:24" x14ac:dyDescent="0.25">
      <c r="W93" s="41">
        <f t="shared" si="15"/>
        <v>89</v>
      </c>
      <c r="X93" s="46">
        <v>71</v>
      </c>
    </row>
    <row r="94" spans="14:24" x14ac:dyDescent="0.25">
      <c r="W94" s="41">
        <f t="shared" si="15"/>
        <v>90</v>
      </c>
      <c r="X94" s="46">
        <v>71</v>
      </c>
    </row>
    <row r="95" spans="14:24" x14ac:dyDescent="0.25">
      <c r="W95" s="41">
        <f t="shared" si="15"/>
        <v>91</v>
      </c>
      <c r="X95" s="46">
        <v>71</v>
      </c>
    </row>
    <row r="96" spans="14:24" ht="15.75" thickBot="1" x14ac:dyDescent="0.3">
      <c r="W96" s="43">
        <f t="shared" si="15"/>
        <v>92</v>
      </c>
      <c r="X96" s="268">
        <v>71</v>
      </c>
    </row>
  </sheetData>
  <mergeCells count="13">
    <mergeCell ref="AI2:AJ2"/>
    <mergeCell ref="AL2:AM2"/>
    <mergeCell ref="Q2:R2"/>
    <mergeCell ref="T2:U2"/>
    <mergeCell ref="W2:X2"/>
    <mergeCell ref="Z2:AA2"/>
    <mergeCell ref="AC2:AD2"/>
    <mergeCell ref="AF2:AG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D19" sqref="D19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2:8" ht="15.75" thickBot="1" x14ac:dyDescent="0.3">
      <c r="B4" s="38"/>
      <c r="C4" s="49"/>
      <c r="D4" s="39" t="s">
        <v>19</v>
      </c>
      <c r="F4" s="38"/>
      <c r="G4" s="49"/>
      <c r="H4" s="39" t="s">
        <v>19</v>
      </c>
    </row>
    <row r="5" spans="2:8" x14ac:dyDescent="0.25">
      <c r="B5" s="50" t="s">
        <v>27</v>
      </c>
      <c r="C5" s="51"/>
      <c r="D5" s="52"/>
      <c r="F5" s="56" t="s">
        <v>74</v>
      </c>
      <c r="G5" s="57"/>
      <c r="H5" s="58"/>
    </row>
    <row r="6" spans="2:8" x14ac:dyDescent="0.25">
      <c r="B6" s="41" t="s">
        <v>5</v>
      </c>
      <c r="C6" s="11" t="s">
        <v>6</v>
      </c>
      <c r="D6" s="209">
        <v>2</v>
      </c>
      <c r="F6" s="41" t="s">
        <v>75</v>
      </c>
      <c r="G6" s="11" t="s">
        <v>76</v>
      </c>
      <c r="H6" s="209"/>
    </row>
    <row r="7" spans="2:8" x14ac:dyDescent="0.25">
      <c r="B7" s="41" t="s">
        <v>7</v>
      </c>
      <c r="C7" s="11" t="s">
        <v>8</v>
      </c>
      <c r="D7" s="209">
        <v>2</v>
      </c>
      <c r="F7" s="41" t="s">
        <v>77</v>
      </c>
      <c r="G7" s="11" t="s">
        <v>78</v>
      </c>
      <c r="H7" s="209"/>
    </row>
    <row r="8" spans="2:8" x14ac:dyDescent="0.25">
      <c r="B8" s="42" t="s">
        <v>9</v>
      </c>
      <c r="C8" s="40" t="s">
        <v>29</v>
      </c>
      <c r="D8" s="210">
        <v>2</v>
      </c>
      <c r="F8" s="42" t="s">
        <v>79</v>
      </c>
      <c r="G8" s="44" t="s">
        <v>80</v>
      </c>
      <c r="H8" s="212"/>
    </row>
    <row r="9" spans="2:8" x14ac:dyDescent="0.25">
      <c r="B9" s="42"/>
      <c r="C9" s="40"/>
      <c r="D9" s="210"/>
      <c r="E9" t="s">
        <v>4</v>
      </c>
      <c r="F9" s="42"/>
      <c r="G9" s="44"/>
      <c r="H9" s="213"/>
    </row>
    <row r="10" spans="2:8" x14ac:dyDescent="0.25">
      <c r="B10" s="42"/>
      <c r="C10" s="40"/>
      <c r="D10" s="210"/>
      <c r="F10" s="41" t="s">
        <v>81</v>
      </c>
      <c r="G10" s="11" t="s">
        <v>82</v>
      </c>
      <c r="H10" s="209"/>
    </row>
    <row r="11" spans="2:8" x14ac:dyDescent="0.25">
      <c r="B11" s="41" t="s">
        <v>10</v>
      </c>
      <c r="C11" s="11" t="s">
        <v>12</v>
      </c>
      <c r="D11" s="209">
        <v>2</v>
      </c>
      <c r="F11" s="41" t="s">
        <v>83</v>
      </c>
      <c r="G11" s="11" t="s">
        <v>84</v>
      </c>
      <c r="H11" s="209"/>
    </row>
    <row r="12" spans="2:8" x14ac:dyDescent="0.25">
      <c r="B12" s="41" t="s">
        <v>11</v>
      </c>
      <c r="C12" s="11" t="s">
        <v>13</v>
      </c>
      <c r="D12" s="209">
        <v>2</v>
      </c>
      <c r="F12" s="53" t="s">
        <v>85</v>
      </c>
      <c r="G12" s="54"/>
      <c r="H12" s="55"/>
    </row>
    <row r="13" spans="2:8" x14ac:dyDescent="0.25">
      <c r="B13" s="41" t="s">
        <v>14</v>
      </c>
      <c r="C13" s="11" t="s">
        <v>15</v>
      </c>
      <c r="D13" s="209">
        <v>2</v>
      </c>
      <c r="F13" s="41" t="s">
        <v>86</v>
      </c>
      <c r="G13" s="11" t="s">
        <v>87</v>
      </c>
      <c r="H13" s="209"/>
    </row>
    <row r="14" spans="2:8" x14ac:dyDescent="0.25">
      <c r="B14" s="41" t="s">
        <v>16</v>
      </c>
      <c r="C14" s="11" t="s">
        <v>17</v>
      </c>
      <c r="D14" s="209">
        <v>2</v>
      </c>
      <c r="F14" s="45" t="s">
        <v>88</v>
      </c>
      <c r="G14" s="11" t="s">
        <v>89</v>
      </c>
      <c r="H14" s="209"/>
    </row>
    <row r="15" spans="2:8" x14ac:dyDescent="0.25">
      <c r="B15" s="41"/>
      <c r="C15" s="11" t="s">
        <v>18</v>
      </c>
      <c r="D15" s="209">
        <v>2</v>
      </c>
      <c r="F15" s="41" t="s">
        <v>90</v>
      </c>
      <c r="G15" s="11" t="s">
        <v>91</v>
      </c>
      <c r="H15" s="209"/>
    </row>
    <row r="16" spans="2:8" x14ac:dyDescent="0.25">
      <c r="B16" s="53" t="s">
        <v>28</v>
      </c>
      <c r="C16" s="54"/>
      <c r="D16" s="55"/>
      <c r="F16" s="41" t="s">
        <v>92</v>
      </c>
      <c r="G16" s="11" t="s">
        <v>93</v>
      </c>
      <c r="H16" s="209"/>
    </row>
    <row r="17" spans="2:8" x14ac:dyDescent="0.25">
      <c r="B17" s="41" t="s">
        <v>20</v>
      </c>
      <c r="C17" s="11" t="s">
        <v>21</v>
      </c>
      <c r="D17" s="209">
        <v>1</v>
      </c>
      <c r="F17" s="41" t="s">
        <v>94</v>
      </c>
      <c r="G17" s="11" t="s">
        <v>95</v>
      </c>
      <c r="H17" s="209"/>
    </row>
    <row r="18" spans="2:8" x14ac:dyDescent="0.25">
      <c r="B18" s="41" t="s">
        <v>22</v>
      </c>
      <c r="C18" s="11" t="s">
        <v>23</v>
      </c>
      <c r="D18" s="209">
        <v>1</v>
      </c>
      <c r="F18" s="41" t="s">
        <v>96</v>
      </c>
      <c r="G18" s="11" t="s">
        <v>97</v>
      </c>
      <c r="H18" s="209"/>
    </row>
    <row r="19" spans="2:8" x14ac:dyDescent="0.25">
      <c r="B19" s="41" t="s">
        <v>24</v>
      </c>
      <c r="C19" s="11" t="s">
        <v>25</v>
      </c>
      <c r="D19" s="209"/>
      <c r="F19" s="53" t="s">
        <v>98</v>
      </c>
      <c r="G19" s="54"/>
      <c r="H19" s="55"/>
    </row>
    <row r="20" spans="2:8" x14ac:dyDescent="0.25">
      <c r="B20" s="53" t="s">
        <v>73</v>
      </c>
      <c r="C20" s="54"/>
      <c r="D20" s="55"/>
      <c r="F20" s="41" t="s">
        <v>99</v>
      </c>
      <c r="G20" s="11" t="s">
        <v>100</v>
      </c>
      <c r="H20" s="209"/>
    </row>
    <row r="21" spans="2:8" x14ac:dyDescent="0.25">
      <c r="B21" s="41" t="s">
        <v>26</v>
      </c>
      <c r="C21" s="11" t="s">
        <v>62</v>
      </c>
      <c r="D21" s="209"/>
      <c r="F21" s="41" t="s">
        <v>101</v>
      </c>
      <c r="G21" s="11" t="s">
        <v>102</v>
      </c>
      <c r="H21" s="209"/>
    </row>
    <row r="22" spans="2:8" x14ac:dyDescent="0.25">
      <c r="B22" s="41" t="s">
        <v>63</v>
      </c>
      <c r="C22" s="11" t="s">
        <v>64</v>
      </c>
      <c r="D22" s="209"/>
      <c r="F22" s="41" t="s">
        <v>103</v>
      </c>
      <c r="G22" s="11" t="s">
        <v>104</v>
      </c>
      <c r="H22" s="209"/>
    </row>
    <row r="23" spans="2:8" x14ac:dyDescent="0.25">
      <c r="B23" s="41" t="s">
        <v>65</v>
      </c>
      <c r="C23" s="11" t="s">
        <v>66</v>
      </c>
      <c r="D23" s="209"/>
      <c r="F23" s="41" t="s">
        <v>105</v>
      </c>
      <c r="G23" s="11" t="s">
        <v>106</v>
      </c>
      <c r="H23" s="209"/>
    </row>
    <row r="24" spans="2:8" x14ac:dyDescent="0.25">
      <c r="B24" s="41" t="s">
        <v>67</v>
      </c>
      <c r="C24" s="11" t="s">
        <v>68</v>
      </c>
      <c r="D24" s="209"/>
      <c r="F24" s="41" t="s">
        <v>107</v>
      </c>
      <c r="G24" s="11" t="s">
        <v>108</v>
      </c>
      <c r="H24" s="209"/>
    </row>
    <row r="25" spans="2:8" x14ac:dyDescent="0.25">
      <c r="B25" s="41" t="s">
        <v>69</v>
      </c>
      <c r="C25" s="11" t="s">
        <v>70</v>
      </c>
      <c r="D25" s="209"/>
      <c r="F25" s="41" t="s">
        <v>109</v>
      </c>
      <c r="G25" s="11" t="s">
        <v>110</v>
      </c>
      <c r="H25" s="209"/>
    </row>
    <row r="26" spans="2:8" ht="15.75" thickBot="1" x14ac:dyDescent="0.3">
      <c r="B26" s="43" t="s">
        <v>71</v>
      </c>
      <c r="C26" s="20" t="s">
        <v>72</v>
      </c>
      <c r="D26" s="211"/>
      <c r="F26" s="41" t="s">
        <v>113</v>
      </c>
      <c r="G26" s="11" t="s">
        <v>111</v>
      </c>
      <c r="H26" s="209"/>
    </row>
    <row r="27" spans="2:8" ht="15.75" thickBot="1" x14ac:dyDescent="0.3">
      <c r="F27" s="43" t="s">
        <v>112</v>
      </c>
      <c r="G27" s="20" t="s">
        <v>114</v>
      </c>
      <c r="H27" s="211"/>
    </row>
  </sheetData>
  <sheetProtection algorithmName="SHA-512" hashValue="/UZ8PM6WcRFMvn7lyYvyigTIuD6Owoj+DsH2NVOWmbfyMxOk6ijfDlZn0E72Hbx9HB3/egi6hkfp4BSoJXCyGw==" saltValue="uRVP//lN10RYfp6LPYiuJA==" spinCount="100000" sheet="1" selectLockedCells="1"/>
  <mergeCells count="15">
    <mergeCell ref="B16:D16"/>
    <mergeCell ref="B20:D20"/>
    <mergeCell ref="F5:H5"/>
    <mergeCell ref="F12:H12"/>
    <mergeCell ref="F19:H19"/>
    <mergeCell ref="G8:G9"/>
    <mergeCell ref="F8:F9"/>
    <mergeCell ref="C3:C4"/>
    <mergeCell ref="G3:G4"/>
    <mergeCell ref="B5:D5"/>
    <mergeCell ref="B3:B4"/>
    <mergeCell ref="C8:C10"/>
    <mergeCell ref="B8:B10"/>
    <mergeCell ref="D8:D10"/>
    <mergeCell ref="F3:F4"/>
  </mergeCells>
  <conditionalFormatting sqref="K8">
    <cfRule type="cellIs" dxfId="202" priority="5" operator="greaterThan">
      <formula>2</formula>
    </cfRule>
  </conditionalFormatting>
  <conditionalFormatting sqref="D6:D15">
    <cfRule type="cellIs" dxfId="201" priority="3" operator="lessThan">
      <formula>0</formula>
    </cfRule>
    <cfRule type="cellIs" dxfId="200" priority="4" operator="greaterThan">
      <formula>3</formula>
    </cfRule>
  </conditionalFormatting>
  <conditionalFormatting sqref="D17:D19">
    <cfRule type="cellIs" dxfId="199" priority="1" operator="lessThan">
      <formula>0</formula>
    </cfRule>
    <cfRule type="cellIs" dxfId="198" priority="2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21" sqref="D21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1:8" ht="15.75" thickBot="1" x14ac:dyDescent="0.3">
      <c r="B4" s="38"/>
      <c r="C4" s="49"/>
      <c r="D4" s="39" t="s">
        <v>19</v>
      </c>
      <c r="F4" s="38"/>
      <c r="G4" s="49"/>
      <c r="H4" s="39" t="s">
        <v>19</v>
      </c>
    </row>
    <row r="5" spans="1:8" x14ac:dyDescent="0.25">
      <c r="B5" s="50" t="s">
        <v>116</v>
      </c>
      <c r="C5" s="51"/>
      <c r="D5" s="52"/>
      <c r="F5" s="60" t="s">
        <v>145</v>
      </c>
      <c r="G5" s="208" t="s">
        <v>840</v>
      </c>
      <c r="H5" s="214"/>
    </row>
    <row r="6" spans="1:8" x14ac:dyDescent="0.25">
      <c r="B6" s="60" t="s">
        <v>117</v>
      </c>
      <c r="C6" s="62" t="s">
        <v>118</v>
      </c>
      <c r="D6" s="214">
        <v>2</v>
      </c>
      <c r="F6" s="91"/>
      <c r="G6" s="139"/>
      <c r="H6" s="218"/>
    </row>
    <row r="7" spans="1:8" x14ac:dyDescent="0.25">
      <c r="B7" s="61"/>
      <c r="C7" s="63"/>
      <c r="D7" s="215"/>
      <c r="F7" s="61"/>
      <c r="G7" s="140"/>
      <c r="H7" s="215"/>
    </row>
    <row r="8" spans="1:8" x14ac:dyDescent="0.25">
      <c r="B8" s="64" t="s">
        <v>119</v>
      </c>
      <c r="C8" s="65" t="s">
        <v>120</v>
      </c>
      <c r="D8" s="216">
        <v>2</v>
      </c>
      <c r="F8" s="64" t="s">
        <v>146</v>
      </c>
      <c r="G8" s="71" t="s">
        <v>147</v>
      </c>
      <c r="H8" s="216"/>
    </row>
    <row r="9" spans="1:8" x14ac:dyDescent="0.25">
      <c r="B9" s="64" t="s">
        <v>121</v>
      </c>
      <c r="C9" s="65" t="s">
        <v>122</v>
      </c>
      <c r="D9" s="216">
        <v>2</v>
      </c>
      <c r="E9" t="s">
        <v>4</v>
      </c>
      <c r="F9" s="41" t="s">
        <v>148</v>
      </c>
      <c r="G9" s="11" t="s">
        <v>149</v>
      </c>
      <c r="H9" s="216"/>
    </row>
    <row r="10" spans="1:8" x14ac:dyDescent="0.25">
      <c r="B10" s="53" t="s">
        <v>85</v>
      </c>
      <c r="C10" s="54"/>
      <c r="D10" s="55"/>
      <c r="F10" s="41" t="s">
        <v>150</v>
      </c>
      <c r="G10" s="11" t="s">
        <v>151</v>
      </c>
      <c r="H10" s="216"/>
    </row>
    <row r="11" spans="1:8" x14ac:dyDescent="0.25">
      <c r="B11" s="41" t="s">
        <v>123</v>
      </c>
      <c r="C11" s="11" t="s">
        <v>124</v>
      </c>
      <c r="D11" s="216">
        <v>2</v>
      </c>
      <c r="F11" s="41" t="s">
        <v>152</v>
      </c>
      <c r="G11" s="11" t="s">
        <v>153</v>
      </c>
      <c r="H11" s="216"/>
    </row>
    <row r="12" spans="1:8" x14ac:dyDescent="0.25">
      <c r="B12" s="41" t="s">
        <v>125</v>
      </c>
      <c r="C12" s="11" t="s">
        <v>126</v>
      </c>
      <c r="D12" s="216">
        <v>2</v>
      </c>
      <c r="F12" s="41" t="s">
        <v>154</v>
      </c>
      <c r="G12" s="11" t="s">
        <v>155</v>
      </c>
      <c r="H12" s="216"/>
    </row>
    <row r="13" spans="1:8" x14ac:dyDescent="0.25">
      <c r="B13" s="41" t="s">
        <v>127</v>
      </c>
      <c r="C13" s="11" t="s">
        <v>128</v>
      </c>
      <c r="D13" s="216">
        <v>2</v>
      </c>
      <c r="F13" s="41" t="s">
        <v>156</v>
      </c>
      <c r="G13" s="11" t="s">
        <v>157</v>
      </c>
      <c r="H13" s="216"/>
    </row>
    <row r="14" spans="1:8" x14ac:dyDescent="0.25">
      <c r="B14" s="60" t="s">
        <v>129</v>
      </c>
      <c r="C14" s="62" t="s">
        <v>130</v>
      </c>
      <c r="D14" s="214">
        <v>2</v>
      </c>
      <c r="F14" s="41" t="s">
        <v>158</v>
      </c>
      <c r="G14" s="11" t="s">
        <v>159</v>
      </c>
      <c r="H14" s="216"/>
    </row>
    <row r="15" spans="1:8" x14ac:dyDescent="0.25">
      <c r="B15" s="61"/>
      <c r="C15" s="63"/>
      <c r="D15" s="215"/>
      <c r="F15" s="41" t="s">
        <v>160</v>
      </c>
      <c r="G15" s="11" t="s">
        <v>161</v>
      </c>
      <c r="H15" s="216"/>
    </row>
    <row r="16" spans="1:8" x14ac:dyDescent="0.25">
      <c r="B16" s="69" t="s">
        <v>98</v>
      </c>
      <c r="C16" s="67"/>
      <c r="D16" s="68"/>
      <c r="F16" s="45" t="s">
        <v>162</v>
      </c>
      <c r="G16" s="11" t="s">
        <v>163</v>
      </c>
      <c r="H16" s="216"/>
    </row>
    <row r="17" spans="2:8" x14ac:dyDescent="0.25">
      <c r="B17" s="41" t="s">
        <v>131</v>
      </c>
      <c r="C17" s="11" t="s">
        <v>132</v>
      </c>
      <c r="D17" s="216">
        <v>2</v>
      </c>
      <c r="F17" s="41" t="s">
        <v>164</v>
      </c>
      <c r="G17" s="11" t="s">
        <v>165</v>
      </c>
      <c r="H17" s="216"/>
    </row>
    <row r="18" spans="2:8" ht="15.75" thickBot="1" x14ac:dyDescent="0.3">
      <c r="B18" s="41" t="s">
        <v>133</v>
      </c>
      <c r="C18" s="11" t="s">
        <v>134</v>
      </c>
      <c r="D18" s="216">
        <v>2</v>
      </c>
      <c r="F18" s="43" t="s">
        <v>166</v>
      </c>
      <c r="G18" s="20" t="s">
        <v>167</v>
      </c>
      <c r="H18" s="217"/>
    </row>
    <row r="19" spans="2:8" x14ac:dyDescent="0.25">
      <c r="B19" s="41" t="s">
        <v>135</v>
      </c>
      <c r="C19" s="11" t="s">
        <v>136</v>
      </c>
      <c r="D19" s="216">
        <v>2</v>
      </c>
    </row>
    <row r="20" spans="2:8" x14ac:dyDescent="0.25">
      <c r="B20" s="53" t="s">
        <v>137</v>
      </c>
      <c r="C20" s="54"/>
      <c r="D20" s="55"/>
    </row>
    <row r="21" spans="2:8" x14ac:dyDescent="0.25">
      <c r="B21" s="41" t="s">
        <v>138</v>
      </c>
      <c r="C21" s="11" t="s">
        <v>168</v>
      </c>
      <c r="D21" s="216"/>
    </row>
    <row r="22" spans="2:8" x14ac:dyDescent="0.25">
      <c r="B22" s="41"/>
      <c r="C22" s="11" t="s">
        <v>139</v>
      </c>
      <c r="D22" s="216"/>
    </row>
    <row r="23" spans="2:8" x14ac:dyDescent="0.25">
      <c r="B23" s="41"/>
      <c r="C23" s="11" t="s">
        <v>140</v>
      </c>
      <c r="D23" s="216"/>
    </row>
    <row r="24" spans="2:8" x14ac:dyDescent="0.25">
      <c r="B24" s="41" t="s">
        <v>141</v>
      </c>
      <c r="C24" s="11" t="s">
        <v>142</v>
      </c>
      <c r="D24" s="216"/>
    </row>
    <row r="25" spans="2:8" ht="15.75" thickBot="1" x14ac:dyDescent="0.3">
      <c r="B25" s="43" t="s">
        <v>143</v>
      </c>
      <c r="C25" s="20" t="s">
        <v>144</v>
      </c>
      <c r="D25" s="217"/>
    </row>
  </sheetData>
  <sheetProtection algorithmName="SHA-512" hashValue="mL4HYzLeCZFcR7o1F3BmSl2LtAo+EtWxTWpLW0lpv+mwrRI/U+hwD3C3nYFE2lnxgzbG5JRBvY6Jev1oZGWmUA==" saltValue="SDYJV9+G8PwY4mm2FZiqbg==" spinCount="100000" sheet="1" selectLockedCells="1"/>
  <mergeCells count="17"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  <mergeCell ref="B3:B4"/>
    <mergeCell ref="C3:C4"/>
    <mergeCell ref="F3:F4"/>
    <mergeCell ref="G3:G4"/>
    <mergeCell ref="B5:D5"/>
  </mergeCells>
  <conditionalFormatting sqref="K8">
    <cfRule type="cellIs" dxfId="197" priority="35" operator="greaterThan">
      <formula>2</formula>
    </cfRule>
  </conditionalFormatting>
  <conditionalFormatting sqref="D6 D8:D14">
    <cfRule type="cellIs" dxfId="196" priority="33" operator="lessThan">
      <formula>0</formula>
    </cfRule>
    <cfRule type="cellIs" dxfId="195" priority="34" operator="greaterThan">
      <formula>3</formula>
    </cfRule>
  </conditionalFormatting>
  <conditionalFormatting sqref="D6:D9">
    <cfRule type="cellIs" dxfId="194" priority="30" operator="greaterThan">
      <formula>2</formula>
    </cfRule>
  </conditionalFormatting>
  <conditionalFormatting sqref="D14:D15">
    <cfRule type="cellIs" dxfId="193" priority="29" operator="greaterThan">
      <formula>2</formula>
    </cfRule>
  </conditionalFormatting>
  <conditionalFormatting sqref="D8:D9">
    <cfRule type="cellIs" dxfId="192" priority="27" operator="lessThan">
      <formula>0</formula>
    </cfRule>
    <cfRule type="cellIs" dxfId="191" priority="28" operator="greaterThan">
      <formula>2</formula>
    </cfRule>
  </conditionalFormatting>
  <conditionalFormatting sqref="D11:D13">
    <cfRule type="cellIs" dxfId="190" priority="26" operator="greaterThan">
      <formula>2</formula>
    </cfRule>
  </conditionalFormatting>
  <conditionalFormatting sqref="D11:D13">
    <cfRule type="cellIs" dxfId="189" priority="24" operator="lessThan">
      <formula>0</formula>
    </cfRule>
    <cfRule type="cellIs" dxfId="188" priority="25" operator="greaterThan">
      <formula>2</formula>
    </cfRule>
  </conditionalFormatting>
  <conditionalFormatting sqref="D11:D13">
    <cfRule type="cellIs" dxfId="187" priority="23" operator="greaterThan">
      <formula>2</formula>
    </cfRule>
  </conditionalFormatting>
  <conditionalFormatting sqref="D11:D13">
    <cfRule type="cellIs" dxfId="186" priority="21" operator="lessThan">
      <formula>0</formula>
    </cfRule>
    <cfRule type="cellIs" dxfId="185" priority="22" operator="greaterThan">
      <formula>2</formula>
    </cfRule>
  </conditionalFormatting>
  <conditionalFormatting sqref="D11:D13">
    <cfRule type="cellIs" dxfId="184" priority="20" operator="greaterThan">
      <formula>2</formula>
    </cfRule>
  </conditionalFormatting>
  <conditionalFormatting sqref="D11:D13">
    <cfRule type="cellIs" dxfId="183" priority="18" operator="lessThan">
      <formula>0</formula>
    </cfRule>
    <cfRule type="cellIs" dxfId="182" priority="19" operator="greaterThan">
      <formula>2</formula>
    </cfRule>
  </conditionalFormatting>
  <conditionalFormatting sqref="D17:D19">
    <cfRule type="cellIs" dxfId="181" priority="16" operator="lessThan">
      <formula>0</formula>
    </cfRule>
    <cfRule type="cellIs" dxfId="180" priority="17" operator="greaterThan">
      <formula>3</formula>
    </cfRule>
  </conditionalFormatting>
  <conditionalFormatting sqref="D17:D19">
    <cfRule type="cellIs" dxfId="179" priority="15" operator="greaterThan">
      <formula>2</formula>
    </cfRule>
  </conditionalFormatting>
  <conditionalFormatting sqref="D17:D19">
    <cfRule type="cellIs" dxfId="178" priority="13" operator="lessThan">
      <formula>0</formula>
    </cfRule>
    <cfRule type="cellIs" dxfId="177" priority="14" operator="greaterThan">
      <formula>2</formula>
    </cfRule>
  </conditionalFormatting>
  <conditionalFormatting sqref="D21:D25">
    <cfRule type="cellIs" dxfId="176" priority="11" operator="lessThan">
      <formula>0</formula>
    </cfRule>
    <cfRule type="cellIs" dxfId="175" priority="12" operator="greaterThan">
      <formula>3</formula>
    </cfRule>
  </conditionalFormatting>
  <conditionalFormatting sqref="D21:D25">
    <cfRule type="cellIs" dxfId="174" priority="10" operator="greaterThan">
      <formula>2</formula>
    </cfRule>
  </conditionalFormatting>
  <conditionalFormatting sqref="D21:D25">
    <cfRule type="cellIs" dxfId="173" priority="8" operator="lessThan">
      <formula>0</formula>
    </cfRule>
    <cfRule type="cellIs" dxfId="172" priority="9" operator="greaterThan">
      <formula>2</formula>
    </cfRule>
  </conditionalFormatting>
  <conditionalFormatting sqref="H5 H8:H18">
    <cfRule type="cellIs" dxfId="171" priority="6" operator="lessThan">
      <formula>0</formula>
    </cfRule>
    <cfRule type="cellIs" dxfId="170" priority="7" operator="greaterThan">
      <formula>3</formula>
    </cfRule>
  </conditionalFormatting>
  <conditionalFormatting sqref="H5 H8:H18">
    <cfRule type="cellIs" dxfId="169" priority="5" operator="greaterThan">
      <formula>2</formula>
    </cfRule>
  </conditionalFormatting>
  <conditionalFormatting sqref="H5 H8:H18">
    <cfRule type="cellIs" dxfId="168" priority="3" operator="lessThan">
      <formula>0</formula>
    </cfRule>
    <cfRule type="cellIs" dxfId="167" priority="4" operator="greaterThan">
      <formula>2</formula>
    </cfRule>
  </conditionalFormatting>
  <conditionalFormatting sqref="H5:H7">
    <cfRule type="cellIs" dxfId="166" priority="1" operator="lessThan">
      <formula>0</formula>
    </cfRule>
    <cfRule type="cellIs" dxfId="165" priority="2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2:8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2:8" x14ac:dyDescent="0.25">
      <c r="B5" s="83" t="s">
        <v>27</v>
      </c>
      <c r="C5" s="51"/>
      <c r="D5" s="52"/>
      <c r="F5" s="101" t="s">
        <v>74</v>
      </c>
      <c r="G5" s="95"/>
      <c r="H5" s="96"/>
    </row>
    <row r="6" spans="2:8" x14ac:dyDescent="0.25">
      <c r="B6" s="64" t="s">
        <v>170</v>
      </c>
      <c r="C6" s="71" t="s">
        <v>171</v>
      </c>
      <c r="D6" s="216">
        <v>2</v>
      </c>
      <c r="F6" s="41" t="s">
        <v>200</v>
      </c>
      <c r="G6" s="11" t="s">
        <v>201</v>
      </c>
      <c r="H6" s="216"/>
    </row>
    <row r="7" spans="2:8" x14ac:dyDescent="0.25">
      <c r="B7" s="64" t="s">
        <v>172</v>
      </c>
      <c r="C7" s="71" t="s">
        <v>173</v>
      </c>
      <c r="D7" s="216">
        <v>2</v>
      </c>
      <c r="F7" s="41" t="s">
        <v>202</v>
      </c>
      <c r="G7" s="11" t="s">
        <v>203</v>
      </c>
      <c r="H7" s="216"/>
    </row>
    <row r="8" spans="2:8" x14ac:dyDescent="0.25">
      <c r="B8" s="64" t="s">
        <v>174</v>
      </c>
      <c r="C8" s="65" t="s">
        <v>175</v>
      </c>
      <c r="D8" s="216">
        <v>2</v>
      </c>
      <c r="F8" s="41" t="s">
        <v>204</v>
      </c>
      <c r="G8" s="11" t="s">
        <v>205</v>
      </c>
      <c r="H8" s="216"/>
    </row>
    <row r="9" spans="2:8" x14ac:dyDescent="0.25">
      <c r="B9" s="64" t="s">
        <v>176</v>
      </c>
      <c r="C9" s="65" t="s">
        <v>177</v>
      </c>
      <c r="D9" s="216">
        <v>2</v>
      </c>
      <c r="E9" t="s">
        <v>4</v>
      </c>
      <c r="F9" s="60" t="s">
        <v>206</v>
      </c>
      <c r="G9" s="86" t="s">
        <v>207</v>
      </c>
      <c r="H9" s="219"/>
    </row>
    <row r="10" spans="2:8" x14ac:dyDescent="0.25">
      <c r="B10" s="53" t="s">
        <v>178</v>
      </c>
      <c r="C10" s="54"/>
      <c r="D10" s="55"/>
      <c r="F10" s="61"/>
      <c r="G10" s="87"/>
      <c r="H10" s="220"/>
    </row>
    <row r="11" spans="2:8" x14ac:dyDescent="0.25">
      <c r="B11" s="41" t="s">
        <v>179</v>
      </c>
      <c r="C11" s="11" t="s">
        <v>180</v>
      </c>
      <c r="D11" s="216">
        <v>1</v>
      </c>
      <c r="F11" s="41" t="s">
        <v>208</v>
      </c>
      <c r="G11" s="11" t="s">
        <v>209</v>
      </c>
      <c r="H11" s="216"/>
    </row>
    <row r="12" spans="2:8" x14ac:dyDescent="0.25">
      <c r="B12" s="41" t="s">
        <v>181</v>
      </c>
      <c r="C12" s="11" t="s">
        <v>182</v>
      </c>
      <c r="D12" s="216">
        <v>1</v>
      </c>
      <c r="F12" s="53" t="s">
        <v>85</v>
      </c>
      <c r="G12" s="99"/>
      <c r="H12" s="100"/>
    </row>
    <row r="13" spans="2:8" x14ac:dyDescent="0.25">
      <c r="B13" s="60" t="s">
        <v>183</v>
      </c>
      <c r="C13" s="86" t="s">
        <v>184</v>
      </c>
      <c r="D13" s="219">
        <v>0</v>
      </c>
      <c r="F13" s="41" t="s">
        <v>210</v>
      </c>
      <c r="G13" s="11" t="s">
        <v>211</v>
      </c>
      <c r="H13" s="216"/>
    </row>
    <row r="14" spans="2:8" x14ac:dyDescent="0.25">
      <c r="B14" s="61"/>
      <c r="C14" s="87"/>
      <c r="D14" s="220"/>
      <c r="F14" s="41" t="s">
        <v>212</v>
      </c>
      <c r="G14" s="11" t="s">
        <v>213</v>
      </c>
      <c r="H14" s="216"/>
    </row>
    <row r="15" spans="2:8" x14ac:dyDescent="0.25">
      <c r="B15" s="60" t="s">
        <v>186</v>
      </c>
      <c r="C15" s="86" t="s">
        <v>185</v>
      </c>
      <c r="D15" s="219">
        <v>0</v>
      </c>
      <c r="F15" s="41" t="s">
        <v>214</v>
      </c>
      <c r="G15" s="11" t="s">
        <v>215</v>
      </c>
      <c r="H15" s="216"/>
    </row>
    <row r="16" spans="2:8" x14ac:dyDescent="0.25">
      <c r="B16" s="61"/>
      <c r="C16" s="87"/>
      <c r="D16" s="220"/>
      <c r="F16" s="106" t="s">
        <v>98</v>
      </c>
      <c r="G16" s="107"/>
      <c r="H16" s="108"/>
    </row>
    <row r="17" spans="2:8" x14ac:dyDescent="0.25">
      <c r="B17" s="81" t="s">
        <v>187</v>
      </c>
      <c r="C17" s="88" t="s">
        <v>188</v>
      </c>
      <c r="D17" s="216"/>
      <c r="F17" s="64" t="s">
        <v>216</v>
      </c>
      <c r="G17" s="71" t="s">
        <v>217</v>
      </c>
      <c r="H17" s="216"/>
    </row>
    <row r="18" spans="2:8" x14ac:dyDescent="0.25">
      <c r="B18" s="41" t="s">
        <v>189</v>
      </c>
      <c r="C18" s="11" t="s">
        <v>190</v>
      </c>
      <c r="D18" s="216"/>
      <c r="F18" s="41" t="s">
        <v>218</v>
      </c>
      <c r="G18" s="11" t="s">
        <v>219</v>
      </c>
      <c r="H18" s="216"/>
    </row>
    <row r="19" spans="2:8" x14ac:dyDescent="0.25">
      <c r="B19" s="69" t="s">
        <v>191</v>
      </c>
      <c r="C19" s="67"/>
      <c r="D19" s="68"/>
      <c r="F19" s="60" t="s">
        <v>220</v>
      </c>
      <c r="G19" s="86" t="s">
        <v>221</v>
      </c>
      <c r="H19" s="219"/>
    </row>
    <row r="20" spans="2:8" x14ac:dyDescent="0.25">
      <c r="B20" s="60" t="s">
        <v>192</v>
      </c>
      <c r="C20" s="89" t="s">
        <v>193</v>
      </c>
      <c r="D20" s="219"/>
      <c r="F20" s="61"/>
      <c r="G20" s="87"/>
      <c r="H20" s="220"/>
    </row>
    <row r="21" spans="2:8" x14ac:dyDescent="0.25">
      <c r="B21" s="61"/>
      <c r="C21" s="90"/>
      <c r="D21" s="220"/>
      <c r="F21" s="41" t="s">
        <v>222</v>
      </c>
      <c r="G21" s="11" t="s">
        <v>223</v>
      </c>
      <c r="H21" s="216"/>
    </row>
    <row r="22" spans="2:8" x14ac:dyDescent="0.25">
      <c r="B22" s="41" t="s">
        <v>194</v>
      </c>
      <c r="C22" s="11" t="s">
        <v>195</v>
      </c>
      <c r="D22" s="216"/>
      <c r="F22" s="41" t="s">
        <v>224</v>
      </c>
      <c r="G22" s="11" t="s">
        <v>225</v>
      </c>
      <c r="H22" s="216"/>
    </row>
    <row r="23" spans="2:8" x14ac:dyDescent="0.25">
      <c r="B23" s="53" t="s">
        <v>73</v>
      </c>
      <c r="C23" s="54"/>
      <c r="D23" s="55"/>
      <c r="F23" s="41" t="s">
        <v>226</v>
      </c>
      <c r="G23" s="11" t="s">
        <v>227</v>
      </c>
      <c r="H23" s="216"/>
    </row>
    <row r="24" spans="2:8" x14ac:dyDescent="0.25">
      <c r="B24" s="60" t="s">
        <v>196</v>
      </c>
      <c r="C24" s="86" t="s">
        <v>197</v>
      </c>
      <c r="D24" s="219"/>
      <c r="F24" s="41" t="s">
        <v>228</v>
      </c>
      <c r="G24" s="11" t="s">
        <v>229</v>
      </c>
      <c r="H24" s="216"/>
    </row>
    <row r="25" spans="2:8" ht="15.75" thickBot="1" x14ac:dyDescent="0.3">
      <c r="B25" s="61"/>
      <c r="C25" s="87"/>
      <c r="D25" s="220"/>
      <c r="F25" s="109" t="s">
        <v>230</v>
      </c>
      <c r="G25" s="20" t="s">
        <v>231</v>
      </c>
      <c r="H25" s="217"/>
    </row>
    <row r="26" spans="2:8" x14ac:dyDescent="0.25">
      <c r="B26" s="60" t="s">
        <v>198</v>
      </c>
      <c r="C26" s="86" t="s">
        <v>199</v>
      </c>
      <c r="D26" s="219"/>
    </row>
    <row r="27" spans="2:8" ht="15.75" thickBot="1" x14ac:dyDescent="0.3">
      <c r="B27" s="92"/>
      <c r="C27" s="97"/>
      <c r="D27" s="221"/>
    </row>
  </sheetData>
  <sheetProtection algorithmName="SHA-512" hashValue="WaxtQMw/5mSKXmKiAdTlHHvJrmN57VeJbkzUstVRiJ1GWAYqeCoByTdxAjOAONAssRPsIk678BVlb2woF2+y4w==" saltValue="Dlvn8DtBAXggxEae2HamlA==" spinCount="100000" sheet="1" selectLockedCells="1"/>
  <mergeCells count="32">
    <mergeCell ref="F9:F10"/>
    <mergeCell ref="G9:G10"/>
    <mergeCell ref="H9:H10"/>
    <mergeCell ref="F12:H12"/>
    <mergeCell ref="F16:H16"/>
    <mergeCell ref="F19:F20"/>
    <mergeCell ref="G19:G20"/>
    <mergeCell ref="H19:H20"/>
    <mergeCell ref="B26:B27"/>
    <mergeCell ref="C26:C27"/>
    <mergeCell ref="D26:D27"/>
    <mergeCell ref="C15:C16"/>
    <mergeCell ref="D15:D16"/>
    <mergeCell ref="B20:B21"/>
    <mergeCell ref="C20:C21"/>
    <mergeCell ref="D20:D21"/>
    <mergeCell ref="B24:B25"/>
    <mergeCell ref="C24:C25"/>
    <mergeCell ref="D24:D25"/>
    <mergeCell ref="B10:D10"/>
    <mergeCell ref="B19:D19"/>
    <mergeCell ref="B23:D23"/>
    <mergeCell ref="B13:B14"/>
    <mergeCell ref="C13:C14"/>
    <mergeCell ref="D13:D14"/>
    <mergeCell ref="B15:B16"/>
    <mergeCell ref="B3:B4"/>
    <mergeCell ref="C3:C4"/>
    <mergeCell ref="F3:F4"/>
    <mergeCell ref="G3:G4"/>
    <mergeCell ref="B5:D5"/>
    <mergeCell ref="F5:H5"/>
  </mergeCells>
  <conditionalFormatting sqref="K8">
    <cfRule type="cellIs" dxfId="164" priority="49" operator="greaterThan">
      <formula>2</formula>
    </cfRule>
  </conditionalFormatting>
  <conditionalFormatting sqref="D6:D12 D17:D18">
    <cfRule type="cellIs" dxfId="163" priority="47" operator="lessThan">
      <formula>0</formula>
    </cfRule>
    <cfRule type="cellIs" dxfId="162" priority="48" operator="greaterThan">
      <formula>3</formula>
    </cfRule>
  </conditionalFormatting>
  <conditionalFormatting sqref="D6:D9">
    <cfRule type="cellIs" dxfId="161" priority="43" operator="lessThan">
      <formula>0</formula>
    </cfRule>
    <cfRule type="cellIs" dxfId="160" priority="44" operator="greaterThan">
      <formula>2</formula>
    </cfRule>
  </conditionalFormatting>
  <conditionalFormatting sqref="D11:D12">
    <cfRule type="cellIs" dxfId="159" priority="41" operator="lessThan">
      <formula>0</formula>
    </cfRule>
    <cfRule type="cellIs" dxfId="158" priority="42" operator="greaterThan">
      <formula>2</formula>
    </cfRule>
  </conditionalFormatting>
  <conditionalFormatting sqref="D17:D18">
    <cfRule type="cellIs" dxfId="157" priority="39" operator="lessThan">
      <formula>0</formula>
    </cfRule>
    <cfRule type="cellIs" dxfId="156" priority="40" operator="greaterThan">
      <formula>2</formula>
    </cfRule>
  </conditionalFormatting>
  <conditionalFormatting sqref="D22">
    <cfRule type="cellIs" dxfId="155" priority="37" operator="lessThan">
      <formula>0</formula>
    </cfRule>
    <cfRule type="cellIs" dxfId="154" priority="38" operator="greaterThan">
      <formula>3</formula>
    </cfRule>
  </conditionalFormatting>
  <conditionalFormatting sqref="D22">
    <cfRule type="cellIs" dxfId="153" priority="35" operator="lessThan">
      <formula>0</formula>
    </cfRule>
    <cfRule type="cellIs" dxfId="152" priority="36" operator="greaterThan">
      <formula>2</formula>
    </cfRule>
  </conditionalFormatting>
  <conditionalFormatting sqref="H21:H25">
    <cfRule type="cellIs" dxfId="151" priority="33" operator="lessThan">
      <formula>0</formula>
    </cfRule>
    <cfRule type="cellIs" dxfId="150" priority="34" operator="greaterThan">
      <formula>3</formula>
    </cfRule>
  </conditionalFormatting>
  <conditionalFormatting sqref="H21:H25">
    <cfRule type="cellIs" dxfId="149" priority="31" operator="lessThan">
      <formula>0</formula>
    </cfRule>
    <cfRule type="cellIs" dxfId="148" priority="32" operator="greaterThan">
      <formula>2</formula>
    </cfRule>
  </conditionalFormatting>
  <conditionalFormatting sqref="H17:H18">
    <cfRule type="cellIs" dxfId="147" priority="29" operator="lessThan">
      <formula>0</formula>
    </cfRule>
    <cfRule type="cellIs" dxfId="146" priority="30" operator="greaterThan">
      <formula>3</formula>
    </cfRule>
  </conditionalFormatting>
  <conditionalFormatting sqref="H17:H18">
    <cfRule type="cellIs" dxfId="145" priority="27" operator="lessThan">
      <formula>0</formula>
    </cfRule>
    <cfRule type="cellIs" dxfId="144" priority="28" operator="greaterThan">
      <formula>2</formula>
    </cfRule>
  </conditionalFormatting>
  <conditionalFormatting sqref="H13:H15">
    <cfRule type="cellIs" dxfId="143" priority="25" operator="lessThan">
      <formula>0</formula>
    </cfRule>
    <cfRule type="cellIs" dxfId="142" priority="26" operator="greaterThan">
      <formula>3</formula>
    </cfRule>
  </conditionalFormatting>
  <conditionalFormatting sqref="H13:H15">
    <cfRule type="cellIs" dxfId="141" priority="23" operator="lessThan">
      <formula>0</formula>
    </cfRule>
    <cfRule type="cellIs" dxfId="140" priority="24" operator="greaterThan">
      <formula>2</formula>
    </cfRule>
  </conditionalFormatting>
  <conditionalFormatting sqref="H6:H8">
    <cfRule type="cellIs" dxfId="139" priority="21" operator="lessThan">
      <formula>0</formula>
    </cfRule>
    <cfRule type="cellIs" dxfId="138" priority="22" operator="greaterThan">
      <formula>3</formula>
    </cfRule>
  </conditionalFormatting>
  <conditionalFormatting sqref="H6:H8">
    <cfRule type="cellIs" dxfId="137" priority="19" operator="lessThan">
      <formula>0</formula>
    </cfRule>
    <cfRule type="cellIs" dxfId="136" priority="20" operator="greaterThan">
      <formula>2</formula>
    </cfRule>
  </conditionalFormatting>
  <conditionalFormatting sqref="H11">
    <cfRule type="cellIs" dxfId="135" priority="17" operator="lessThan">
      <formula>0</formula>
    </cfRule>
    <cfRule type="cellIs" dxfId="134" priority="18" operator="greaterThan">
      <formula>3</formula>
    </cfRule>
  </conditionalFormatting>
  <conditionalFormatting sqref="H11">
    <cfRule type="cellIs" dxfId="133" priority="15" operator="lessThan">
      <formula>0</formula>
    </cfRule>
    <cfRule type="cellIs" dxfId="132" priority="16" operator="greaterThan">
      <formula>2</formula>
    </cfRule>
  </conditionalFormatting>
  <conditionalFormatting sqref="H9:H10">
    <cfRule type="cellIs" dxfId="131" priority="13" operator="lessThan">
      <formula>0</formula>
    </cfRule>
    <cfRule type="cellIs" dxfId="130" priority="14" operator="greaterThan">
      <formula>2</formula>
    </cfRule>
  </conditionalFormatting>
  <conditionalFormatting sqref="H19:H20">
    <cfRule type="cellIs" dxfId="129" priority="11" operator="lessThan">
      <formula>0</formula>
    </cfRule>
    <cfRule type="cellIs" dxfId="128" priority="12" operator="greaterThan">
      <formula>2</formula>
    </cfRule>
  </conditionalFormatting>
  <conditionalFormatting sqref="D26:D27">
    <cfRule type="cellIs" dxfId="127" priority="9" operator="lessThan">
      <formula>0</formula>
    </cfRule>
    <cfRule type="cellIs" dxfId="126" priority="10" operator="greaterThan">
      <formula>2</formula>
    </cfRule>
  </conditionalFormatting>
  <conditionalFormatting sqref="D24:D25">
    <cfRule type="cellIs" dxfId="125" priority="7" operator="lessThan">
      <formula>0</formula>
    </cfRule>
    <cfRule type="cellIs" dxfId="124" priority="8" operator="greaterThan">
      <formula>2</formula>
    </cfRule>
  </conditionalFormatting>
  <conditionalFormatting sqref="D20:D21">
    <cfRule type="cellIs" dxfId="123" priority="5" operator="lessThan">
      <formula>0</formula>
    </cfRule>
    <cfRule type="cellIs" dxfId="122" priority="6" operator="greaterThan">
      <formula>2</formula>
    </cfRule>
  </conditionalFormatting>
  <conditionalFormatting sqref="D15:D16">
    <cfRule type="cellIs" dxfId="121" priority="3" operator="lessThan">
      <formula>0</formula>
    </cfRule>
    <cfRule type="cellIs" dxfId="120" priority="4" operator="greaterThan">
      <formula>2</formula>
    </cfRule>
  </conditionalFormatting>
  <conditionalFormatting sqref="D13:D14">
    <cfRule type="cellIs" dxfId="119" priority="1" operator="lessThan">
      <formula>0</formula>
    </cfRule>
    <cfRule type="cellIs" dxfId="118" priority="2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topLeftCell="A2" workbookViewId="0">
      <selection activeCell="D22" sqref="D22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232</v>
      </c>
      <c r="F2" s="4" t="s">
        <v>232</v>
      </c>
    </row>
    <row r="3" spans="2:8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2:8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2:8" x14ac:dyDescent="0.25">
      <c r="B5" s="83" t="s">
        <v>73</v>
      </c>
      <c r="C5" s="51"/>
      <c r="D5" s="52"/>
      <c r="F5" s="101" t="s">
        <v>98</v>
      </c>
      <c r="G5" s="95"/>
      <c r="H5" s="96"/>
    </row>
    <row r="6" spans="2:8" x14ac:dyDescent="0.25">
      <c r="B6" s="64" t="s">
        <v>233</v>
      </c>
      <c r="C6" s="71" t="s">
        <v>234</v>
      </c>
      <c r="D6" s="216">
        <v>2</v>
      </c>
      <c r="F6" s="41" t="s">
        <v>258</v>
      </c>
      <c r="G6" s="11" t="s">
        <v>259</v>
      </c>
      <c r="H6" s="216"/>
    </row>
    <row r="7" spans="2:8" x14ac:dyDescent="0.25">
      <c r="B7" s="64" t="s">
        <v>235</v>
      </c>
      <c r="C7" s="71" t="s">
        <v>236</v>
      </c>
      <c r="D7" s="216">
        <v>2</v>
      </c>
      <c r="F7" s="41" t="s">
        <v>260</v>
      </c>
      <c r="G7" s="11" t="s">
        <v>261</v>
      </c>
      <c r="H7" s="216"/>
    </row>
    <row r="8" spans="2:8" x14ac:dyDescent="0.25">
      <c r="B8" s="53" t="s">
        <v>237</v>
      </c>
      <c r="C8" s="54"/>
      <c r="D8" s="55"/>
      <c r="F8" s="41" t="s">
        <v>262</v>
      </c>
      <c r="G8" s="11" t="s">
        <v>263</v>
      </c>
      <c r="H8" s="216"/>
    </row>
    <row r="9" spans="2:8" x14ac:dyDescent="0.25">
      <c r="B9" s="41" t="s">
        <v>238</v>
      </c>
      <c r="C9" s="11" t="s">
        <v>239</v>
      </c>
      <c r="D9" s="216">
        <v>2</v>
      </c>
      <c r="E9" t="s">
        <v>4</v>
      </c>
      <c r="F9" s="64" t="s">
        <v>264</v>
      </c>
      <c r="G9" s="111" t="s">
        <v>265</v>
      </c>
      <c r="H9" s="216"/>
    </row>
    <row r="10" spans="2:8" x14ac:dyDescent="0.25">
      <c r="B10" s="41" t="s">
        <v>240</v>
      </c>
      <c r="C10" s="11" t="s">
        <v>241</v>
      </c>
      <c r="D10" s="216">
        <v>2</v>
      </c>
      <c r="F10" s="60" t="s">
        <v>266</v>
      </c>
      <c r="G10" s="86" t="s">
        <v>267</v>
      </c>
      <c r="H10" s="214"/>
    </row>
    <row r="11" spans="2:8" x14ac:dyDescent="0.25">
      <c r="B11" s="64" t="s">
        <v>242</v>
      </c>
      <c r="C11" s="111" t="s">
        <v>243</v>
      </c>
      <c r="D11" s="216">
        <v>2</v>
      </c>
      <c r="F11" s="61"/>
      <c r="G11" s="87"/>
      <c r="H11" s="215"/>
    </row>
    <row r="12" spans="2:8" x14ac:dyDescent="0.25">
      <c r="B12" s="106" t="s">
        <v>74</v>
      </c>
      <c r="C12" s="104"/>
      <c r="D12" s="105"/>
      <c r="F12" s="41" t="s">
        <v>268</v>
      </c>
      <c r="G12" s="11" t="s">
        <v>269</v>
      </c>
      <c r="H12" s="216"/>
    </row>
    <row r="13" spans="2:8" x14ac:dyDescent="0.25">
      <c r="B13" s="64" t="s">
        <v>244</v>
      </c>
      <c r="C13" s="111" t="s">
        <v>245</v>
      </c>
      <c r="D13" s="216">
        <v>2</v>
      </c>
      <c r="F13" s="60" t="s">
        <v>270</v>
      </c>
      <c r="G13" s="89" t="s">
        <v>271</v>
      </c>
      <c r="H13" s="214"/>
    </row>
    <row r="14" spans="2:8" x14ac:dyDescent="0.25">
      <c r="B14" s="60" t="s">
        <v>246</v>
      </c>
      <c r="C14" s="86" t="s">
        <v>247</v>
      </c>
      <c r="D14" s="214">
        <v>2</v>
      </c>
      <c r="F14" s="61"/>
      <c r="G14" s="90"/>
      <c r="H14" s="215"/>
    </row>
    <row r="15" spans="2:8" x14ac:dyDescent="0.25">
      <c r="B15" s="61"/>
      <c r="C15" s="87"/>
      <c r="D15" s="215"/>
      <c r="F15" s="64" t="s">
        <v>272</v>
      </c>
      <c r="G15" s="71" t="s">
        <v>273</v>
      </c>
      <c r="H15" s="216"/>
    </row>
    <row r="16" spans="2:8" x14ac:dyDescent="0.25">
      <c r="B16" s="69" t="s">
        <v>85</v>
      </c>
      <c r="C16" s="67"/>
      <c r="D16" s="68"/>
      <c r="F16" s="60" t="s">
        <v>274</v>
      </c>
      <c r="G16" s="86" t="s">
        <v>275</v>
      </c>
      <c r="H16" s="214"/>
    </row>
    <row r="17" spans="2:8" x14ac:dyDescent="0.25">
      <c r="B17" s="64" t="s">
        <v>248</v>
      </c>
      <c r="C17" s="113" t="s">
        <v>249</v>
      </c>
      <c r="D17" s="216">
        <v>2</v>
      </c>
      <c r="F17" s="61"/>
      <c r="G17" s="87"/>
      <c r="H17" s="215"/>
    </row>
    <row r="18" spans="2:8" x14ac:dyDescent="0.25">
      <c r="B18" s="81" t="s">
        <v>250</v>
      </c>
      <c r="C18" s="112" t="s">
        <v>251</v>
      </c>
      <c r="D18" s="216">
        <v>2</v>
      </c>
      <c r="F18" s="81" t="s">
        <v>276</v>
      </c>
      <c r="G18" s="88" t="s">
        <v>277</v>
      </c>
      <c r="H18" s="216"/>
    </row>
    <row r="19" spans="2:8" ht="15.75" customHeight="1" x14ac:dyDescent="0.25">
      <c r="B19" s="81" t="s">
        <v>252</v>
      </c>
      <c r="C19" s="112" t="s">
        <v>253</v>
      </c>
      <c r="D19" s="216">
        <v>2</v>
      </c>
      <c r="F19" s="41" t="s">
        <v>278</v>
      </c>
      <c r="G19" s="11" t="s">
        <v>279</v>
      </c>
      <c r="H19" s="216"/>
    </row>
    <row r="20" spans="2:8" x14ac:dyDescent="0.25">
      <c r="B20" s="81" t="s">
        <v>254</v>
      </c>
      <c r="C20" s="112" t="s">
        <v>255</v>
      </c>
      <c r="D20" s="216">
        <v>2</v>
      </c>
      <c r="F20" s="41" t="s">
        <v>280</v>
      </c>
      <c r="G20" s="11" t="s">
        <v>281</v>
      </c>
      <c r="H20" s="216"/>
    </row>
    <row r="21" spans="2:8" ht="15.75" thickBot="1" x14ac:dyDescent="0.3">
      <c r="B21" s="43" t="s">
        <v>256</v>
      </c>
      <c r="C21" s="20" t="s">
        <v>257</v>
      </c>
      <c r="D21" s="217">
        <v>2</v>
      </c>
      <c r="F21" s="43" t="s">
        <v>282</v>
      </c>
      <c r="G21" s="20" t="s">
        <v>283</v>
      </c>
      <c r="H21" s="217"/>
    </row>
  </sheetData>
  <sheetProtection algorithmName="SHA-512" hashValue="jlyxf3HBlQ080D7sy8uwn4NlyjW1XUjNaSSHOTpsqe4aoLXMYeyrLsHkvx306Avfv5iz1PHg1UIdG7QpqVSbVA==" saltValue="oq6z0RhIdx47sApIiII0Pg==" spinCount="100000" sheet="1"/>
  <mergeCells count="21">
    <mergeCell ref="F16:F17"/>
    <mergeCell ref="G16:G17"/>
    <mergeCell ref="H16:H17"/>
    <mergeCell ref="B14:B15"/>
    <mergeCell ref="C14:C15"/>
    <mergeCell ref="D14:D15"/>
    <mergeCell ref="F10:F11"/>
    <mergeCell ref="G10:G11"/>
    <mergeCell ref="H10:H11"/>
    <mergeCell ref="F13:F14"/>
    <mergeCell ref="G13:G14"/>
    <mergeCell ref="H13:H14"/>
    <mergeCell ref="B16:D16"/>
    <mergeCell ref="B8:D8"/>
    <mergeCell ref="B12:D12"/>
    <mergeCell ref="B3:B4"/>
    <mergeCell ref="C3:C4"/>
    <mergeCell ref="F3:F4"/>
    <mergeCell ref="G3:G4"/>
    <mergeCell ref="B5:D5"/>
    <mergeCell ref="F5:H5"/>
  </mergeCells>
  <conditionalFormatting sqref="K8">
    <cfRule type="cellIs" dxfId="117" priority="39" operator="greaterThan">
      <formula>2</formula>
    </cfRule>
  </conditionalFormatting>
  <conditionalFormatting sqref="D6:D11">
    <cfRule type="cellIs" dxfId="116" priority="37" operator="lessThan">
      <formula>0</formula>
    </cfRule>
    <cfRule type="cellIs" dxfId="115" priority="38" operator="greaterThan">
      <formula>3</formula>
    </cfRule>
  </conditionalFormatting>
  <conditionalFormatting sqref="D6:D7">
    <cfRule type="cellIs" dxfId="114" priority="33" operator="lessThan">
      <formula>0</formula>
    </cfRule>
    <cfRule type="cellIs" dxfId="113" priority="34" operator="greaterThan">
      <formula>2</formula>
    </cfRule>
  </conditionalFormatting>
  <conditionalFormatting sqref="D9:D11">
    <cfRule type="cellIs" dxfId="112" priority="31" operator="lessThan">
      <formula>0</formula>
    </cfRule>
    <cfRule type="cellIs" dxfId="111" priority="32" operator="greaterThan">
      <formula>2</formula>
    </cfRule>
  </conditionalFormatting>
  <conditionalFormatting sqref="D13">
    <cfRule type="cellIs" dxfId="110" priority="29" operator="lessThan">
      <formula>0</formula>
    </cfRule>
    <cfRule type="cellIs" dxfId="109" priority="30" operator="greaterThan">
      <formula>3</formula>
    </cfRule>
  </conditionalFormatting>
  <conditionalFormatting sqref="D13">
    <cfRule type="cellIs" dxfId="108" priority="27" operator="lessThan">
      <formula>0</formula>
    </cfRule>
    <cfRule type="cellIs" dxfId="107" priority="28" operator="greaterThan">
      <formula>2</formula>
    </cfRule>
  </conditionalFormatting>
  <conditionalFormatting sqref="D17:D21">
    <cfRule type="cellIs" dxfId="106" priority="25" operator="lessThan">
      <formula>0</formula>
    </cfRule>
    <cfRule type="cellIs" dxfId="105" priority="26" operator="greaterThan">
      <formula>3</formula>
    </cfRule>
  </conditionalFormatting>
  <conditionalFormatting sqref="D17:D21">
    <cfRule type="cellIs" dxfId="104" priority="23" operator="lessThan">
      <formula>0</formula>
    </cfRule>
    <cfRule type="cellIs" dxfId="103" priority="24" operator="greaterThan">
      <formula>2</formula>
    </cfRule>
  </conditionalFormatting>
  <conditionalFormatting sqref="H6:H9">
    <cfRule type="cellIs" dxfId="102" priority="21" operator="lessThan">
      <formula>0</formula>
    </cfRule>
    <cfRule type="cellIs" dxfId="101" priority="22" operator="greaterThan">
      <formula>3</formula>
    </cfRule>
  </conditionalFormatting>
  <conditionalFormatting sqref="H6:H9">
    <cfRule type="cellIs" dxfId="100" priority="19" operator="lessThan">
      <formula>0</formula>
    </cfRule>
    <cfRule type="cellIs" dxfId="99" priority="20" operator="greaterThan">
      <formula>2</formula>
    </cfRule>
  </conditionalFormatting>
  <conditionalFormatting sqref="H12">
    <cfRule type="cellIs" dxfId="98" priority="17" operator="lessThan">
      <formula>0</formula>
    </cfRule>
    <cfRule type="cellIs" dxfId="97" priority="18" operator="greaterThan">
      <formula>3</formula>
    </cfRule>
  </conditionalFormatting>
  <conditionalFormatting sqref="H12">
    <cfRule type="cellIs" dxfId="96" priority="15" operator="lessThan">
      <formula>0</formula>
    </cfRule>
    <cfRule type="cellIs" dxfId="95" priority="16" operator="greaterThan">
      <formula>2</formula>
    </cfRule>
  </conditionalFormatting>
  <conditionalFormatting sqref="H15">
    <cfRule type="cellIs" dxfId="94" priority="13" operator="lessThan">
      <formula>0</formula>
    </cfRule>
    <cfRule type="cellIs" dxfId="93" priority="14" operator="greaterThan">
      <formula>3</formula>
    </cfRule>
  </conditionalFormatting>
  <conditionalFormatting sqref="H15">
    <cfRule type="cellIs" dxfId="92" priority="11" operator="lessThan">
      <formula>0</formula>
    </cfRule>
    <cfRule type="cellIs" dxfId="91" priority="12" operator="greaterThan">
      <formula>2</formula>
    </cfRule>
  </conditionalFormatting>
  <conditionalFormatting sqref="H18:H21">
    <cfRule type="cellIs" dxfId="90" priority="9" operator="lessThan">
      <formula>0</formula>
    </cfRule>
    <cfRule type="cellIs" dxfId="89" priority="10" operator="greaterThan">
      <formula>3</formula>
    </cfRule>
  </conditionalFormatting>
  <conditionalFormatting sqref="H18:H21">
    <cfRule type="cellIs" dxfId="88" priority="7" operator="lessThan">
      <formula>0</formula>
    </cfRule>
    <cfRule type="cellIs" dxfId="87" priority="8" operator="greaterThan">
      <formula>2</formula>
    </cfRule>
  </conditionalFormatting>
  <conditionalFormatting sqref="H16:H17">
    <cfRule type="cellIs" dxfId="86" priority="5" operator="lessThan">
      <formula>0</formula>
    </cfRule>
    <cfRule type="cellIs" dxfId="85" priority="6" operator="greaterThan">
      <formula>2</formula>
    </cfRule>
  </conditionalFormatting>
  <conditionalFormatting sqref="H13:H14">
    <cfRule type="cellIs" dxfId="84" priority="3" operator="lessThan">
      <formula>0</formula>
    </cfRule>
    <cfRule type="cellIs" dxfId="83" priority="4" operator="greaterThan">
      <formula>2</formula>
    </cfRule>
  </conditionalFormatting>
  <conditionalFormatting sqref="H10:H11">
    <cfRule type="cellIs" dxfId="82" priority="1" operator="lessThan">
      <formula>0</formula>
    </cfRule>
    <cfRule type="cellIs" dxfId="81" priority="2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topLeftCell="A5" workbookViewId="0">
      <selection activeCell="B25" sqref="B25:D25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284</v>
      </c>
      <c r="F2" s="4" t="s">
        <v>284</v>
      </c>
    </row>
    <row r="3" spans="2:8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2:8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2:8" x14ac:dyDescent="0.25">
      <c r="B5" s="83" t="s">
        <v>27</v>
      </c>
      <c r="C5" s="51"/>
      <c r="D5" s="52"/>
      <c r="F5" s="122" t="s">
        <v>334</v>
      </c>
      <c r="G5" s="125" t="s">
        <v>335</v>
      </c>
      <c r="H5" s="224"/>
    </row>
    <row r="6" spans="2:8" x14ac:dyDescent="0.25">
      <c r="B6" s="64" t="s">
        <v>285</v>
      </c>
      <c r="C6" s="71" t="s">
        <v>286</v>
      </c>
      <c r="D6" s="216">
        <v>2</v>
      </c>
      <c r="F6" s="124"/>
      <c r="G6" s="126" t="s">
        <v>336</v>
      </c>
      <c r="H6" s="223"/>
    </row>
    <row r="7" spans="2:8" x14ac:dyDescent="0.25">
      <c r="B7" s="64" t="s">
        <v>287</v>
      </c>
      <c r="C7" s="71" t="s">
        <v>288</v>
      </c>
      <c r="D7" s="216">
        <v>2</v>
      </c>
      <c r="F7" s="53" t="s">
        <v>98</v>
      </c>
      <c r="G7" s="54"/>
      <c r="H7" s="55"/>
    </row>
    <row r="8" spans="2:8" x14ac:dyDescent="0.25">
      <c r="B8" s="106" t="s">
        <v>289</v>
      </c>
      <c r="C8" s="104"/>
      <c r="D8" s="105"/>
      <c r="F8" s="41" t="s">
        <v>337</v>
      </c>
      <c r="G8" s="11" t="s">
        <v>338</v>
      </c>
      <c r="H8" s="216"/>
    </row>
    <row r="9" spans="2:8" x14ac:dyDescent="0.25">
      <c r="B9" s="64" t="s">
        <v>290</v>
      </c>
      <c r="C9" s="71" t="s">
        <v>291</v>
      </c>
      <c r="D9" s="216">
        <v>2</v>
      </c>
      <c r="E9" t="s">
        <v>4</v>
      </c>
      <c r="F9" s="60" t="s">
        <v>339</v>
      </c>
      <c r="G9" s="86" t="s">
        <v>340</v>
      </c>
      <c r="H9" s="222"/>
    </row>
    <row r="10" spans="2:8" x14ac:dyDescent="0.25">
      <c r="B10" s="64" t="s">
        <v>292</v>
      </c>
      <c r="C10" s="71" t="s">
        <v>293</v>
      </c>
      <c r="D10" s="216">
        <v>2</v>
      </c>
      <c r="F10" s="61"/>
      <c r="G10" s="87"/>
      <c r="H10" s="223"/>
    </row>
    <row r="11" spans="2:8" x14ac:dyDescent="0.25">
      <c r="B11" s="106" t="s">
        <v>73</v>
      </c>
      <c r="C11" s="107"/>
      <c r="D11" s="108"/>
      <c r="F11" s="41" t="s">
        <v>341</v>
      </c>
      <c r="G11" s="11" t="s">
        <v>342</v>
      </c>
      <c r="H11" s="216"/>
    </row>
    <row r="12" spans="2:8" x14ac:dyDescent="0.25">
      <c r="B12" s="64" t="s">
        <v>294</v>
      </c>
      <c r="C12" s="71" t="s">
        <v>295</v>
      </c>
      <c r="D12" s="216">
        <v>2</v>
      </c>
      <c r="F12" s="41" t="s">
        <v>343</v>
      </c>
      <c r="G12" s="11" t="s">
        <v>344</v>
      </c>
      <c r="H12" s="216"/>
    </row>
    <row r="13" spans="2:8" x14ac:dyDescent="0.25">
      <c r="B13" s="64" t="s">
        <v>296</v>
      </c>
      <c r="C13" s="71" t="s">
        <v>297</v>
      </c>
      <c r="D13" s="216">
        <v>2</v>
      </c>
      <c r="F13" s="41" t="s">
        <v>345</v>
      </c>
      <c r="G13" s="11" t="s">
        <v>346</v>
      </c>
      <c r="H13" s="216"/>
    </row>
    <row r="14" spans="2:8" x14ac:dyDescent="0.25">
      <c r="B14" s="106" t="s">
        <v>237</v>
      </c>
      <c r="C14" s="107"/>
      <c r="D14" s="108"/>
      <c r="F14" s="53" t="s">
        <v>347</v>
      </c>
      <c r="G14" s="54"/>
      <c r="H14" s="55"/>
    </row>
    <row r="15" spans="2:8" x14ac:dyDescent="0.25">
      <c r="B15" s="64" t="s">
        <v>298</v>
      </c>
      <c r="C15" s="71" t="s">
        <v>299</v>
      </c>
      <c r="D15" s="216">
        <v>2</v>
      </c>
      <c r="F15" s="41" t="s">
        <v>348</v>
      </c>
      <c r="G15" s="11" t="s">
        <v>349</v>
      </c>
      <c r="H15" s="216"/>
    </row>
    <row r="16" spans="2:8" x14ac:dyDescent="0.25">
      <c r="B16" s="64" t="s">
        <v>300</v>
      </c>
      <c r="C16" s="71" t="s">
        <v>301</v>
      </c>
      <c r="D16" s="216">
        <v>2</v>
      </c>
      <c r="F16" s="41" t="s">
        <v>350</v>
      </c>
      <c r="G16" s="11" t="s">
        <v>351</v>
      </c>
      <c r="H16" s="216"/>
    </row>
    <row r="17" spans="2:8" x14ac:dyDescent="0.25">
      <c r="B17" s="64" t="s">
        <v>302</v>
      </c>
      <c r="C17" s="71" t="s">
        <v>303</v>
      </c>
      <c r="D17" s="216">
        <v>2</v>
      </c>
      <c r="F17" s="60" t="s">
        <v>352</v>
      </c>
      <c r="G17" s="86" t="s">
        <v>353</v>
      </c>
      <c r="H17" s="222"/>
    </row>
    <row r="18" spans="2:8" x14ac:dyDescent="0.25">
      <c r="B18" s="64" t="s">
        <v>304</v>
      </c>
      <c r="C18" s="71" t="s">
        <v>305</v>
      </c>
      <c r="D18" s="216">
        <v>2</v>
      </c>
      <c r="F18" s="61"/>
      <c r="G18" s="87"/>
      <c r="H18" s="223"/>
    </row>
    <row r="19" spans="2:8" ht="15.75" customHeight="1" x14ac:dyDescent="0.25">
      <c r="B19" s="64" t="s">
        <v>306</v>
      </c>
      <c r="C19" s="71" t="s">
        <v>307</v>
      </c>
      <c r="D19" s="216">
        <v>2</v>
      </c>
      <c r="F19" s="53" t="s">
        <v>672</v>
      </c>
      <c r="G19" s="54"/>
      <c r="H19" s="55"/>
    </row>
    <row r="20" spans="2:8" x14ac:dyDescent="0.25">
      <c r="B20" s="60" t="s">
        <v>308</v>
      </c>
      <c r="C20" s="62" t="s">
        <v>309</v>
      </c>
      <c r="D20" s="222">
        <v>2</v>
      </c>
      <c r="F20" s="41" t="s">
        <v>354</v>
      </c>
      <c r="G20" s="11" t="s">
        <v>355</v>
      </c>
      <c r="H20" s="216"/>
    </row>
    <row r="21" spans="2:8" x14ac:dyDescent="0.25">
      <c r="B21" s="61"/>
      <c r="C21" s="63"/>
      <c r="D21" s="223"/>
      <c r="F21" s="41" t="s">
        <v>356</v>
      </c>
      <c r="G21" s="11" t="s">
        <v>357</v>
      </c>
      <c r="H21" s="216"/>
    </row>
    <row r="22" spans="2:8" x14ac:dyDescent="0.25">
      <c r="B22" s="64" t="s">
        <v>310</v>
      </c>
      <c r="C22" s="71" t="s">
        <v>311</v>
      </c>
      <c r="D22" s="216">
        <v>2</v>
      </c>
      <c r="F22" s="60" t="s">
        <v>358</v>
      </c>
      <c r="G22" s="86" t="s">
        <v>359</v>
      </c>
      <c r="H22" s="222"/>
    </row>
    <row r="23" spans="2:8" x14ac:dyDescent="0.25">
      <c r="B23" s="64" t="s">
        <v>312</v>
      </c>
      <c r="C23" s="71" t="s">
        <v>313</v>
      </c>
      <c r="D23" s="216">
        <v>2</v>
      </c>
      <c r="F23" s="61"/>
      <c r="G23" s="87"/>
      <c r="H23" s="223"/>
    </row>
    <row r="24" spans="2:8" x14ac:dyDescent="0.25">
      <c r="B24" s="64" t="s">
        <v>314</v>
      </c>
      <c r="C24" s="71" t="s">
        <v>315</v>
      </c>
      <c r="D24" s="216">
        <v>2</v>
      </c>
      <c r="F24" s="41" t="s">
        <v>360</v>
      </c>
      <c r="G24" s="11" t="s">
        <v>361</v>
      </c>
      <c r="H24" s="216"/>
    </row>
    <row r="25" spans="2:8" x14ac:dyDescent="0.25">
      <c r="B25" s="106" t="s">
        <v>74</v>
      </c>
      <c r="C25" s="107"/>
      <c r="D25" s="108"/>
      <c r="F25" s="41" t="s">
        <v>362</v>
      </c>
      <c r="G25" s="128" t="s">
        <v>365</v>
      </c>
      <c r="H25" s="216"/>
    </row>
    <row r="26" spans="2:8" x14ac:dyDescent="0.25">
      <c r="B26" s="64" t="s">
        <v>316</v>
      </c>
      <c r="C26" s="71" t="s">
        <v>317</v>
      </c>
      <c r="D26" s="216"/>
      <c r="F26" s="41" t="s">
        <v>363</v>
      </c>
      <c r="G26" s="11" t="s">
        <v>364</v>
      </c>
      <c r="H26" s="216"/>
    </row>
    <row r="27" spans="2:8" x14ac:dyDescent="0.25">
      <c r="B27" s="64" t="s">
        <v>318</v>
      </c>
      <c r="C27" s="71" t="s">
        <v>319</v>
      </c>
      <c r="D27" s="216"/>
      <c r="F27" s="41" t="s">
        <v>366</v>
      </c>
      <c r="G27" s="11" t="s">
        <v>367</v>
      </c>
      <c r="H27" s="216"/>
    </row>
    <row r="28" spans="2:8" x14ac:dyDescent="0.25">
      <c r="B28" s="64" t="s">
        <v>320</v>
      </c>
      <c r="C28" s="71" t="s">
        <v>321</v>
      </c>
      <c r="D28" s="216"/>
      <c r="F28" s="41" t="s">
        <v>368</v>
      </c>
      <c r="G28" s="11" t="s">
        <v>369</v>
      </c>
      <c r="H28" s="216"/>
    </row>
    <row r="29" spans="2:8" x14ac:dyDescent="0.25">
      <c r="B29" s="64" t="s">
        <v>322</v>
      </c>
      <c r="C29" s="71" t="s">
        <v>323</v>
      </c>
      <c r="D29" s="216"/>
      <c r="F29" s="41" t="s">
        <v>370</v>
      </c>
      <c r="G29" s="11" t="s">
        <v>371</v>
      </c>
      <c r="H29" s="216"/>
    </row>
    <row r="30" spans="2:8" x14ac:dyDescent="0.25">
      <c r="B30" s="64" t="s">
        <v>324</v>
      </c>
      <c r="C30" s="71" t="s">
        <v>325</v>
      </c>
      <c r="D30" s="216"/>
      <c r="F30" s="41" t="s">
        <v>372</v>
      </c>
      <c r="G30" s="11" t="s">
        <v>373</v>
      </c>
      <c r="H30" s="216"/>
    </row>
    <row r="31" spans="2:8" x14ac:dyDescent="0.25">
      <c r="B31" s="64" t="s">
        <v>326</v>
      </c>
      <c r="C31" s="71" t="s">
        <v>327</v>
      </c>
      <c r="D31" s="216"/>
      <c r="F31" s="60" t="s">
        <v>374</v>
      </c>
      <c r="G31" s="86" t="s">
        <v>375</v>
      </c>
      <c r="H31" s="222"/>
    </row>
    <row r="32" spans="2:8" x14ac:dyDescent="0.25">
      <c r="B32" s="53" t="s">
        <v>85</v>
      </c>
      <c r="C32" s="54"/>
      <c r="D32" s="55"/>
      <c r="F32" s="61"/>
      <c r="G32" s="87"/>
      <c r="H32" s="223"/>
    </row>
    <row r="33" spans="2:8" ht="15.75" thickBot="1" x14ac:dyDescent="0.3">
      <c r="B33" s="41" t="s">
        <v>328</v>
      </c>
      <c r="C33" s="11" t="s">
        <v>329</v>
      </c>
      <c r="D33" s="216"/>
      <c r="F33" s="43" t="s">
        <v>376</v>
      </c>
      <c r="G33" s="20" t="s">
        <v>377</v>
      </c>
      <c r="H33" s="217"/>
    </row>
    <row r="34" spans="2:8" x14ac:dyDescent="0.25">
      <c r="B34" s="64" t="s">
        <v>330</v>
      </c>
      <c r="C34" s="111" t="s">
        <v>331</v>
      </c>
      <c r="D34" s="216"/>
    </row>
    <row r="35" spans="2:8" ht="15.75" thickBot="1" x14ac:dyDescent="0.3">
      <c r="B35" s="93" t="s">
        <v>332</v>
      </c>
      <c r="C35" s="94" t="s">
        <v>333</v>
      </c>
      <c r="D35" s="217"/>
    </row>
  </sheetData>
  <sheetProtection algorithmName="SHA-512" hashValue="dGKnOgMIYJQnz53R2KDWzAv/UuiHkmMbbBlBzPNYVhRgju+UdPq48xg2BTYNcaw5IY2YLjV2Fh71kEwuSJONhw==" saltValue="evNXmGDsQenOXuZD1O2FQw==" spinCount="100000" sheet="1"/>
  <mergeCells count="30">
    <mergeCell ref="H5:H6"/>
    <mergeCell ref="F5:F6"/>
    <mergeCell ref="F19:H19"/>
    <mergeCell ref="F22:F23"/>
    <mergeCell ref="G22:G23"/>
    <mergeCell ref="H22:H23"/>
    <mergeCell ref="F31:F32"/>
    <mergeCell ref="G31:G32"/>
    <mergeCell ref="H31:H32"/>
    <mergeCell ref="B25:D25"/>
    <mergeCell ref="B32:D32"/>
    <mergeCell ref="F7:H7"/>
    <mergeCell ref="F9:F10"/>
    <mergeCell ref="G9:G10"/>
    <mergeCell ref="H9:H10"/>
    <mergeCell ref="F14:H14"/>
    <mergeCell ref="F17:F18"/>
    <mergeCell ref="B14:D14"/>
    <mergeCell ref="B20:B21"/>
    <mergeCell ref="C20:C21"/>
    <mergeCell ref="D20:D21"/>
    <mergeCell ref="G17:G18"/>
    <mergeCell ref="H17:H18"/>
    <mergeCell ref="B8:D8"/>
    <mergeCell ref="B11:D11"/>
    <mergeCell ref="B3:B4"/>
    <mergeCell ref="C3:C4"/>
    <mergeCell ref="F3:F4"/>
    <mergeCell ref="G3:G4"/>
    <mergeCell ref="B5:D5"/>
  </mergeCells>
  <conditionalFormatting sqref="K8">
    <cfRule type="cellIs" dxfId="80" priority="55" operator="greaterThan">
      <formula>2</formula>
    </cfRule>
  </conditionalFormatting>
  <conditionalFormatting sqref="D6:D7 D9:D10 D12:D13 D15:D19 D22:D24 D26:D31 D33:D35">
    <cfRule type="cellIs" dxfId="79" priority="53" operator="lessThan">
      <formula>0</formula>
    </cfRule>
    <cfRule type="cellIs" dxfId="78" priority="54" operator="greaterThan">
      <formula>3</formula>
    </cfRule>
  </conditionalFormatting>
  <conditionalFormatting sqref="D6:D7">
    <cfRule type="cellIs" dxfId="77" priority="49" operator="lessThan">
      <formula>0</formula>
    </cfRule>
    <cfRule type="cellIs" dxfId="76" priority="50" operator="greaterThan">
      <formula>2</formula>
    </cfRule>
  </conditionalFormatting>
  <conditionalFormatting sqref="D9:D10">
    <cfRule type="cellIs" dxfId="75" priority="47" operator="lessThan">
      <formula>0</formula>
    </cfRule>
    <cfRule type="cellIs" dxfId="74" priority="48" operator="greaterThan">
      <formula>2</formula>
    </cfRule>
  </conditionalFormatting>
  <conditionalFormatting sqref="D12:D13">
    <cfRule type="cellIs" dxfId="73" priority="45" operator="lessThan">
      <formula>0</formula>
    </cfRule>
    <cfRule type="cellIs" dxfId="72" priority="46" operator="greaterThan">
      <formula>2</formula>
    </cfRule>
  </conditionalFormatting>
  <conditionalFormatting sqref="D15:D19">
    <cfRule type="cellIs" dxfId="71" priority="43" operator="lessThan">
      <formula>0</formula>
    </cfRule>
    <cfRule type="cellIs" dxfId="70" priority="44" operator="greaterThan">
      <formula>2</formula>
    </cfRule>
  </conditionalFormatting>
  <conditionalFormatting sqref="D22:D24">
    <cfRule type="cellIs" dxfId="69" priority="41" operator="lessThan">
      <formula>0</formula>
    </cfRule>
    <cfRule type="cellIs" dxfId="68" priority="42" operator="greaterThan">
      <formula>2</formula>
    </cfRule>
  </conditionalFormatting>
  <conditionalFormatting sqref="D26:D31">
    <cfRule type="cellIs" dxfId="67" priority="39" operator="lessThan">
      <formula>0</formula>
    </cfRule>
    <cfRule type="cellIs" dxfId="66" priority="40" operator="greaterThan">
      <formula>2</formula>
    </cfRule>
  </conditionalFormatting>
  <conditionalFormatting sqref="D33:D35">
    <cfRule type="cellIs" dxfId="65" priority="37" operator="lessThan">
      <formula>0</formula>
    </cfRule>
    <cfRule type="cellIs" dxfId="64" priority="38" operator="greaterThan">
      <formula>2</formula>
    </cfRule>
  </conditionalFormatting>
  <conditionalFormatting sqref="H33">
    <cfRule type="cellIs" dxfId="63" priority="35" operator="lessThan">
      <formula>0</formula>
    </cfRule>
    <cfRule type="cellIs" dxfId="62" priority="36" operator="greaterThan">
      <formula>3</formula>
    </cfRule>
  </conditionalFormatting>
  <conditionalFormatting sqref="H33">
    <cfRule type="cellIs" dxfId="61" priority="33" operator="lessThan">
      <formula>0</formula>
    </cfRule>
    <cfRule type="cellIs" dxfId="60" priority="34" operator="greaterThan">
      <formula>2</formula>
    </cfRule>
  </conditionalFormatting>
  <conditionalFormatting sqref="H24:H30">
    <cfRule type="cellIs" dxfId="59" priority="31" operator="lessThan">
      <formula>0</formula>
    </cfRule>
    <cfRule type="cellIs" dxfId="58" priority="32" operator="greaterThan">
      <formula>3</formula>
    </cfRule>
  </conditionalFormatting>
  <conditionalFormatting sqref="H24:H30">
    <cfRule type="cellIs" dxfId="57" priority="29" operator="lessThan">
      <formula>0</formula>
    </cfRule>
    <cfRule type="cellIs" dxfId="56" priority="30" operator="greaterThan">
      <formula>2</formula>
    </cfRule>
  </conditionalFormatting>
  <conditionalFormatting sqref="H20:H21">
    <cfRule type="cellIs" dxfId="55" priority="27" operator="lessThan">
      <formula>0</formula>
    </cfRule>
    <cfRule type="cellIs" dxfId="54" priority="28" operator="greaterThan">
      <formula>3</formula>
    </cfRule>
  </conditionalFormatting>
  <conditionalFormatting sqref="H20:H21">
    <cfRule type="cellIs" dxfId="53" priority="25" operator="lessThan">
      <formula>0</formula>
    </cfRule>
    <cfRule type="cellIs" dxfId="52" priority="26" operator="greaterThan">
      <formula>2</formula>
    </cfRule>
  </conditionalFormatting>
  <conditionalFormatting sqref="H15:H16">
    <cfRule type="cellIs" dxfId="51" priority="23" operator="lessThan">
      <formula>0</formula>
    </cfRule>
    <cfRule type="cellIs" dxfId="50" priority="24" operator="greaterThan">
      <formula>3</formula>
    </cfRule>
  </conditionalFormatting>
  <conditionalFormatting sqref="H15:H16">
    <cfRule type="cellIs" dxfId="49" priority="21" operator="lessThan">
      <formula>0</formula>
    </cfRule>
    <cfRule type="cellIs" dxfId="48" priority="22" operator="greaterThan">
      <formula>2</formula>
    </cfRule>
  </conditionalFormatting>
  <conditionalFormatting sqref="H11:H13">
    <cfRule type="cellIs" dxfId="47" priority="19" operator="lessThan">
      <formula>0</formula>
    </cfRule>
    <cfRule type="cellIs" dxfId="46" priority="20" operator="greaterThan">
      <formula>3</formula>
    </cfRule>
  </conditionalFormatting>
  <conditionalFormatting sqref="H11:H13">
    <cfRule type="cellIs" dxfId="45" priority="17" operator="lessThan">
      <formula>0</formula>
    </cfRule>
    <cfRule type="cellIs" dxfId="44" priority="18" operator="greaterThan">
      <formula>2</formula>
    </cfRule>
  </conditionalFormatting>
  <conditionalFormatting sqref="H8">
    <cfRule type="cellIs" dxfId="43" priority="15" operator="lessThan">
      <formula>0</formula>
    </cfRule>
    <cfRule type="cellIs" dxfId="42" priority="16" operator="greaterThan">
      <formula>3</formula>
    </cfRule>
  </conditionalFormatting>
  <conditionalFormatting sqref="H8">
    <cfRule type="cellIs" dxfId="41" priority="13" operator="lessThan">
      <formula>0</formula>
    </cfRule>
    <cfRule type="cellIs" dxfId="40" priority="14" operator="greaterThan">
      <formula>2</formula>
    </cfRule>
  </conditionalFormatting>
  <conditionalFormatting sqref="H5:H6">
    <cfRule type="cellIs" dxfId="39" priority="11" operator="lessThan">
      <formula>0</formula>
    </cfRule>
    <cfRule type="cellIs" dxfId="38" priority="12" operator="greaterThan">
      <formula>2</formula>
    </cfRule>
  </conditionalFormatting>
  <conditionalFormatting sqref="H9:H10">
    <cfRule type="cellIs" dxfId="37" priority="9" operator="lessThan">
      <formula>0</formula>
    </cfRule>
    <cfRule type="cellIs" dxfId="36" priority="10" operator="greaterThan">
      <formula>2</formula>
    </cfRule>
  </conditionalFormatting>
  <conditionalFormatting sqref="H17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2:H23">
    <cfRule type="cellIs" dxfId="33" priority="5" operator="lessThan">
      <formula>0</formula>
    </cfRule>
    <cfRule type="cellIs" dxfId="32" priority="6" operator="greaterThan">
      <formula>2</formula>
    </cfRule>
  </conditionalFormatting>
  <conditionalFormatting sqref="D20:D21">
    <cfRule type="cellIs" dxfId="31" priority="3" operator="lessThan">
      <formula>0</formula>
    </cfRule>
    <cfRule type="cellIs" dxfId="30" priority="4" operator="greaterThan">
      <formula>2</formula>
    </cfRule>
  </conditionalFormatting>
  <conditionalFormatting sqref="H31:H32">
    <cfRule type="cellIs" dxfId="29" priority="1" operator="lessThan">
      <formula>0</formula>
    </cfRule>
    <cfRule type="cellIs" dxfId="28" priority="2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B20" sqref="B20:D20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2:8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2:8" x14ac:dyDescent="0.25">
      <c r="B5" s="83" t="s">
        <v>27</v>
      </c>
      <c r="C5" s="51"/>
      <c r="D5" s="52"/>
      <c r="F5" s="135" t="s">
        <v>85</v>
      </c>
      <c r="G5" s="136"/>
      <c r="H5" s="136"/>
    </row>
    <row r="6" spans="2:8" ht="15.75" customHeight="1" x14ac:dyDescent="0.25">
      <c r="B6" s="60" t="s">
        <v>378</v>
      </c>
      <c r="C6" s="62" t="s">
        <v>380</v>
      </c>
      <c r="D6" s="214">
        <v>2</v>
      </c>
      <c r="F6" s="127" t="s">
        <v>412</v>
      </c>
      <c r="G6" s="126" t="s">
        <v>413</v>
      </c>
      <c r="H6" s="227"/>
    </row>
    <row r="7" spans="2:8" x14ac:dyDescent="0.25">
      <c r="B7" s="61"/>
      <c r="C7" s="63"/>
      <c r="D7" s="215"/>
      <c r="F7" s="60" t="s">
        <v>414</v>
      </c>
      <c r="G7" s="86" t="s">
        <v>415</v>
      </c>
      <c r="H7" s="219"/>
    </row>
    <row r="8" spans="2:8" x14ac:dyDescent="0.25">
      <c r="B8" s="64" t="s">
        <v>381</v>
      </c>
      <c r="C8" s="71" t="s">
        <v>379</v>
      </c>
      <c r="D8" s="216">
        <v>2</v>
      </c>
      <c r="F8" s="91"/>
      <c r="G8" s="137"/>
      <c r="H8" s="228"/>
    </row>
    <row r="9" spans="2:8" x14ac:dyDescent="0.25">
      <c r="B9" s="64" t="s">
        <v>382</v>
      </c>
      <c r="C9" s="71" t="s">
        <v>383</v>
      </c>
      <c r="D9" s="216">
        <v>2</v>
      </c>
      <c r="E9" t="s">
        <v>4</v>
      </c>
      <c r="F9" s="61"/>
      <c r="G9" s="66"/>
      <c r="H9" s="220"/>
    </row>
    <row r="10" spans="2:8" x14ac:dyDescent="0.25">
      <c r="B10" s="60" t="s">
        <v>384</v>
      </c>
      <c r="C10" s="62" t="s">
        <v>385</v>
      </c>
      <c r="D10" s="214">
        <v>2</v>
      </c>
      <c r="F10" s="41" t="s">
        <v>416</v>
      </c>
      <c r="G10" s="11" t="s">
        <v>417</v>
      </c>
      <c r="H10" s="229"/>
    </row>
    <row r="11" spans="2:8" x14ac:dyDescent="0.25">
      <c r="B11" s="61"/>
      <c r="C11" s="63"/>
      <c r="D11" s="215"/>
      <c r="F11" s="60" t="s">
        <v>418</v>
      </c>
      <c r="G11" s="86" t="s">
        <v>419</v>
      </c>
      <c r="H11" s="219"/>
    </row>
    <row r="12" spans="2:8" x14ac:dyDescent="0.25">
      <c r="B12" s="106" t="s">
        <v>289</v>
      </c>
      <c r="C12" s="104"/>
      <c r="D12" s="105"/>
      <c r="F12" s="91"/>
      <c r="G12" s="137"/>
      <c r="H12" s="228"/>
    </row>
    <row r="13" spans="2:8" ht="30" x14ac:dyDescent="0.25">
      <c r="B13" s="64" t="s">
        <v>386</v>
      </c>
      <c r="C13" s="71" t="s">
        <v>387</v>
      </c>
      <c r="D13" s="216">
        <v>2</v>
      </c>
      <c r="F13" s="61"/>
      <c r="G13" s="66"/>
      <c r="H13" s="220"/>
    </row>
    <row r="14" spans="2:8" x14ac:dyDescent="0.25">
      <c r="B14" s="60" t="s">
        <v>388</v>
      </c>
      <c r="C14" s="62" t="s">
        <v>389</v>
      </c>
      <c r="D14" s="214">
        <v>2</v>
      </c>
      <c r="F14" s="41" t="s">
        <v>420</v>
      </c>
      <c r="G14" s="11" t="s">
        <v>421</v>
      </c>
      <c r="H14" s="229"/>
    </row>
    <row r="15" spans="2:8" x14ac:dyDescent="0.25">
      <c r="B15" s="91"/>
      <c r="C15" s="132"/>
      <c r="D15" s="218"/>
      <c r="F15" s="60" t="s">
        <v>422</v>
      </c>
      <c r="G15" s="86" t="s">
        <v>423</v>
      </c>
      <c r="H15" s="219"/>
    </row>
    <row r="16" spans="2:8" x14ac:dyDescent="0.25">
      <c r="B16" s="61"/>
      <c r="C16" s="63"/>
      <c r="D16" s="215"/>
      <c r="F16" s="91"/>
      <c r="G16" s="137"/>
      <c r="H16" s="228"/>
    </row>
    <row r="17" spans="2:8" x14ac:dyDescent="0.25">
      <c r="B17" s="81" t="s">
        <v>390</v>
      </c>
      <c r="C17" s="82" t="s">
        <v>391</v>
      </c>
      <c r="D17" s="225">
        <v>2</v>
      </c>
      <c r="F17" s="61"/>
      <c r="G17" s="66"/>
      <c r="H17" s="220"/>
    </row>
    <row r="18" spans="2:8" x14ac:dyDescent="0.25">
      <c r="B18" s="81" t="s">
        <v>392</v>
      </c>
      <c r="C18" s="82" t="s">
        <v>393</v>
      </c>
      <c r="D18" s="225">
        <v>2</v>
      </c>
      <c r="F18" s="53" t="s">
        <v>424</v>
      </c>
      <c r="G18" s="54"/>
      <c r="H18" s="55"/>
    </row>
    <row r="19" spans="2:8" ht="15.75" customHeight="1" x14ac:dyDescent="0.25">
      <c r="B19" s="81" t="s">
        <v>394</v>
      </c>
      <c r="C19" s="82" t="s">
        <v>395</v>
      </c>
      <c r="D19" s="225">
        <v>2</v>
      </c>
      <c r="F19" s="41" t="s">
        <v>425</v>
      </c>
      <c r="G19" s="11" t="s">
        <v>426</v>
      </c>
      <c r="H19" s="229"/>
    </row>
    <row r="20" spans="2:8" x14ac:dyDescent="0.25">
      <c r="B20" s="106" t="s">
        <v>73</v>
      </c>
      <c r="C20" s="107"/>
      <c r="D20" s="108"/>
      <c r="F20" s="60" t="s">
        <v>427</v>
      </c>
      <c r="G20" s="138" t="s">
        <v>428</v>
      </c>
      <c r="H20" s="219"/>
    </row>
    <row r="21" spans="2:8" x14ac:dyDescent="0.25">
      <c r="B21" s="81" t="s">
        <v>396</v>
      </c>
      <c r="C21" s="82" t="s">
        <v>397</v>
      </c>
      <c r="D21" s="225"/>
      <c r="F21" s="91"/>
      <c r="G21" s="139"/>
      <c r="H21" s="228"/>
    </row>
    <row r="22" spans="2:8" x14ac:dyDescent="0.25">
      <c r="B22" s="81" t="s">
        <v>398</v>
      </c>
      <c r="C22" s="82" t="s">
        <v>399</v>
      </c>
      <c r="D22" s="225"/>
      <c r="F22" s="61"/>
      <c r="G22" s="140"/>
      <c r="H22" s="220"/>
    </row>
    <row r="23" spans="2:8" x14ac:dyDescent="0.25">
      <c r="B23" s="60" t="s">
        <v>400</v>
      </c>
      <c r="C23" s="62" t="s">
        <v>401</v>
      </c>
      <c r="D23" s="214"/>
      <c r="F23" s="60" t="s">
        <v>429</v>
      </c>
      <c r="G23" s="86" t="s">
        <v>430</v>
      </c>
      <c r="H23" s="219"/>
    </row>
    <row r="24" spans="2:8" x14ac:dyDescent="0.25">
      <c r="B24" s="61"/>
      <c r="C24" s="63"/>
      <c r="D24" s="215"/>
      <c r="F24" s="91"/>
      <c r="G24" s="137"/>
      <c r="H24" s="228"/>
    </row>
    <row r="25" spans="2:8" x14ac:dyDescent="0.25">
      <c r="B25" s="106" t="s">
        <v>74</v>
      </c>
      <c r="C25" s="107"/>
      <c r="D25" s="108"/>
      <c r="F25" s="91"/>
      <c r="G25" s="137"/>
      <c r="H25" s="228"/>
    </row>
    <row r="26" spans="2:8" ht="15.75" thickBot="1" x14ac:dyDescent="0.3">
      <c r="B26" s="81" t="s">
        <v>402</v>
      </c>
      <c r="C26" s="82" t="s">
        <v>403</v>
      </c>
      <c r="D26" s="225"/>
      <c r="F26" s="92"/>
      <c r="G26" s="195"/>
      <c r="H26" s="221"/>
    </row>
    <row r="27" spans="2:8" x14ac:dyDescent="0.25">
      <c r="B27" s="60" t="s">
        <v>404</v>
      </c>
      <c r="C27" s="62" t="s">
        <v>405</v>
      </c>
      <c r="D27" s="214"/>
    </row>
    <row r="28" spans="2:8" x14ac:dyDescent="0.25">
      <c r="B28" s="91"/>
      <c r="C28" s="132"/>
      <c r="D28" s="218"/>
    </row>
    <row r="29" spans="2:8" x14ac:dyDescent="0.25">
      <c r="B29" s="61"/>
      <c r="C29" s="63"/>
      <c r="D29" s="215"/>
    </row>
    <row r="30" spans="2:8" x14ac:dyDescent="0.25">
      <c r="B30" s="60" t="s">
        <v>406</v>
      </c>
      <c r="C30" s="62" t="s">
        <v>407</v>
      </c>
      <c r="D30" s="214"/>
    </row>
    <row r="31" spans="2:8" x14ac:dyDescent="0.25">
      <c r="B31" s="91"/>
      <c r="C31" s="132"/>
      <c r="D31" s="218"/>
    </row>
    <row r="32" spans="2:8" x14ac:dyDescent="0.25">
      <c r="B32" s="61"/>
      <c r="C32" s="63"/>
      <c r="D32" s="215"/>
    </row>
    <row r="33" spans="2:4" x14ac:dyDescent="0.25">
      <c r="B33" s="60" t="s">
        <v>408</v>
      </c>
      <c r="C33" s="62" t="s">
        <v>409</v>
      </c>
      <c r="D33" s="214"/>
    </row>
    <row r="34" spans="2:4" x14ac:dyDescent="0.25">
      <c r="B34" s="91"/>
      <c r="C34" s="132"/>
      <c r="D34" s="218"/>
    </row>
    <row r="35" spans="2:4" x14ac:dyDescent="0.25">
      <c r="B35" s="61"/>
      <c r="C35" s="63"/>
      <c r="D35" s="215"/>
    </row>
    <row r="36" spans="2:4" x14ac:dyDescent="0.25">
      <c r="B36" s="60" t="s">
        <v>410</v>
      </c>
      <c r="C36" s="62" t="s">
        <v>411</v>
      </c>
      <c r="D36" s="214"/>
    </row>
    <row r="37" spans="2:4" x14ac:dyDescent="0.25">
      <c r="B37" s="91"/>
      <c r="C37" s="132"/>
      <c r="D37" s="218"/>
    </row>
    <row r="38" spans="2:4" ht="15.75" thickBot="1" x14ac:dyDescent="0.3">
      <c r="B38" s="92"/>
      <c r="C38" s="134"/>
      <c r="D38" s="226"/>
    </row>
  </sheetData>
  <sheetProtection algorithmName="SHA-512" hashValue="M2oLR4u0XRSuhjZnFEVUY4zaVGkvDBsxetoljoTyU6sbAP834W8x2WVEqvbZGL+F1pHDBYZSF5ai16orHHpnwQ==" saltValue="I4woGUyCefp4vWVDu6vQMg==" spinCount="100000" sheet="1"/>
  <mergeCells count="49"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7:F9"/>
    <mergeCell ref="G7:G9"/>
    <mergeCell ref="H7:H9"/>
    <mergeCell ref="F11:F13"/>
    <mergeCell ref="G11:G13"/>
    <mergeCell ref="H11:H13"/>
    <mergeCell ref="B33:B35"/>
    <mergeCell ref="C33:C35"/>
    <mergeCell ref="D33:D35"/>
    <mergeCell ref="B36:B38"/>
    <mergeCell ref="C36:C38"/>
    <mergeCell ref="D36:D38"/>
    <mergeCell ref="B27:B29"/>
    <mergeCell ref="C27:C29"/>
    <mergeCell ref="D27:D29"/>
    <mergeCell ref="B30:B32"/>
    <mergeCell ref="C30:C32"/>
    <mergeCell ref="D30:D32"/>
    <mergeCell ref="B10:B11"/>
    <mergeCell ref="C10:C11"/>
    <mergeCell ref="D10:D11"/>
    <mergeCell ref="B14:B16"/>
    <mergeCell ref="C14:C16"/>
    <mergeCell ref="D14:D16"/>
    <mergeCell ref="B20:D20"/>
    <mergeCell ref="B23:B24"/>
    <mergeCell ref="F18:H18"/>
    <mergeCell ref="C23:C24"/>
    <mergeCell ref="D23:D24"/>
    <mergeCell ref="B25:D25"/>
    <mergeCell ref="B12:D12"/>
    <mergeCell ref="B6:B7"/>
    <mergeCell ref="C6:C7"/>
    <mergeCell ref="D6:D7"/>
    <mergeCell ref="B3:B4"/>
    <mergeCell ref="C3:C4"/>
    <mergeCell ref="F3:F4"/>
    <mergeCell ref="G3:G4"/>
    <mergeCell ref="B5:D5"/>
    <mergeCell ref="F5:H5"/>
  </mergeCells>
  <phoneticPr fontId="4" type="noConversion"/>
  <conditionalFormatting sqref="K8">
    <cfRule type="cellIs" dxfId="27" priority="7" operator="greaterThan">
      <formula>2</formula>
    </cfRule>
  </conditionalFormatting>
  <conditionalFormatting sqref="D33 D6 D13:D14 D36 D8:D10">
    <cfRule type="cellIs" dxfId="26" priority="5" operator="lessThan">
      <formula>0</formula>
    </cfRule>
    <cfRule type="cellIs" dxfId="25" priority="6" operator="greaterThan">
      <formula>3</formula>
    </cfRule>
  </conditionalFormatting>
  <conditionalFormatting sqref="D6:D7">
    <cfRule type="cellIs" dxfId="24" priority="3" operator="lessThan">
      <formula>1</formula>
    </cfRule>
    <cfRule type="cellIs" dxfId="23" priority="4" operator="greaterThan">
      <formula>2</formula>
    </cfRule>
  </conditionalFormatting>
  <conditionalFormatting sqref="D10:D11">
    <cfRule type="cellIs" dxfId="22" priority="1" operator="lessThan">
      <formula>1</formula>
    </cfRule>
    <cfRule type="cellIs" dxfId="21" priority="2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topLeftCell="A3" workbookViewId="0">
      <selection activeCell="D9" sqref="D9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2:11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2:11" x14ac:dyDescent="0.25">
      <c r="B5" s="83" t="s">
        <v>27</v>
      </c>
      <c r="C5" s="51"/>
      <c r="D5" s="52"/>
      <c r="F5" s="135" t="s">
        <v>85</v>
      </c>
      <c r="G5" s="136"/>
      <c r="H5" s="146"/>
    </row>
    <row r="6" spans="2:11" ht="15.75" customHeight="1" x14ac:dyDescent="0.25">
      <c r="B6" s="64" t="s">
        <v>431</v>
      </c>
      <c r="C6" s="71" t="s">
        <v>432</v>
      </c>
      <c r="D6" s="216">
        <v>2</v>
      </c>
      <c r="F6" s="145" t="s">
        <v>474</v>
      </c>
      <c r="G6" s="11" t="s">
        <v>475</v>
      </c>
      <c r="H6" s="230"/>
    </row>
    <row r="7" spans="2:11" x14ac:dyDescent="0.25">
      <c r="B7" s="64" t="s">
        <v>433</v>
      </c>
      <c r="C7" s="71" t="s">
        <v>434</v>
      </c>
      <c r="D7" s="216">
        <v>2</v>
      </c>
      <c r="F7" s="145" t="s">
        <v>476</v>
      </c>
      <c r="G7" s="11" t="s">
        <v>477</v>
      </c>
      <c r="H7" s="230"/>
      <c r="K7" t="s">
        <v>4</v>
      </c>
    </row>
    <row r="8" spans="2:11" x14ac:dyDescent="0.25">
      <c r="B8" s="64" t="s">
        <v>435</v>
      </c>
      <c r="C8" s="71" t="s">
        <v>436</v>
      </c>
      <c r="D8" s="216">
        <v>2</v>
      </c>
      <c r="F8" s="145" t="s">
        <v>478</v>
      </c>
      <c r="G8" s="11" t="s">
        <v>479</v>
      </c>
      <c r="H8" s="230"/>
    </row>
    <row r="9" spans="2:11" x14ac:dyDescent="0.25">
      <c r="B9" s="64" t="s">
        <v>437</v>
      </c>
      <c r="C9" s="71" t="s">
        <v>438</v>
      </c>
      <c r="D9" s="216">
        <v>2</v>
      </c>
      <c r="F9" s="60" t="s">
        <v>480</v>
      </c>
      <c r="G9" s="86" t="s">
        <v>481</v>
      </c>
      <c r="H9" s="219"/>
    </row>
    <row r="10" spans="2:11" x14ac:dyDescent="0.25">
      <c r="B10" s="103" t="s">
        <v>451</v>
      </c>
      <c r="C10" s="104"/>
      <c r="D10" s="105"/>
      <c r="F10" s="91"/>
      <c r="G10" s="137"/>
      <c r="H10" s="228"/>
    </row>
    <row r="11" spans="2:11" x14ac:dyDescent="0.25">
      <c r="B11" s="60" t="s">
        <v>439</v>
      </c>
      <c r="C11" s="62" t="s">
        <v>452</v>
      </c>
      <c r="D11" s="214">
        <v>2</v>
      </c>
      <c r="F11" s="91"/>
      <c r="G11" s="137"/>
      <c r="H11" s="228"/>
    </row>
    <row r="12" spans="2:11" x14ac:dyDescent="0.25">
      <c r="B12" s="61"/>
      <c r="C12" s="63"/>
      <c r="D12" s="215"/>
      <c r="F12" s="91"/>
      <c r="G12" s="137"/>
      <c r="H12" s="228"/>
    </row>
    <row r="13" spans="2:11" x14ac:dyDescent="0.25">
      <c r="B13" s="60" t="s">
        <v>440</v>
      </c>
      <c r="C13" s="62" t="s">
        <v>453</v>
      </c>
      <c r="D13" s="214">
        <v>2</v>
      </c>
      <c r="F13" s="61"/>
      <c r="G13" s="66"/>
      <c r="H13" s="220"/>
    </row>
    <row r="14" spans="2:11" x14ac:dyDescent="0.25">
      <c r="B14" s="61"/>
      <c r="C14" s="63"/>
      <c r="D14" s="215"/>
      <c r="F14" s="145" t="s">
        <v>482</v>
      </c>
      <c r="G14" s="11" t="s">
        <v>483</v>
      </c>
      <c r="H14" s="230"/>
    </row>
    <row r="15" spans="2:11" x14ac:dyDescent="0.25">
      <c r="B15" s="64" t="s">
        <v>441</v>
      </c>
      <c r="C15" s="71" t="s">
        <v>454</v>
      </c>
      <c r="D15" s="216">
        <v>2</v>
      </c>
      <c r="F15" s="148" t="s">
        <v>98</v>
      </c>
      <c r="G15" s="149"/>
      <c r="H15" s="150"/>
    </row>
    <row r="16" spans="2:11" x14ac:dyDescent="0.25">
      <c r="B16" s="64" t="s">
        <v>442</v>
      </c>
      <c r="C16" s="71" t="s">
        <v>455</v>
      </c>
      <c r="D16" s="216">
        <v>2</v>
      </c>
      <c r="F16" s="60" t="s">
        <v>484</v>
      </c>
      <c r="G16" s="86" t="s">
        <v>485</v>
      </c>
      <c r="H16" s="219">
        <v>2</v>
      </c>
    </row>
    <row r="17" spans="2:8" x14ac:dyDescent="0.25">
      <c r="B17" s="64" t="s">
        <v>443</v>
      </c>
      <c r="C17" s="71" t="s">
        <v>456</v>
      </c>
      <c r="D17" s="216">
        <v>2</v>
      </c>
      <c r="F17" s="91"/>
      <c r="G17" s="137"/>
      <c r="H17" s="228"/>
    </row>
    <row r="18" spans="2:8" x14ac:dyDescent="0.25">
      <c r="B18" s="103" t="s">
        <v>73</v>
      </c>
      <c r="C18" s="104"/>
      <c r="D18" s="105"/>
      <c r="F18" s="91"/>
      <c r="G18" s="137"/>
      <c r="H18" s="228"/>
    </row>
    <row r="19" spans="2:8" x14ac:dyDescent="0.25">
      <c r="B19" s="64" t="s">
        <v>444</v>
      </c>
      <c r="C19" s="71" t="s">
        <v>445</v>
      </c>
      <c r="D19" s="216">
        <v>2</v>
      </c>
      <c r="F19" s="91"/>
      <c r="G19" s="137"/>
      <c r="H19" s="228"/>
    </row>
    <row r="20" spans="2:8" x14ac:dyDescent="0.25">
      <c r="B20" s="60" t="s">
        <v>446</v>
      </c>
      <c r="C20" s="62" t="s">
        <v>457</v>
      </c>
      <c r="D20" s="214">
        <v>2</v>
      </c>
      <c r="F20" s="61"/>
      <c r="G20" s="66"/>
      <c r="H20" s="220"/>
    </row>
    <row r="21" spans="2:8" x14ac:dyDescent="0.25">
      <c r="B21" s="61"/>
      <c r="C21" s="63"/>
      <c r="D21" s="215"/>
      <c r="F21" s="60" t="s">
        <v>486</v>
      </c>
      <c r="G21" s="86" t="s">
        <v>487</v>
      </c>
      <c r="H21" s="219"/>
    </row>
    <row r="22" spans="2:8" x14ac:dyDescent="0.25">
      <c r="B22" s="64" t="s">
        <v>447</v>
      </c>
      <c r="C22" s="71" t="s">
        <v>448</v>
      </c>
      <c r="D22" s="216">
        <v>2</v>
      </c>
      <c r="F22" s="61"/>
      <c r="G22" s="87"/>
      <c r="H22" s="220"/>
    </row>
    <row r="23" spans="2:8" x14ac:dyDescent="0.25">
      <c r="B23" s="60" t="s">
        <v>449</v>
      </c>
      <c r="C23" s="62" t="s">
        <v>458</v>
      </c>
      <c r="D23" s="214">
        <v>1</v>
      </c>
      <c r="F23" s="147" t="s">
        <v>488</v>
      </c>
      <c r="G23" s="138" t="s">
        <v>489</v>
      </c>
      <c r="H23" s="231"/>
    </row>
    <row r="24" spans="2:8" x14ac:dyDescent="0.25">
      <c r="B24" s="61"/>
      <c r="C24" s="63"/>
      <c r="D24" s="215"/>
      <c r="F24" s="123"/>
      <c r="G24" s="139"/>
      <c r="H24" s="222"/>
    </row>
    <row r="25" spans="2:8" x14ac:dyDescent="0.25">
      <c r="B25" s="64" t="s">
        <v>450</v>
      </c>
      <c r="C25" s="71" t="s">
        <v>459</v>
      </c>
      <c r="D25" s="216"/>
      <c r="F25" s="123"/>
      <c r="G25" s="139"/>
      <c r="H25" s="222"/>
    </row>
    <row r="26" spans="2:8" x14ac:dyDescent="0.25">
      <c r="B26" s="103" t="s">
        <v>74</v>
      </c>
      <c r="C26" s="104"/>
      <c r="D26" s="105"/>
      <c r="F26" s="123"/>
      <c r="G26" s="139"/>
      <c r="H26" s="222"/>
    </row>
    <row r="27" spans="2:8" x14ac:dyDescent="0.25">
      <c r="B27" s="60" t="s">
        <v>460</v>
      </c>
      <c r="C27" s="62" t="s">
        <v>461</v>
      </c>
      <c r="D27" s="214"/>
      <c r="F27" s="123"/>
      <c r="G27" s="139"/>
      <c r="H27" s="222"/>
    </row>
    <row r="28" spans="2:8" x14ac:dyDescent="0.25">
      <c r="B28" s="61"/>
      <c r="C28" s="63"/>
      <c r="D28" s="215"/>
      <c r="F28" s="123"/>
      <c r="G28" s="139"/>
      <c r="H28" s="222"/>
    </row>
    <row r="29" spans="2:8" x14ac:dyDescent="0.25">
      <c r="B29" s="64" t="s">
        <v>462</v>
      </c>
      <c r="C29" s="71" t="s">
        <v>463</v>
      </c>
      <c r="D29" s="216"/>
      <c r="F29" s="123"/>
      <c r="G29" s="139"/>
      <c r="H29" s="222"/>
    </row>
    <row r="30" spans="2:8" x14ac:dyDescent="0.25">
      <c r="B30" s="64" t="s">
        <v>464</v>
      </c>
      <c r="C30" s="71" t="s">
        <v>465</v>
      </c>
      <c r="D30" s="216"/>
      <c r="F30" s="123"/>
      <c r="G30" s="139"/>
      <c r="H30" s="222"/>
    </row>
    <row r="31" spans="2:8" ht="13.5" customHeight="1" x14ac:dyDescent="0.25">
      <c r="B31" s="60" t="s">
        <v>466</v>
      </c>
      <c r="C31" s="62" t="s">
        <v>467</v>
      </c>
      <c r="D31" s="214"/>
      <c r="F31" s="123"/>
      <c r="G31" s="139"/>
      <c r="H31" s="222"/>
    </row>
    <row r="32" spans="2:8" x14ac:dyDescent="0.25">
      <c r="B32" s="61"/>
      <c r="C32" s="63"/>
      <c r="D32" s="215"/>
      <c r="F32" s="123"/>
      <c r="G32" s="139"/>
      <c r="H32" s="222"/>
    </row>
    <row r="33" spans="2:8" x14ac:dyDescent="0.25">
      <c r="B33" s="64" t="s">
        <v>468</v>
      </c>
      <c r="C33" s="71" t="s">
        <v>469</v>
      </c>
      <c r="D33" s="216"/>
      <c r="F33" s="123"/>
      <c r="G33" s="139"/>
      <c r="H33" s="222"/>
    </row>
    <row r="34" spans="2:8" x14ac:dyDescent="0.25">
      <c r="B34" s="60" t="s">
        <v>470</v>
      </c>
      <c r="C34" s="62" t="s">
        <v>471</v>
      </c>
      <c r="D34" s="214"/>
      <c r="F34" s="123"/>
      <c r="G34" s="139"/>
      <c r="H34" s="222"/>
    </row>
    <row r="35" spans="2:8" ht="15.75" thickBot="1" x14ac:dyDescent="0.3">
      <c r="B35" s="61"/>
      <c r="C35" s="63"/>
      <c r="D35" s="215"/>
      <c r="F35" s="151"/>
      <c r="G35" s="152"/>
      <c r="H35" s="232"/>
    </row>
    <row r="36" spans="2:8" x14ac:dyDescent="0.25">
      <c r="B36" s="60" t="s">
        <v>472</v>
      </c>
      <c r="C36" s="62" t="s">
        <v>473</v>
      </c>
      <c r="D36" s="214"/>
    </row>
    <row r="37" spans="2:8" x14ac:dyDescent="0.25">
      <c r="B37" s="91"/>
      <c r="C37" s="132"/>
      <c r="D37" s="218"/>
    </row>
    <row r="38" spans="2:8" x14ac:dyDescent="0.25">
      <c r="B38" s="91"/>
      <c r="C38" s="132"/>
      <c r="D38" s="218"/>
    </row>
    <row r="39" spans="2:8" x14ac:dyDescent="0.25">
      <c r="B39" s="91"/>
      <c r="C39" s="132"/>
      <c r="D39" s="218"/>
    </row>
    <row r="40" spans="2:8" ht="15.75" thickBot="1" x14ac:dyDescent="0.3">
      <c r="B40" s="92"/>
      <c r="C40" s="134"/>
      <c r="D40" s="226"/>
    </row>
  </sheetData>
  <sheetProtection algorithmName="SHA-512" hashValue="OulZNIjMDU3GV0+kCmJ0oc9GcjFE+Bor3R25WvtJasO9MN6WyA/xrG7c45KzM1d7O2xi0RAkoxFiFlLI4UX80g==" saltValue="uDNyVSqcKfgBz/4Mrid1+Q==" spinCount="100000" sheet="1"/>
  <mergeCells count="46"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  <mergeCell ref="B34:B35"/>
    <mergeCell ref="C34:C35"/>
    <mergeCell ref="D34:D35"/>
    <mergeCell ref="B36:B40"/>
    <mergeCell ref="C36:C40"/>
    <mergeCell ref="D36:D40"/>
    <mergeCell ref="B26:D26"/>
    <mergeCell ref="B27:B28"/>
    <mergeCell ref="C27:C28"/>
    <mergeCell ref="D27:D28"/>
    <mergeCell ref="B31:B32"/>
    <mergeCell ref="C31:C32"/>
    <mergeCell ref="D31:D32"/>
    <mergeCell ref="B20:B21"/>
    <mergeCell ref="C20:C21"/>
    <mergeCell ref="D20:D21"/>
    <mergeCell ref="B23:B24"/>
    <mergeCell ref="C23:C24"/>
    <mergeCell ref="D23:D24"/>
    <mergeCell ref="B11:B12"/>
    <mergeCell ref="C11:C12"/>
    <mergeCell ref="D11:D12"/>
    <mergeCell ref="B13:B14"/>
    <mergeCell ref="C13:C14"/>
    <mergeCell ref="D13:D14"/>
    <mergeCell ref="H9:H13"/>
    <mergeCell ref="B18:D18"/>
    <mergeCell ref="B10:D10"/>
    <mergeCell ref="F9:F13"/>
    <mergeCell ref="G9:G13"/>
    <mergeCell ref="B3:B4"/>
    <mergeCell ref="C3:C4"/>
    <mergeCell ref="F3:F4"/>
    <mergeCell ref="G3:G4"/>
    <mergeCell ref="B5:D5"/>
    <mergeCell ref="F5:H5"/>
  </mergeCells>
  <conditionalFormatting sqref="K8">
    <cfRule type="cellIs" dxfId="20" priority="3" operator="greaterThan">
      <formula>2</formula>
    </cfRule>
  </conditionalFormatting>
  <conditionalFormatting sqref="D6 D8:D9 D11 D15:D17 D19:D20 D22:D23 D25 D27 D29:D31 D33:D34 D36">
    <cfRule type="cellIs" dxfId="19" priority="1" operator="lessThan">
      <formula>0</formula>
    </cfRule>
    <cfRule type="cellIs" dxfId="18" priority="2" operator="greaterThan">
      <formula>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topLeftCell="A18" workbookViewId="0">
      <selection activeCell="H29" sqref="H29:H38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2:11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2:11" x14ac:dyDescent="0.25">
      <c r="B5" s="83" t="s">
        <v>490</v>
      </c>
      <c r="C5" s="51"/>
      <c r="D5" s="52"/>
      <c r="F5" s="153"/>
      <c r="G5" s="154" t="s">
        <v>191</v>
      </c>
      <c r="H5" s="155"/>
    </row>
    <row r="6" spans="2:11" ht="15.75" customHeight="1" x14ac:dyDescent="0.25">
      <c r="B6" s="60" t="s">
        <v>491</v>
      </c>
      <c r="C6" s="62" t="s">
        <v>492</v>
      </c>
      <c r="D6" s="214"/>
      <c r="F6" s="145" t="s">
        <v>530</v>
      </c>
      <c r="G6" s="11" t="s">
        <v>531</v>
      </c>
      <c r="H6" s="230"/>
    </row>
    <row r="7" spans="2:11" x14ac:dyDescent="0.25">
      <c r="B7" s="61"/>
      <c r="C7" s="63"/>
      <c r="D7" s="215"/>
      <c r="F7" s="145" t="s">
        <v>532</v>
      </c>
      <c r="G7" s="11" t="s">
        <v>533</v>
      </c>
      <c r="H7" s="230"/>
      <c r="K7" t="s">
        <v>4</v>
      </c>
    </row>
    <row r="8" spans="2:11" x14ac:dyDescent="0.25">
      <c r="B8" s="64" t="s">
        <v>493</v>
      </c>
      <c r="C8" s="71" t="s">
        <v>494</v>
      </c>
      <c r="D8" s="216"/>
      <c r="F8" s="64" t="s">
        <v>534</v>
      </c>
      <c r="G8" s="143" t="s">
        <v>535</v>
      </c>
      <c r="H8" s="234"/>
    </row>
    <row r="9" spans="2:11" x14ac:dyDescent="0.25">
      <c r="B9" s="60" t="s">
        <v>495</v>
      </c>
      <c r="C9" s="62" t="s">
        <v>496</v>
      </c>
      <c r="D9" s="214"/>
      <c r="F9" s="60" t="s">
        <v>536</v>
      </c>
      <c r="G9" s="86" t="s">
        <v>537</v>
      </c>
      <c r="H9" s="219"/>
    </row>
    <row r="10" spans="2:11" x14ac:dyDescent="0.25">
      <c r="B10" s="61"/>
      <c r="C10" s="63"/>
      <c r="D10" s="215"/>
      <c r="F10" s="61"/>
      <c r="G10" s="87"/>
      <c r="H10" s="220"/>
    </row>
    <row r="11" spans="2:11" x14ac:dyDescent="0.25">
      <c r="B11" s="60" t="s">
        <v>497</v>
      </c>
      <c r="C11" s="62" t="s">
        <v>498</v>
      </c>
      <c r="D11" s="214"/>
      <c r="F11" s="103" t="s">
        <v>73</v>
      </c>
      <c r="G11" s="104"/>
      <c r="H11" s="105"/>
    </row>
    <row r="12" spans="2:11" x14ac:dyDescent="0.25">
      <c r="B12" s="61"/>
      <c r="C12" s="63"/>
      <c r="D12" s="215"/>
      <c r="F12" s="60" t="s">
        <v>538</v>
      </c>
      <c r="G12" s="86" t="s">
        <v>539</v>
      </c>
      <c r="H12" s="219"/>
    </row>
    <row r="13" spans="2:11" x14ac:dyDescent="0.25">
      <c r="B13" s="64" t="s">
        <v>499</v>
      </c>
      <c r="C13" s="71" t="s">
        <v>500</v>
      </c>
      <c r="D13" s="216"/>
      <c r="F13" s="61"/>
      <c r="G13" s="87"/>
      <c r="H13" s="220"/>
    </row>
    <row r="14" spans="2:11" x14ac:dyDescent="0.25">
      <c r="B14" s="103" t="s">
        <v>501</v>
      </c>
      <c r="C14" s="104"/>
      <c r="D14" s="105"/>
      <c r="F14" s="64" t="s">
        <v>540</v>
      </c>
      <c r="G14" s="143" t="s">
        <v>541</v>
      </c>
      <c r="H14" s="234"/>
    </row>
    <row r="15" spans="2:11" x14ac:dyDescent="0.25">
      <c r="B15" s="60" t="s">
        <v>502</v>
      </c>
      <c r="C15" s="62" t="s">
        <v>503</v>
      </c>
      <c r="D15" s="214"/>
      <c r="F15" s="145" t="s">
        <v>543</v>
      </c>
      <c r="G15" s="11" t="s">
        <v>542</v>
      </c>
      <c r="H15" s="230"/>
    </row>
    <row r="16" spans="2:11" x14ac:dyDescent="0.25">
      <c r="B16" s="61"/>
      <c r="C16" s="63"/>
      <c r="D16" s="215"/>
      <c r="F16" s="148" t="s">
        <v>74</v>
      </c>
      <c r="G16" s="149"/>
      <c r="H16" s="150"/>
    </row>
    <row r="17" spans="2:8" x14ac:dyDescent="0.25">
      <c r="B17" s="60" t="s">
        <v>504</v>
      </c>
      <c r="C17" s="62" t="s">
        <v>505</v>
      </c>
      <c r="D17" s="214"/>
      <c r="F17" s="64" t="s">
        <v>545</v>
      </c>
      <c r="G17" s="111" t="s">
        <v>544</v>
      </c>
      <c r="H17" s="234"/>
    </row>
    <row r="18" spans="2:8" x14ac:dyDescent="0.25">
      <c r="B18" s="61"/>
      <c r="C18" s="63"/>
      <c r="D18" s="215"/>
      <c r="F18" s="64" t="s">
        <v>546</v>
      </c>
      <c r="G18" s="143" t="s">
        <v>547</v>
      </c>
      <c r="H18" s="234"/>
    </row>
    <row r="19" spans="2:8" x14ac:dyDescent="0.25">
      <c r="B19" s="64" t="s">
        <v>506</v>
      </c>
      <c r="C19" s="71" t="s">
        <v>507</v>
      </c>
      <c r="D19" s="216"/>
      <c r="F19" s="64" t="s">
        <v>548</v>
      </c>
      <c r="G19" s="143" t="s">
        <v>549</v>
      </c>
      <c r="H19" s="234"/>
    </row>
    <row r="20" spans="2:8" x14ac:dyDescent="0.25">
      <c r="B20" s="64" t="s">
        <v>508</v>
      </c>
      <c r="C20" s="71" t="s">
        <v>509</v>
      </c>
      <c r="D20" s="216"/>
      <c r="F20" s="64" t="s">
        <v>550</v>
      </c>
      <c r="G20" s="143" t="s">
        <v>551</v>
      </c>
      <c r="H20" s="234"/>
    </row>
    <row r="21" spans="2:8" x14ac:dyDescent="0.25">
      <c r="B21" s="64" t="s">
        <v>510</v>
      </c>
      <c r="C21" s="71" t="s">
        <v>511</v>
      </c>
      <c r="D21" s="216"/>
      <c r="F21" s="64" t="s">
        <v>552</v>
      </c>
      <c r="G21" s="143" t="s">
        <v>553</v>
      </c>
      <c r="H21" s="234"/>
    </row>
    <row r="22" spans="2:8" x14ac:dyDescent="0.25">
      <c r="B22" s="64" t="s">
        <v>512</v>
      </c>
      <c r="C22" s="71" t="s">
        <v>513</v>
      </c>
      <c r="D22" s="216"/>
      <c r="F22" s="64" t="s">
        <v>554</v>
      </c>
      <c r="G22" s="111" t="s">
        <v>555</v>
      </c>
      <c r="H22" s="234"/>
    </row>
    <row r="23" spans="2:8" x14ac:dyDescent="0.25">
      <c r="B23" s="60" t="s">
        <v>514</v>
      </c>
      <c r="C23" s="62" t="s">
        <v>515</v>
      </c>
      <c r="D23" s="214"/>
      <c r="F23" s="103" t="s">
        <v>85</v>
      </c>
      <c r="G23" s="104"/>
      <c r="H23" s="105"/>
    </row>
    <row r="24" spans="2:8" x14ac:dyDescent="0.25">
      <c r="B24" s="61"/>
      <c r="C24" s="63"/>
      <c r="D24" s="215"/>
      <c r="F24" s="60" t="s">
        <v>556</v>
      </c>
      <c r="G24" s="86" t="s">
        <v>557</v>
      </c>
      <c r="H24" s="219"/>
    </row>
    <row r="25" spans="2:8" x14ac:dyDescent="0.25">
      <c r="B25" s="64" t="s">
        <v>516</v>
      </c>
      <c r="C25" s="71" t="s">
        <v>517</v>
      </c>
      <c r="D25" s="216"/>
      <c r="F25" s="61"/>
      <c r="G25" s="87"/>
      <c r="H25" s="220"/>
    </row>
    <row r="26" spans="2:8" ht="15" customHeight="1" x14ac:dyDescent="0.25">
      <c r="B26" s="80" t="s">
        <v>518</v>
      </c>
      <c r="C26" s="133" t="s">
        <v>519</v>
      </c>
      <c r="D26" s="233"/>
      <c r="F26" s="145" t="s">
        <v>558</v>
      </c>
      <c r="G26" s="142" t="s">
        <v>559</v>
      </c>
      <c r="H26" s="230"/>
    </row>
    <row r="27" spans="2:8" x14ac:dyDescent="0.25">
      <c r="B27" s="103" t="s">
        <v>178</v>
      </c>
      <c r="C27" s="104"/>
      <c r="D27" s="105"/>
      <c r="F27" s="145" t="s">
        <v>560</v>
      </c>
      <c r="G27" s="142" t="s">
        <v>561</v>
      </c>
      <c r="H27" s="230"/>
    </row>
    <row r="28" spans="2:8" x14ac:dyDescent="0.25">
      <c r="B28" s="64" t="s">
        <v>520</v>
      </c>
      <c r="C28" s="71" t="s">
        <v>521</v>
      </c>
      <c r="D28" s="216"/>
      <c r="F28" s="148" t="s">
        <v>98</v>
      </c>
      <c r="G28" s="149"/>
      <c r="H28" s="150"/>
    </row>
    <row r="29" spans="2:8" x14ac:dyDescent="0.25">
      <c r="B29" s="60" t="s">
        <v>522</v>
      </c>
      <c r="C29" s="62" t="s">
        <v>523</v>
      </c>
      <c r="D29" s="214"/>
      <c r="F29" s="145" t="s">
        <v>562</v>
      </c>
      <c r="G29" s="142" t="s">
        <v>563</v>
      </c>
      <c r="H29" s="230"/>
    </row>
    <row r="30" spans="2:8" x14ac:dyDescent="0.25">
      <c r="B30" s="61"/>
      <c r="C30" s="63"/>
      <c r="D30" s="215"/>
      <c r="F30" s="145" t="s">
        <v>564</v>
      </c>
      <c r="G30" s="142" t="s">
        <v>565</v>
      </c>
      <c r="H30" s="230"/>
    </row>
    <row r="31" spans="2:8" ht="13.5" customHeight="1" x14ac:dyDescent="0.25">
      <c r="B31" s="60" t="s">
        <v>524</v>
      </c>
      <c r="C31" s="157" t="s">
        <v>525</v>
      </c>
      <c r="D31" s="214"/>
      <c r="F31" s="145" t="s">
        <v>566</v>
      </c>
      <c r="G31" s="142" t="s">
        <v>567</v>
      </c>
      <c r="H31" s="230"/>
    </row>
    <row r="32" spans="2:8" x14ac:dyDescent="0.25">
      <c r="B32" s="61"/>
      <c r="C32" s="158"/>
      <c r="D32" s="215"/>
      <c r="F32" s="145" t="s">
        <v>568</v>
      </c>
      <c r="G32" s="142" t="s">
        <v>569</v>
      </c>
      <c r="H32" s="230"/>
    </row>
    <row r="33" spans="2:8" x14ac:dyDescent="0.25">
      <c r="B33" s="64" t="s">
        <v>527</v>
      </c>
      <c r="C33" s="71" t="s">
        <v>526</v>
      </c>
      <c r="D33" s="225"/>
      <c r="F33" s="145" t="s">
        <v>570</v>
      </c>
      <c r="G33" s="142" t="s">
        <v>571</v>
      </c>
      <c r="H33" s="230"/>
    </row>
    <row r="34" spans="2:8" x14ac:dyDescent="0.25">
      <c r="B34" s="60" t="s">
        <v>528</v>
      </c>
      <c r="C34" s="62" t="s">
        <v>529</v>
      </c>
      <c r="D34" s="214"/>
      <c r="F34" s="145" t="s">
        <v>572</v>
      </c>
      <c r="G34" s="142" t="s">
        <v>573</v>
      </c>
      <c r="H34" s="230"/>
    </row>
    <row r="35" spans="2:8" ht="15.75" thickBot="1" x14ac:dyDescent="0.3">
      <c r="B35" s="92"/>
      <c r="C35" s="134"/>
      <c r="D35" s="226"/>
      <c r="F35" s="145" t="s">
        <v>574</v>
      </c>
      <c r="G35" s="142" t="s">
        <v>575</v>
      </c>
      <c r="H35" s="230"/>
    </row>
    <row r="36" spans="2:8" x14ac:dyDescent="0.25">
      <c r="F36" s="145" t="s">
        <v>576</v>
      </c>
      <c r="G36" s="142" t="s">
        <v>577</v>
      </c>
      <c r="H36" s="230"/>
    </row>
    <row r="37" spans="2:8" x14ac:dyDescent="0.25">
      <c r="F37" s="145" t="s">
        <v>578</v>
      </c>
      <c r="G37" s="142" t="s">
        <v>579</v>
      </c>
      <c r="H37" s="230"/>
    </row>
    <row r="38" spans="2:8" ht="15.75" thickBot="1" x14ac:dyDescent="0.3">
      <c r="F38" s="160" t="s">
        <v>580</v>
      </c>
      <c r="G38" s="161" t="s">
        <v>581</v>
      </c>
      <c r="H38" s="235"/>
    </row>
  </sheetData>
  <sheetProtection algorithmName="SHA-512" hashValue="Uv6sFdz5PmNnDEP/R5YJ7M0xAA3ZwSaH++JzCLO3iyoEeV+ItWDc++M4QBHwmjlFFqLo/2EDbt26hUegRB5bHQ==" saltValue="2HHWvQ/jydJNSXl6rnHAKA==" spinCount="100000" sheet="1" selectLockedCells="1"/>
  <mergeCells count="47"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  <mergeCell ref="F9:F10"/>
    <mergeCell ref="G9:G10"/>
    <mergeCell ref="H9:H10"/>
    <mergeCell ref="F11:H11"/>
    <mergeCell ref="B27:D27"/>
    <mergeCell ref="B29:B30"/>
    <mergeCell ref="C29:C30"/>
    <mergeCell ref="D29:D30"/>
    <mergeCell ref="B14:D14"/>
    <mergeCell ref="B15:B16"/>
    <mergeCell ref="C15:C16"/>
    <mergeCell ref="D15:D16"/>
    <mergeCell ref="B17:B18"/>
    <mergeCell ref="C17:C18"/>
    <mergeCell ref="D17:D18"/>
    <mergeCell ref="B5:D5"/>
    <mergeCell ref="B6:B7"/>
    <mergeCell ref="C6:C7"/>
    <mergeCell ref="D6:D7"/>
    <mergeCell ref="B9:B10"/>
    <mergeCell ref="C9:C10"/>
    <mergeCell ref="D9:D10"/>
    <mergeCell ref="B31:B32"/>
    <mergeCell ref="C31:C32"/>
    <mergeCell ref="D31:D32"/>
    <mergeCell ref="B34:B35"/>
    <mergeCell ref="C34:C35"/>
    <mergeCell ref="D34:D35"/>
    <mergeCell ref="B23:B24"/>
    <mergeCell ref="C23:C24"/>
    <mergeCell ref="D23:D24"/>
    <mergeCell ref="B11:B12"/>
    <mergeCell ref="C11:C12"/>
    <mergeCell ref="D11:D12"/>
    <mergeCell ref="B3:B4"/>
    <mergeCell ref="C3:C4"/>
    <mergeCell ref="F3:F4"/>
    <mergeCell ref="G3:G4"/>
  </mergeCells>
  <conditionalFormatting sqref="K8">
    <cfRule type="cellIs" dxfId="17" priority="3" operator="greaterThan">
      <formula>2</formula>
    </cfRule>
  </conditionalFormatting>
  <conditionalFormatting sqref="D13 D26 D28:D29 D6 D8:D9 D15 D17 D19:D22">
    <cfRule type="cellIs" dxfId="16" priority="1" operator="lessThan">
      <formula>0</formula>
    </cfRule>
    <cfRule type="cellIs" dxfId="15" priority="2" operator="greaterThan">
      <formula>3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H14" sqref="H14:H24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63" t="s">
        <v>44</v>
      </c>
    </row>
    <row r="2" spans="2:11" ht="15.75" thickBot="1" x14ac:dyDescent="0.3">
      <c r="B2" s="9" t="s">
        <v>46</v>
      </c>
      <c r="F2" s="4" t="s">
        <v>46</v>
      </c>
    </row>
    <row r="3" spans="2:11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2:11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2:11" x14ac:dyDescent="0.25">
      <c r="B5" s="119"/>
      <c r="C5" s="120" t="s">
        <v>27</v>
      </c>
      <c r="D5" s="121"/>
      <c r="F5" s="153"/>
      <c r="G5" s="154" t="s">
        <v>85</v>
      </c>
      <c r="H5" s="155"/>
    </row>
    <row r="6" spans="2:11" ht="15.75" customHeight="1" x14ac:dyDescent="0.25">
      <c r="B6" s="60" t="s">
        <v>582</v>
      </c>
      <c r="C6" s="62" t="s">
        <v>583</v>
      </c>
      <c r="D6" s="214"/>
      <c r="F6" s="145" t="s">
        <v>614</v>
      </c>
      <c r="G6" s="11" t="s">
        <v>615</v>
      </c>
      <c r="H6" s="230"/>
    </row>
    <row r="7" spans="2:11" x14ac:dyDescent="0.25">
      <c r="B7" s="61"/>
      <c r="C7" s="63"/>
      <c r="D7" s="215"/>
      <c r="F7" s="147" t="s">
        <v>616</v>
      </c>
      <c r="G7" s="89" t="s">
        <v>617</v>
      </c>
      <c r="H7" s="231"/>
      <c r="K7" t="s">
        <v>4</v>
      </c>
    </row>
    <row r="8" spans="2:11" x14ac:dyDescent="0.25">
      <c r="B8" s="64" t="s">
        <v>584</v>
      </c>
      <c r="C8" s="71" t="s">
        <v>585</v>
      </c>
      <c r="D8" s="216"/>
      <c r="F8" s="124"/>
      <c r="G8" s="90"/>
      <c r="H8" s="223"/>
    </row>
    <row r="9" spans="2:11" x14ac:dyDescent="0.25">
      <c r="B9" s="60" t="s">
        <v>586</v>
      </c>
      <c r="C9" s="62" t="s">
        <v>587</v>
      </c>
      <c r="D9" s="214"/>
      <c r="F9" s="145" t="s">
        <v>618</v>
      </c>
      <c r="G9" s="11" t="s">
        <v>619</v>
      </c>
      <c r="H9" s="230"/>
    </row>
    <row r="10" spans="2:11" x14ac:dyDescent="0.25">
      <c r="B10" s="61"/>
      <c r="C10" s="63"/>
      <c r="D10" s="215"/>
      <c r="F10" s="60" t="s">
        <v>620</v>
      </c>
      <c r="G10" s="86" t="s">
        <v>621</v>
      </c>
      <c r="H10" s="219"/>
    </row>
    <row r="11" spans="2:11" x14ac:dyDescent="0.25">
      <c r="B11" s="64" t="s">
        <v>588</v>
      </c>
      <c r="C11" s="71" t="s">
        <v>589</v>
      </c>
      <c r="D11" s="216"/>
      <c r="F11" s="61"/>
      <c r="G11" s="87"/>
      <c r="H11" s="220"/>
    </row>
    <row r="12" spans="2:11" ht="15" customHeight="1" x14ac:dyDescent="0.25">
      <c r="B12" s="80" t="s">
        <v>590</v>
      </c>
      <c r="C12" s="133" t="s">
        <v>591</v>
      </c>
      <c r="D12" s="233"/>
      <c r="F12" s="64" t="s">
        <v>622</v>
      </c>
      <c r="G12" s="111" t="s">
        <v>623</v>
      </c>
      <c r="H12" s="234"/>
    </row>
    <row r="13" spans="2:11" x14ac:dyDescent="0.25">
      <c r="B13" s="103" t="s">
        <v>178</v>
      </c>
      <c r="C13" s="104"/>
      <c r="D13" s="105"/>
      <c r="F13" s="103" t="s">
        <v>98</v>
      </c>
      <c r="G13" s="104"/>
      <c r="H13" s="105"/>
    </row>
    <row r="14" spans="2:11" x14ac:dyDescent="0.25">
      <c r="B14" s="60" t="s">
        <v>592</v>
      </c>
      <c r="C14" s="62" t="s">
        <v>593</v>
      </c>
      <c r="D14" s="214"/>
      <c r="F14" s="64" t="s">
        <v>624</v>
      </c>
      <c r="G14" s="111" t="s">
        <v>625</v>
      </c>
      <c r="H14" s="234"/>
    </row>
    <row r="15" spans="2:11" x14ac:dyDescent="0.25">
      <c r="B15" s="61"/>
      <c r="C15" s="63"/>
      <c r="D15" s="215"/>
      <c r="F15" s="64" t="s">
        <v>626</v>
      </c>
      <c r="G15" s="111" t="s">
        <v>627</v>
      </c>
      <c r="H15" s="234"/>
    </row>
    <row r="16" spans="2:11" x14ac:dyDescent="0.25">
      <c r="B16" s="64" t="s">
        <v>594</v>
      </c>
      <c r="C16" s="71" t="s">
        <v>595</v>
      </c>
      <c r="D16" s="216"/>
      <c r="F16" s="60" t="s">
        <v>628</v>
      </c>
      <c r="G16" s="86" t="s">
        <v>629</v>
      </c>
      <c r="H16" s="219"/>
    </row>
    <row r="17" spans="2:8" x14ac:dyDescent="0.25">
      <c r="B17" s="60" t="s">
        <v>596</v>
      </c>
      <c r="C17" s="62" t="s">
        <v>597</v>
      </c>
      <c r="D17" s="214"/>
      <c r="F17" s="61"/>
      <c r="G17" s="87"/>
      <c r="H17" s="220"/>
    </row>
    <row r="18" spans="2:8" x14ac:dyDescent="0.25">
      <c r="B18" s="61"/>
      <c r="C18" s="63"/>
      <c r="D18" s="215"/>
      <c r="F18" s="64" t="s">
        <v>630</v>
      </c>
      <c r="G18" s="111" t="s">
        <v>631</v>
      </c>
      <c r="H18" s="234"/>
    </row>
    <row r="19" spans="2:8" x14ac:dyDescent="0.25">
      <c r="B19" s="103" t="s">
        <v>191</v>
      </c>
      <c r="C19" s="104"/>
      <c r="D19" s="105"/>
      <c r="F19" s="64" t="s">
        <v>632</v>
      </c>
      <c r="G19" s="143" t="s">
        <v>633</v>
      </c>
      <c r="H19" s="234"/>
    </row>
    <row r="20" spans="2:8" x14ac:dyDescent="0.25">
      <c r="B20" s="64" t="s">
        <v>598</v>
      </c>
      <c r="C20" s="71" t="s">
        <v>599</v>
      </c>
      <c r="D20" s="216"/>
      <c r="F20" s="64" t="s">
        <v>634</v>
      </c>
      <c r="G20" s="143" t="s">
        <v>635</v>
      </c>
      <c r="H20" s="234"/>
    </row>
    <row r="21" spans="2:8" x14ac:dyDescent="0.25">
      <c r="B21" s="60" t="s">
        <v>600</v>
      </c>
      <c r="C21" s="62" t="s">
        <v>601</v>
      </c>
      <c r="D21" s="214"/>
      <c r="F21" s="60" t="s">
        <v>636</v>
      </c>
      <c r="G21" s="86" t="s">
        <v>637</v>
      </c>
      <c r="H21" s="219"/>
    </row>
    <row r="22" spans="2:8" x14ac:dyDescent="0.25">
      <c r="B22" s="61"/>
      <c r="C22" s="63"/>
      <c r="D22" s="215"/>
      <c r="F22" s="61"/>
      <c r="G22" s="87"/>
      <c r="H22" s="220"/>
    </row>
    <row r="23" spans="2:8" x14ac:dyDescent="0.25">
      <c r="B23" s="103" t="s">
        <v>73</v>
      </c>
      <c r="C23" s="104"/>
      <c r="D23" s="105"/>
      <c r="F23" s="64" t="s">
        <v>638</v>
      </c>
      <c r="G23" s="143" t="s">
        <v>639</v>
      </c>
      <c r="H23" s="234"/>
    </row>
    <row r="24" spans="2:8" ht="15.75" thickBot="1" x14ac:dyDescent="0.3">
      <c r="B24" s="80" t="s">
        <v>602</v>
      </c>
      <c r="C24" s="159" t="s">
        <v>603</v>
      </c>
      <c r="D24" s="236"/>
      <c r="F24" s="93" t="s">
        <v>640</v>
      </c>
      <c r="G24" s="165" t="s">
        <v>641</v>
      </c>
      <c r="H24" s="237"/>
    </row>
    <row r="25" spans="2:8" x14ac:dyDescent="0.25">
      <c r="B25" s="64" t="s">
        <v>604</v>
      </c>
      <c r="C25" s="71" t="s">
        <v>605</v>
      </c>
      <c r="D25" s="216"/>
    </row>
    <row r="26" spans="2:8" ht="15" customHeight="1" x14ac:dyDescent="0.25">
      <c r="B26" s="103" t="s">
        <v>74</v>
      </c>
      <c r="C26" s="104"/>
      <c r="D26" s="105"/>
    </row>
    <row r="27" spans="2:8" x14ac:dyDescent="0.25">
      <c r="B27" s="64" t="s">
        <v>606</v>
      </c>
      <c r="C27" s="71" t="s">
        <v>607</v>
      </c>
      <c r="D27" s="216"/>
    </row>
    <row r="28" spans="2:8" x14ac:dyDescent="0.25">
      <c r="B28" s="60" t="s">
        <v>609</v>
      </c>
      <c r="C28" s="62" t="s">
        <v>608</v>
      </c>
      <c r="D28" s="214"/>
    </row>
    <row r="29" spans="2:8" x14ac:dyDescent="0.25">
      <c r="B29" s="61"/>
      <c r="C29" s="63"/>
      <c r="D29" s="215"/>
    </row>
    <row r="30" spans="2:8" x14ac:dyDescent="0.25">
      <c r="B30" s="64" t="s">
        <v>610</v>
      </c>
      <c r="C30" s="162" t="s">
        <v>611</v>
      </c>
      <c r="D30" s="216"/>
    </row>
    <row r="31" spans="2:8" ht="13.5" customHeight="1" thickBot="1" x14ac:dyDescent="0.3">
      <c r="B31" s="93" t="s">
        <v>612</v>
      </c>
      <c r="C31" s="164" t="s">
        <v>613</v>
      </c>
      <c r="D31" s="217"/>
    </row>
  </sheetData>
  <sheetProtection algorithmName="SHA-512" hashValue="HUUMuBA/+uUNDxDiXZLmgCWKoDYHVvlZSMpGMjfBbcgIRBW+vW50iX6UuRWXzOVtkd3zsftjahU2TayjxFeThg==" saltValue="sQQPByLqp0wzBrOZQqi7vw==" spinCount="100000" sheet="1" selectLockedCells="1"/>
  <mergeCells count="39"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B26:D26"/>
    <mergeCell ref="B28:B29"/>
    <mergeCell ref="C28:C29"/>
    <mergeCell ref="D28:D29"/>
    <mergeCell ref="F7:F8"/>
    <mergeCell ref="G7:G8"/>
    <mergeCell ref="F21:F22"/>
    <mergeCell ref="G21:G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C17:C18"/>
    <mergeCell ref="D17:D18"/>
    <mergeCell ref="B9:B10"/>
    <mergeCell ref="C9:C10"/>
    <mergeCell ref="D9:D10"/>
    <mergeCell ref="B3:B4"/>
    <mergeCell ref="C3:C4"/>
    <mergeCell ref="F3:F4"/>
    <mergeCell ref="G3:G4"/>
    <mergeCell ref="B6:B7"/>
    <mergeCell ref="C6:C7"/>
    <mergeCell ref="D6:D7"/>
  </mergeCells>
  <conditionalFormatting sqref="K8">
    <cfRule type="cellIs" dxfId="14" priority="3" operator="greaterThan">
      <formula>2</formula>
    </cfRule>
  </conditionalFormatting>
  <conditionalFormatting sqref="D25 D27:D28 D6 D8:D9 D14 D16 D20:D21">
    <cfRule type="cellIs" dxfId="13" priority="1" operator="lessThan">
      <formula>0</formula>
    </cfRule>
    <cfRule type="cellIs" dxfId="12" priority="2" operator="greaterThan">
      <formula>3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2"/>
  <sheetViews>
    <sheetView workbookViewId="0">
      <selection activeCell="H10" sqref="H10:H20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163" t="s">
        <v>44</v>
      </c>
    </row>
    <row r="2" spans="1:11" ht="15.75" thickBot="1" x14ac:dyDescent="0.3">
      <c r="A2" s="4"/>
      <c r="B2" s="4" t="s">
        <v>642</v>
      </c>
      <c r="F2" s="4" t="s">
        <v>642</v>
      </c>
    </row>
    <row r="3" spans="1:11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1:11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1:11" x14ac:dyDescent="0.25">
      <c r="B5" s="172" t="s">
        <v>4</v>
      </c>
      <c r="C5" s="166" t="s">
        <v>73</v>
      </c>
      <c r="D5" s="167"/>
      <c r="F5" s="168"/>
      <c r="G5" s="169" t="s">
        <v>347</v>
      </c>
      <c r="H5" s="170"/>
    </row>
    <row r="6" spans="1:11" ht="15.75" customHeight="1" x14ac:dyDescent="0.25">
      <c r="B6" s="173" t="s">
        <v>643</v>
      </c>
      <c r="C6" s="71" t="s">
        <v>644</v>
      </c>
      <c r="D6" s="238"/>
      <c r="E6" s="144"/>
      <c r="F6" s="178" t="s">
        <v>666</v>
      </c>
      <c r="G6" s="11" t="s">
        <v>667</v>
      </c>
      <c r="H6" s="230"/>
    </row>
    <row r="7" spans="1:11" x14ac:dyDescent="0.25">
      <c r="B7" s="173" t="s">
        <v>645</v>
      </c>
      <c r="C7" s="71" t="s">
        <v>646</v>
      </c>
      <c r="D7" s="238"/>
      <c r="E7" s="144"/>
      <c r="F7" s="178" t="s">
        <v>668</v>
      </c>
      <c r="G7" s="171" t="s">
        <v>669</v>
      </c>
      <c r="H7" s="230"/>
      <c r="K7" t="s">
        <v>4</v>
      </c>
    </row>
    <row r="8" spans="1:11" x14ac:dyDescent="0.25">
      <c r="B8" s="175" t="s">
        <v>237</v>
      </c>
      <c r="C8" s="176"/>
      <c r="D8" s="176"/>
      <c r="E8" s="144"/>
      <c r="F8" s="178" t="s">
        <v>670</v>
      </c>
      <c r="G8" s="171" t="s">
        <v>671</v>
      </c>
      <c r="H8" s="230"/>
    </row>
    <row r="9" spans="1:11" x14ac:dyDescent="0.25">
      <c r="B9" s="173" t="s">
        <v>647</v>
      </c>
      <c r="C9" s="71" t="s">
        <v>648</v>
      </c>
      <c r="D9" s="238"/>
      <c r="E9" s="144"/>
      <c r="F9" s="103" t="s">
        <v>672</v>
      </c>
      <c r="G9" s="104"/>
      <c r="H9" s="105"/>
    </row>
    <row r="10" spans="1:11" x14ac:dyDescent="0.25">
      <c r="B10" s="173" t="s">
        <v>649</v>
      </c>
      <c r="C10" s="71" t="s">
        <v>650</v>
      </c>
      <c r="D10" s="238"/>
      <c r="E10" s="144"/>
      <c r="F10" s="179" t="s">
        <v>673</v>
      </c>
      <c r="G10" s="111" t="s">
        <v>674</v>
      </c>
      <c r="H10" s="234"/>
    </row>
    <row r="11" spans="1:11" x14ac:dyDescent="0.25">
      <c r="B11" s="174"/>
      <c r="C11" s="156" t="s">
        <v>74</v>
      </c>
      <c r="D11" s="177"/>
      <c r="E11" s="144"/>
      <c r="F11" s="179" t="s">
        <v>675</v>
      </c>
      <c r="G11" s="111" t="s">
        <v>676</v>
      </c>
      <c r="H11" s="234"/>
    </row>
    <row r="12" spans="1:11" ht="15" customHeight="1" x14ac:dyDescent="0.25">
      <c r="B12" s="173" t="s">
        <v>651</v>
      </c>
      <c r="C12" s="71" t="s">
        <v>652</v>
      </c>
      <c r="D12" s="238"/>
      <c r="E12" s="144"/>
      <c r="F12" s="179" t="s">
        <v>677</v>
      </c>
      <c r="G12" s="111" t="s">
        <v>678</v>
      </c>
      <c r="H12" s="234"/>
    </row>
    <row r="13" spans="1:11" x14ac:dyDescent="0.25">
      <c r="B13" s="173" t="s">
        <v>653</v>
      </c>
      <c r="C13" s="71" t="s">
        <v>654</v>
      </c>
      <c r="D13" s="238"/>
      <c r="E13" s="144"/>
      <c r="F13" s="179" t="s">
        <v>679</v>
      </c>
      <c r="G13" s="111" t="s">
        <v>680</v>
      </c>
      <c r="H13" s="234"/>
    </row>
    <row r="14" spans="1:11" x14ac:dyDescent="0.25">
      <c r="B14" s="175" t="s">
        <v>655</v>
      </c>
      <c r="C14" s="176"/>
      <c r="D14" s="180"/>
      <c r="E14" s="144"/>
      <c r="F14" s="179" t="s">
        <v>681</v>
      </c>
      <c r="G14" s="111" t="s">
        <v>682</v>
      </c>
      <c r="H14" s="234"/>
    </row>
    <row r="15" spans="1:11" x14ac:dyDescent="0.25">
      <c r="B15" s="173" t="s">
        <v>656</v>
      </c>
      <c r="C15" s="71" t="s">
        <v>657</v>
      </c>
      <c r="D15" s="238"/>
      <c r="E15" s="144"/>
      <c r="F15" s="179" t="s">
        <v>683</v>
      </c>
      <c r="G15" s="143" t="s">
        <v>684</v>
      </c>
      <c r="H15" s="234"/>
    </row>
    <row r="16" spans="1:11" x14ac:dyDescent="0.25">
      <c r="B16" s="173" t="s">
        <v>658</v>
      </c>
      <c r="C16" s="71" t="s">
        <v>659</v>
      </c>
      <c r="D16" s="238"/>
      <c r="E16" s="144"/>
      <c r="F16" s="179" t="s">
        <v>685</v>
      </c>
      <c r="G16" s="143" t="s">
        <v>686</v>
      </c>
      <c r="H16" s="234"/>
    </row>
    <row r="17" spans="2:8" x14ac:dyDescent="0.25">
      <c r="B17" s="173" t="s">
        <v>660</v>
      </c>
      <c r="C17" s="71" t="s">
        <v>661</v>
      </c>
      <c r="D17" s="238"/>
      <c r="E17" s="144"/>
      <c r="F17" s="179" t="s">
        <v>687</v>
      </c>
      <c r="G17" s="111" t="s">
        <v>688</v>
      </c>
      <c r="H17" s="234"/>
    </row>
    <row r="18" spans="2:8" x14ac:dyDescent="0.25">
      <c r="B18" s="175" t="s">
        <v>98</v>
      </c>
      <c r="C18" s="176"/>
      <c r="D18" s="180"/>
      <c r="E18" s="144"/>
      <c r="F18" s="179" t="s">
        <v>689</v>
      </c>
      <c r="G18" s="111" t="s">
        <v>690</v>
      </c>
      <c r="H18" s="234"/>
    </row>
    <row r="19" spans="2:8" x14ac:dyDescent="0.25">
      <c r="B19" s="173" t="s">
        <v>662</v>
      </c>
      <c r="C19" s="71" t="s">
        <v>663</v>
      </c>
      <c r="D19" s="238"/>
      <c r="E19" s="144"/>
      <c r="F19" s="179" t="s">
        <v>691</v>
      </c>
      <c r="G19" s="143" t="s">
        <v>692</v>
      </c>
      <c r="H19" s="234"/>
    </row>
    <row r="20" spans="2:8" ht="15.75" thickBot="1" x14ac:dyDescent="0.3">
      <c r="B20" s="184" t="s">
        <v>664</v>
      </c>
      <c r="C20" s="185" t="s">
        <v>665</v>
      </c>
      <c r="D20" s="239"/>
      <c r="E20" s="144"/>
      <c r="F20" s="93" t="s">
        <v>693</v>
      </c>
      <c r="G20" s="181" t="s">
        <v>694</v>
      </c>
      <c r="H20" s="237"/>
    </row>
    <row r="21" spans="2:8" x14ac:dyDescent="0.25">
      <c r="D21" s="186"/>
      <c r="E21" s="183"/>
    </row>
    <row r="22" spans="2:8" x14ac:dyDescent="0.25">
      <c r="D22" s="187"/>
      <c r="E22" s="183"/>
    </row>
    <row r="23" spans="2:8" x14ac:dyDescent="0.25">
      <c r="D23" s="187"/>
      <c r="E23" s="183"/>
    </row>
    <row r="24" spans="2:8" x14ac:dyDescent="0.25">
      <c r="D24" s="187"/>
      <c r="E24" s="183"/>
    </row>
    <row r="25" spans="2:8" x14ac:dyDescent="0.25">
      <c r="D25" s="187"/>
      <c r="E25" s="183"/>
    </row>
    <row r="26" spans="2:8" ht="15" customHeight="1" x14ac:dyDescent="0.25">
      <c r="D26" s="187"/>
      <c r="E26" s="183"/>
    </row>
    <row r="27" spans="2:8" x14ac:dyDescent="0.25">
      <c r="D27" s="187"/>
      <c r="E27" s="183"/>
    </row>
    <row r="28" spans="2:8" x14ac:dyDescent="0.25">
      <c r="D28" s="187"/>
      <c r="E28" s="183"/>
    </row>
    <row r="29" spans="2:8" x14ac:dyDescent="0.25">
      <c r="D29" s="187"/>
      <c r="E29" s="183"/>
    </row>
    <row r="30" spans="2:8" x14ac:dyDescent="0.25">
      <c r="E30" s="183"/>
    </row>
    <row r="31" spans="2:8" ht="13.5" customHeight="1" x14ac:dyDescent="0.25">
      <c r="E31" s="183"/>
    </row>
    <row r="32" spans="2:8" x14ac:dyDescent="0.25">
      <c r="E32" s="183"/>
    </row>
  </sheetData>
  <sheetProtection algorithmName="SHA-512" hashValue="1KfQq0jzi9xdx+qPoFHlsA17VoSvD2aNwbwCLGL0hl7rmcRxtR/tT236FfBTZAzYXc3R1xr8Z36PRe2rMp3HrQ==" saltValue="srn/Rn5H4xx/1M291opmrQ==" spinCount="100000" sheet="1" selectLockedCells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K8">
    <cfRule type="cellIs" dxfId="11" priority="3" operator="greaterThan">
      <formula>2</formula>
    </cfRule>
  </conditionalFormatting>
  <conditionalFormatting sqref="D6 D9 D12 D17">
    <cfRule type="cellIs" dxfId="10" priority="1" operator="lessThan">
      <formula>0</formula>
    </cfRule>
    <cfRule type="cellIs" dxfId="9" priority="2" operator="greaterThan">
      <formula>3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H6" sqref="H6:H30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88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1:11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1:11" x14ac:dyDescent="0.25">
      <c r="B5" s="172"/>
      <c r="C5" s="166" t="s">
        <v>490</v>
      </c>
      <c r="D5" s="167"/>
      <c r="F5" s="98" t="s">
        <v>98</v>
      </c>
      <c r="G5" s="99"/>
      <c r="H5" s="100"/>
    </row>
    <row r="6" spans="1:11" ht="15.75" customHeight="1" x14ac:dyDescent="0.25">
      <c r="B6" s="173" t="s">
        <v>696</v>
      </c>
      <c r="C6" s="102" t="s">
        <v>700</v>
      </c>
      <c r="D6" s="216"/>
      <c r="E6" s="182"/>
      <c r="F6" s="60" t="s">
        <v>736</v>
      </c>
      <c r="G6" s="86" t="s">
        <v>737</v>
      </c>
      <c r="H6" s="241"/>
    </row>
    <row r="7" spans="1:11" x14ac:dyDescent="0.25">
      <c r="B7" s="191" t="s">
        <v>697</v>
      </c>
      <c r="C7" s="82" t="s">
        <v>698</v>
      </c>
      <c r="D7" s="225"/>
      <c r="E7" s="182"/>
      <c r="F7" s="61"/>
      <c r="G7" s="87"/>
      <c r="H7" s="242"/>
      <c r="K7" t="s">
        <v>4</v>
      </c>
    </row>
    <row r="8" spans="1:11" ht="14.25" customHeight="1" x14ac:dyDescent="0.25">
      <c r="B8" s="189" t="s">
        <v>699</v>
      </c>
      <c r="C8" s="62" t="s">
        <v>701</v>
      </c>
      <c r="D8" s="214"/>
      <c r="E8" s="182"/>
      <c r="F8" s="60" t="s">
        <v>738</v>
      </c>
      <c r="G8" s="86" t="s">
        <v>739</v>
      </c>
      <c r="H8" s="241"/>
    </row>
    <row r="9" spans="1:11" x14ac:dyDescent="0.25">
      <c r="B9" s="190"/>
      <c r="C9" s="63"/>
      <c r="D9" s="215"/>
      <c r="E9" s="182"/>
      <c r="F9" s="91"/>
      <c r="G9" s="137"/>
      <c r="H9" s="246"/>
    </row>
    <row r="10" spans="1:11" x14ac:dyDescent="0.25">
      <c r="B10" s="173" t="s">
        <v>702</v>
      </c>
      <c r="C10" s="71" t="s">
        <v>703</v>
      </c>
      <c r="D10" s="238"/>
      <c r="E10" s="182"/>
      <c r="F10" s="61"/>
      <c r="G10" s="66"/>
      <c r="H10" s="242"/>
    </row>
    <row r="11" spans="1:11" x14ac:dyDescent="0.25">
      <c r="B11" s="106" t="s">
        <v>501</v>
      </c>
      <c r="C11" s="107"/>
      <c r="D11" s="107"/>
      <c r="E11" s="182"/>
      <c r="F11" s="147" t="s">
        <v>740</v>
      </c>
      <c r="G11" s="138" t="s">
        <v>741</v>
      </c>
      <c r="H11" s="243"/>
    </row>
    <row r="12" spans="1:11" ht="15" customHeight="1" x14ac:dyDescent="0.25">
      <c r="B12" s="173" t="s">
        <v>704</v>
      </c>
      <c r="C12" s="71" t="s">
        <v>705</v>
      </c>
      <c r="D12" s="238"/>
      <c r="E12" s="182"/>
      <c r="F12" s="123"/>
      <c r="G12" s="139"/>
      <c r="H12" s="244"/>
    </row>
    <row r="13" spans="1:11" x14ac:dyDescent="0.25">
      <c r="B13" s="173" t="s">
        <v>706</v>
      </c>
      <c r="C13" s="71" t="s">
        <v>707</v>
      </c>
      <c r="D13" s="238"/>
      <c r="E13" s="182"/>
      <c r="F13" s="123"/>
      <c r="G13" s="139"/>
      <c r="H13" s="244"/>
    </row>
    <row r="14" spans="1:11" x14ac:dyDescent="0.25">
      <c r="B14" s="106" t="s">
        <v>178</v>
      </c>
      <c r="C14" s="107"/>
      <c r="D14" s="108"/>
      <c r="E14" s="182"/>
      <c r="F14" s="123"/>
      <c r="G14" s="139"/>
      <c r="H14" s="244"/>
    </row>
    <row r="15" spans="1:11" x14ac:dyDescent="0.25">
      <c r="B15" s="173" t="s">
        <v>708</v>
      </c>
      <c r="C15" s="71" t="s">
        <v>709</v>
      </c>
      <c r="D15" s="238"/>
      <c r="E15" s="182"/>
      <c r="F15" s="123"/>
      <c r="G15" s="139"/>
      <c r="H15" s="244"/>
    </row>
    <row r="16" spans="1:11" ht="15.75" customHeight="1" x14ac:dyDescent="0.25">
      <c r="B16" s="189" t="s">
        <v>710</v>
      </c>
      <c r="C16" s="62" t="s">
        <v>711</v>
      </c>
      <c r="D16" s="214"/>
      <c r="E16" s="182"/>
      <c r="F16" s="124"/>
      <c r="G16" s="140"/>
      <c r="H16" s="247"/>
    </row>
    <row r="17" spans="2:8" ht="15.75" thickBot="1" x14ac:dyDescent="0.3">
      <c r="B17" s="192"/>
      <c r="C17" s="134"/>
      <c r="D17" s="226"/>
      <c r="E17" s="182"/>
      <c r="F17" s="41" t="s">
        <v>742</v>
      </c>
      <c r="G17" s="11" t="s">
        <v>743</v>
      </c>
      <c r="H17" s="240"/>
    </row>
    <row r="18" spans="2:8" x14ac:dyDescent="0.25">
      <c r="B18" s="135" t="s">
        <v>191</v>
      </c>
      <c r="C18" s="136"/>
      <c r="D18" s="146"/>
      <c r="E18" s="183"/>
      <c r="F18" s="60" t="s">
        <v>744</v>
      </c>
      <c r="G18" s="138" t="s">
        <v>745</v>
      </c>
      <c r="H18" s="241"/>
    </row>
    <row r="19" spans="2:8" x14ac:dyDescent="0.25">
      <c r="B19" s="145" t="s">
        <v>713</v>
      </c>
      <c r="C19" s="11" t="s">
        <v>714</v>
      </c>
      <c r="D19" s="230"/>
      <c r="E19" s="193"/>
      <c r="F19" s="91"/>
      <c r="G19" s="139"/>
      <c r="H19" s="246"/>
    </row>
    <row r="20" spans="2:8" x14ac:dyDescent="0.25">
      <c r="B20" s="145" t="s">
        <v>715</v>
      </c>
      <c r="C20" s="171" t="s">
        <v>716</v>
      </c>
      <c r="D20" s="230"/>
      <c r="E20" s="193"/>
      <c r="F20" s="61"/>
      <c r="G20" s="140"/>
      <c r="H20" s="242"/>
    </row>
    <row r="21" spans="2:8" x14ac:dyDescent="0.25">
      <c r="B21" s="145" t="s">
        <v>717</v>
      </c>
      <c r="C21" s="171" t="s">
        <v>718</v>
      </c>
      <c r="D21" s="230"/>
      <c r="E21" s="183"/>
      <c r="F21" s="147" t="s">
        <v>746</v>
      </c>
      <c r="G21" s="138" t="s">
        <v>747</v>
      </c>
      <c r="H21" s="243"/>
    </row>
    <row r="22" spans="2:8" x14ac:dyDescent="0.25">
      <c r="B22" s="60" t="s">
        <v>719</v>
      </c>
      <c r="C22" s="86" t="s">
        <v>720</v>
      </c>
      <c r="D22" s="219"/>
      <c r="E22" s="183"/>
      <c r="F22" s="123"/>
      <c r="G22" s="139"/>
      <c r="H22" s="244"/>
    </row>
    <row r="23" spans="2:8" x14ac:dyDescent="0.25">
      <c r="B23" s="61"/>
      <c r="C23" s="87"/>
      <c r="D23" s="220"/>
      <c r="E23" s="183"/>
      <c r="F23" s="123"/>
      <c r="G23" s="139"/>
      <c r="H23" s="244"/>
    </row>
    <row r="24" spans="2:8" x14ac:dyDescent="0.25">
      <c r="B24" s="106" t="s">
        <v>73</v>
      </c>
      <c r="C24" s="107"/>
      <c r="D24" s="108"/>
      <c r="E24" s="183"/>
      <c r="F24" s="123"/>
      <c r="G24" s="139"/>
      <c r="H24" s="244"/>
    </row>
    <row r="25" spans="2:8" x14ac:dyDescent="0.25">
      <c r="B25" s="64" t="s">
        <v>712</v>
      </c>
      <c r="C25" s="111" t="s">
        <v>721</v>
      </c>
      <c r="D25" s="234"/>
      <c r="E25" s="183"/>
      <c r="F25" s="124"/>
      <c r="G25" s="140"/>
      <c r="H25" s="247"/>
    </row>
    <row r="26" spans="2:8" ht="15" customHeight="1" x14ac:dyDescent="0.25">
      <c r="B26" s="64" t="s">
        <v>722</v>
      </c>
      <c r="C26" s="111" t="s">
        <v>723</v>
      </c>
      <c r="D26" s="234"/>
      <c r="E26" s="183"/>
      <c r="F26" s="41" t="s">
        <v>748</v>
      </c>
      <c r="G26" s="199" t="s">
        <v>749</v>
      </c>
      <c r="H26" s="240"/>
    </row>
    <row r="27" spans="2:8" ht="15" customHeight="1" x14ac:dyDescent="0.25">
      <c r="B27" s="106" t="s">
        <v>74</v>
      </c>
      <c r="C27" s="107"/>
      <c r="D27" s="108"/>
      <c r="E27" s="183"/>
      <c r="F27" s="64" t="s">
        <v>750</v>
      </c>
      <c r="G27" s="141" t="s">
        <v>751</v>
      </c>
      <c r="H27" s="248"/>
    </row>
    <row r="28" spans="2:8" x14ac:dyDescent="0.25">
      <c r="B28" s="64" t="s">
        <v>724</v>
      </c>
      <c r="C28" s="143" t="s">
        <v>725</v>
      </c>
      <c r="D28" s="234"/>
      <c r="E28" s="183"/>
      <c r="F28" s="60" t="s">
        <v>752</v>
      </c>
      <c r="G28" s="86" t="s">
        <v>753</v>
      </c>
      <c r="H28" s="241"/>
    </row>
    <row r="29" spans="2:8" x14ac:dyDescent="0.25">
      <c r="B29" s="64" t="s">
        <v>726</v>
      </c>
      <c r="C29" s="143" t="s">
        <v>727</v>
      </c>
      <c r="D29" s="234"/>
      <c r="E29" s="183"/>
      <c r="F29" s="91"/>
      <c r="G29" s="137"/>
      <c r="H29" s="246"/>
    </row>
    <row r="30" spans="2:8" ht="15.75" thickBot="1" x14ac:dyDescent="0.3">
      <c r="B30" s="101" t="s">
        <v>85</v>
      </c>
      <c r="C30" s="196"/>
      <c r="D30" s="197"/>
      <c r="E30" s="183"/>
      <c r="F30" s="92"/>
      <c r="G30" s="195"/>
      <c r="H30" s="249"/>
    </row>
    <row r="31" spans="2:8" ht="13.5" customHeight="1" x14ac:dyDescent="0.25">
      <c r="B31" s="41" t="s">
        <v>728</v>
      </c>
      <c r="C31" s="11" t="s">
        <v>729</v>
      </c>
      <c r="D31" s="240"/>
      <c r="E31" s="183"/>
    </row>
    <row r="32" spans="2:8" x14ac:dyDescent="0.25">
      <c r="B32" s="41" t="s">
        <v>731</v>
      </c>
      <c r="C32" s="11" t="s">
        <v>730</v>
      </c>
      <c r="D32" s="240"/>
      <c r="E32" s="183"/>
    </row>
    <row r="33" spans="2:4" x14ac:dyDescent="0.25">
      <c r="B33" s="60" t="s">
        <v>732</v>
      </c>
      <c r="C33" s="84" t="s">
        <v>733</v>
      </c>
      <c r="D33" s="241"/>
    </row>
    <row r="34" spans="2:4" x14ac:dyDescent="0.25">
      <c r="B34" s="61"/>
      <c r="C34" s="85"/>
      <c r="D34" s="242"/>
    </row>
    <row r="35" spans="2:4" x14ac:dyDescent="0.25">
      <c r="B35" s="147" t="s">
        <v>734</v>
      </c>
      <c r="C35" s="138" t="s">
        <v>735</v>
      </c>
      <c r="D35" s="243"/>
    </row>
    <row r="36" spans="2:4" x14ac:dyDescent="0.25">
      <c r="B36" s="123"/>
      <c r="C36" s="139"/>
      <c r="D36" s="244"/>
    </row>
    <row r="37" spans="2:4" x14ac:dyDescent="0.25">
      <c r="B37" s="123"/>
      <c r="C37" s="139"/>
      <c r="D37" s="244"/>
    </row>
    <row r="38" spans="2:4" x14ac:dyDescent="0.25">
      <c r="B38" s="123"/>
      <c r="C38" s="139"/>
      <c r="D38" s="244"/>
    </row>
    <row r="39" spans="2:4" x14ac:dyDescent="0.25">
      <c r="B39" s="123"/>
      <c r="C39" s="139"/>
      <c r="D39" s="244"/>
    </row>
    <row r="40" spans="2:4" x14ac:dyDescent="0.25">
      <c r="B40" s="123"/>
      <c r="C40" s="139"/>
      <c r="D40" s="244"/>
    </row>
    <row r="41" spans="2:4" x14ac:dyDescent="0.25">
      <c r="B41" s="123"/>
      <c r="C41" s="139"/>
      <c r="D41" s="244"/>
    </row>
    <row r="42" spans="2:4" x14ac:dyDescent="0.25">
      <c r="B42" s="123"/>
      <c r="C42" s="139"/>
      <c r="D42" s="244"/>
    </row>
    <row r="43" spans="2:4" ht="15.75" thickBot="1" x14ac:dyDescent="0.3">
      <c r="B43" s="151"/>
      <c r="C43" s="152"/>
      <c r="D43" s="245"/>
    </row>
  </sheetData>
  <sheetProtection algorithmName="SHA-512" hashValue="9LY8Uy0Ij/fh6zy234GDhp7Z2py/YIrVlIZAtoRYUmkgndsAeVIUTeND/WTac33NoQTPzpynp6bsbe0YkeRaQA==" saltValue="6CP9r8ZWVbpvZ7A8sfGvAQ==" spinCount="100000" sheet="1"/>
  <mergeCells count="44">
    <mergeCell ref="F18:F20"/>
    <mergeCell ref="G18:G20"/>
    <mergeCell ref="H18:H20"/>
    <mergeCell ref="F21:F25"/>
    <mergeCell ref="G21:G25"/>
    <mergeCell ref="H21:H25"/>
    <mergeCell ref="F8:F10"/>
    <mergeCell ref="G8:G10"/>
    <mergeCell ref="H8:H10"/>
    <mergeCell ref="F11:F16"/>
    <mergeCell ref="G11:G16"/>
    <mergeCell ref="H11:H16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B24:D24"/>
    <mergeCell ref="B27:D27"/>
    <mergeCell ref="B8:B9"/>
    <mergeCell ref="C8:C9"/>
    <mergeCell ref="D8:D9"/>
    <mergeCell ref="B14:D14"/>
    <mergeCell ref="B16:B17"/>
    <mergeCell ref="B3:B4"/>
    <mergeCell ref="C3:C4"/>
    <mergeCell ref="F3:F4"/>
    <mergeCell ref="G3:G4"/>
    <mergeCell ref="B11:D11"/>
    <mergeCell ref="B30:D30"/>
    <mergeCell ref="B33:B34"/>
    <mergeCell ref="C33:C34"/>
    <mergeCell ref="D33:D34"/>
  </mergeCells>
  <conditionalFormatting sqref="K8">
    <cfRule type="cellIs" dxfId="8" priority="3" operator="greaterThan">
      <formula>2</formula>
    </cfRule>
  </conditionalFormatting>
  <conditionalFormatting sqref="D12 D15 D6 D8 D10">
    <cfRule type="cellIs" dxfId="7" priority="1" operator="lessThan">
      <formula>0</formula>
    </cfRule>
    <cfRule type="cellIs" dxfId="6" priority="2" operator="greaterThan">
      <formula>3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2"/>
  <sheetViews>
    <sheetView workbookViewId="0">
      <selection activeCell="H6" sqref="H6:H2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88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1:11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1:11" x14ac:dyDescent="0.25">
      <c r="B5" s="172"/>
      <c r="C5" s="166" t="s">
        <v>73</v>
      </c>
      <c r="D5" s="167"/>
      <c r="F5" s="201"/>
      <c r="G5" s="114" t="s">
        <v>98</v>
      </c>
      <c r="H5" s="115"/>
    </row>
    <row r="6" spans="1:11" ht="15.75" customHeight="1" x14ac:dyDescent="0.25">
      <c r="B6" s="173" t="s">
        <v>754</v>
      </c>
      <c r="C6" s="102" t="s">
        <v>755</v>
      </c>
      <c r="D6" s="216"/>
      <c r="E6" s="182"/>
      <c r="F6" s="64" t="s">
        <v>774</v>
      </c>
      <c r="G6" s="111" t="s">
        <v>775</v>
      </c>
      <c r="H6" s="248"/>
    </row>
    <row r="7" spans="1:11" x14ac:dyDescent="0.25">
      <c r="B7" s="173" t="s">
        <v>756</v>
      </c>
      <c r="C7" s="162" t="s">
        <v>757</v>
      </c>
      <c r="D7" s="216"/>
      <c r="E7" s="182"/>
      <c r="F7" s="64" t="s">
        <v>776</v>
      </c>
      <c r="G7" s="111" t="s">
        <v>777</v>
      </c>
      <c r="H7" s="248"/>
      <c r="K7" t="s">
        <v>4</v>
      </c>
    </row>
    <row r="8" spans="1:11" ht="14.25" customHeight="1" x14ac:dyDescent="0.25">
      <c r="B8" s="173" t="s">
        <v>758</v>
      </c>
      <c r="C8" s="71" t="s">
        <v>759</v>
      </c>
      <c r="D8" s="216"/>
      <c r="E8" s="182"/>
      <c r="F8" s="60" t="s">
        <v>778</v>
      </c>
      <c r="G8" s="138" t="s">
        <v>779</v>
      </c>
      <c r="H8" s="241"/>
    </row>
    <row r="9" spans="1:11" x14ac:dyDescent="0.25">
      <c r="B9" s="116"/>
      <c r="C9" s="117" t="s">
        <v>74</v>
      </c>
      <c r="D9" s="118"/>
      <c r="E9" s="182"/>
      <c r="F9" s="91"/>
      <c r="G9" s="204"/>
      <c r="H9" s="246"/>
    </row>
    <row r="10" spans="1:11" x14ac:dyDescent="0.25">
      <c r="B10" s="189" t="s">
        <v>760</v>
      </c>
      <c r="C10" s="62" t="s">
        <v>761</v>
      </c>
      <c r="D10" s="214"/>
      <c r="E10" s="182"/>
      <c r="F10" s="61"/>
      <c r="G10" s="205"/>
      <c r="H10" s="242"/>
    </row>
    <row r="11" spans="1:11" x14ac:dyDescent="0.25">
      <c r="B11" s="190"/>
      <c r="C11" s="63"/>
      <c r="D11" s="215"/>
      <c r="E11" s="182"/>
      <c r="F11" s="147" t="s">
        <v>780</v>
      </c>
      <c r="G11" s="138" t="s">
        <v>781</v>
      </c>
      <c r="H11" s="243"/>
    </row>
    <row r="12" spans="1:11" ht="15" customHeight="1" x14ac:dyDescent="0.25">
      <c r="B12" s="173" t="s">
        <v>762</v>
      </c>
      <c r="C12" s="71" t="s">
        <v>763</v>
      </c>
      <c r="D12" s="216"/>
      <c r="E12" s="182"/>
      <c r="F12" s="124"/>
      <c r="G12" s="205"/>
      <c r="H12" s="247"/>
    </row>
    <row r="13" spans="1:11" x14ac:dyDescent="0.25">
      <c r="B13" s="173" t="s">
        <v>764</v>
      </c>
      <c r="C13" s="71" t="s">
        <v>765</v>
      </c>
      <c r="D13" s="216"/>
      <c r="E13" s="182"/>
      <c r="F13" s="147" t="s">
        <v>782</v>
      </c>
      <c r="G13" s="138" t="s">
        <v>783</v>
      </c>
      <c r="H13" s="243"/>
    </row>
    <row r="14" spans="1:11" x14ac:dyDescent="0.25">
      <c r="B14" s="60" t="s">
        <v>766</v>
      </c>
      <c r="C14" s="138" t="s">
        <v>767</v>
      </c>
      <c r="D14" s="241"/>
      <c r="E14" s="182"/>
      <c r="F14" s="123"/>
      <c r="G14" s="139"/>
      <c r="H14" s="244"/>
    </row>
    <row r="15" spans="1:11" x14ac:dyDescent="0.25">
      <c r="B15" s="91"/>
      <c r="C15" s="139"/>
      <c r="D15" s="246"/>
      <c r="E15" s="182"/>
      <c r="F15" s="124"/>
      <c r="G15" s="140"/>
      <c r="H15" s="247"/>
    </row>
    <row r="16" spans="1:11" ht="15.75" customHeight="1" x14ac:dyDescent="0.25">
      <c r="B16" s="61"/>
      <c r="C16" s="140"/>
      <c r="D16" s="242"/>
      <c r="E16" s="182"/>
      <c r="F16" s="60" t="s">
        <v>784</v>
      </c>
      <c r="G16" s="138" t="s">
        <v>785</v>
      </c>
      <c r="H16" s="243"/>
    </row>
    <row r="17" spans="2:8" x14ac:dyDescent="0.25">
      <c r="B17" s="106" t="s">
        <v>85</v>
      </c>
      <c r="C17" s="107"/>
      <c r="D17" s="108"/>
      <c r="E17" s="182"/>
      <c r="F17" s="91"/>
      <c r="G17" s="139"/>
      <c r="H17" s="244"/>
    </row>
    <row r="18" spans="2:8" x14ac:dyDescent="0.25">
      <c r="B18" s="173" t="s">
        <v>768</v>
      </c>
      <c r="C18" s="71" t="s">
        <v>769</v>
      </c>
      <c r="D18" s="216"/>
      <c r="E18" s="183"/>
      <c r="F18" s="61"/>
      <c r="G18" s="140"/>
      <c r="H18" s="247"/>
    </row>
    <row r="19" spans="2:8" x14ac:dyDescent="0.25">
      <c r="B19" s="189" t="s">
        <v>770</v>
      </c>
      <c r="C19" s="157" t="s">
        <v>771</v>
      </c>
      <c r="D19" s="214"/>
      <c r="E19" s="193"/>
      <c r="F19" s="60" t="s">
        <v>786</v>
      </c>
      <c r="G19" s="138" t="s">
        <v>787</v>
      </c>
      <c r="H19" s="241"/>
    </row>
    <row r="20" spans="2:8" x14ac:dyDescent="0.25">
      <c r="B20" s="202"/>
      <c r="C20" s="203"/>
      <c r="D20" s="218"/>
      <c r="E20" s="193"/>
      <c r="F20" s="91"/>
      <c r="G20" s="139"/>
      <c r="H20" s="246"/>
    </row>
    <row r="21" spans="2:8" x14ac:dyDescent="0.25">
      <c r="B21" s="202"/>
      <c r="C21" s="203"/>
      <c r="D21" s="218"/>
      <c r="E21" s="183"/>
      <c r="F21" s="91"/>
      <c r="G21" s="139"/>
      <c r="H21" s="246"/>
    </row>
    <row r="22" spans="2:8" x14ac:dyDescent="0.25">
      <c r="B22" s="190"/>
      <c r="C22" s="158"/>
      <c r="D22" s="215"/>
      <c r="E22" s="183"/>
      <c r="F22" s="61"/>
      <c r="G22" s="140"/>
      <c r="H22" s="242"/>
    </row>
    <row r="23" spans="2:8" x14ac:dyDescent="0.25">
      <c r="B23" s="147" t="s">
        <v>772</v>
      </c>
      <c r="C23" s="138" t="s">
        <v>773</v>
      </c>
      <c r="D23" s="231"/>
      <c r="E23" s="183"/>
      <c r="F23" s="147" t="s">
        <v>788</v>
      </c>
      <c r="G23" s="138" t="s">
        <v>789</v>
      </c>
      <c r="H23" s="243"/>
    </row>
    <row r="24" spans="2:8" x14ac:dyDescent="0.25">
      <c r="B24" s="123"/>
      <c r="C24" s="204"/>
      <c r="D24" s="222"/>
      <c r="E24" s="183"/>
      <c r="F24" s="123"/>
      <c r="G24" s="139"/>
      <c r="H24" s="244"/>
    </row>
    <row r="25" spans="2:8" x14ac:dyDescent="0.25">
      <c r="B25" s="123"/>
      <c r="C25" s="204"/>
      <c r="D25" s="222"/>
      <c r="E25" s="183"/>
      <c r="F25" s="123"/>
      <c r="G25" s="139"/>
      <c r="H25" s="244"/>
    </row>
    <row r="26" spans="2:8" ht="15" customHeight="1" thickBot="1" x14ac:dyDescent="0.3">
      <c r="B26" s="151"/>
      <c r="C26" s="206"/>
      <c r="D26" s="232"/>
      <c r="E26" s="183"/>
      <c r="F26" s="151"/>
      <c r="G26" s="152"/>
      <c r="H26" s="245"/>
    </row>
    <row r="27" spans="2:8" ht="15" customHeight="1" x14ac:dyDescent="0.25">
      <c r="E27" s="183"/>
    </row>
    <row r="28" spans="2:8" x14ac:dyDescent="0.25">
      <c r="E28" s="183"/>
    </row>
    <row r="29" spans="2:8" x14ac:dyDescent="0.25">
      <c r="E29" s="183"/>
    </row>
    <row r="30" spans="2:8" x14ac:dyDescent="0.25">
      <c r="E30" s="183"/>
    </row>
    <row r="31" spans="2:8" ht="13.5" customHeight="1" x14ac:dyDescent="0.25">
      <c r="E31" s="183"/>
    </row>
    <row r="32" spans="2:8" x14ac:dyDescent="0.25">
      <c r="E32" s="183"/>
    </row>
  </sheetData>
  <sheetProtection algorithmName="SHA-512" hashValue="IEzlurdOoWbTeeI2z4tzj/mL5OsCmouNrbxvzJ4yJGoGzEhH8nbSt91gXTrhZ9yMSTGVlWQs0IDCORfpoyZVEQ==" saltValue="CgqdXSdWgcFYNyo1WYkN/w==" spinCount="100000" sheet="1" selectLockedCells="1"/>
  <mergeCells count="35">
    <mergeCell ref="F19:F22"/>
    <mergeCell ref="G19:G22"/>
    <mergeCell ref="H19:H22"/>
    <mergeCell ref="F23:F26"/>
    <mergeCell ref="G23:G26"/>
    <mergeCell ref="H23:H26"/>
    <mergeCell ref="F13:F15"/>
    <mergeCell ref="G13:G15"/>
    <mergeCell ref="H13:H15"/>
    <mergeCell ref="F16:F18"/>
    <mergeCell ref="G16:G18"/>
    <mergeCell ref="H16:H18"/>
    <mergeCell ref="B14:B16"/>
    <mergeCell ref="C14:C16"/>
    <mergeCell ref="D14:D16"/>
    <mergeCell ref="B17:D17"/>
    <mergeCell ref="B19:B22"/>
    <mergeCell ref="C19:C22"/>
    <mergeCell ref="D19:D22"/>
    <mergeCell ref="B23:B26"/>
    <mergeCell ref="C23:C26"/>
    <mergeCell ref="D23:D26"/>
    <mergeCell ref="B10:B11"/>
    <mergeCell ref="C10:C11"/>
    <mergeCell ref="F8:F10"/>
    <mergeCell ref="G8:G10"/>
    <mergeCell ref="H8:H10"/>
    <mergeCell ref="D10:D11"/>
    <mergeCell ref="F11:F12"/>
    <mergeCell ref="G11:G12"/>
    <mergeCell ref="H11:H12"/>
    <mergeCell ref="B3:B4"/>
    <mergeCell ref="C3:C4"/>
    <mergeCell ref="F3:F4"/>
    <mergeCell ref="G3:G4"/>
  </mergeCells>
  <conditionalFormatting sqref="K8">
    <cfRule type="cellIs" dxfId="5" priority="3" operator="greaterThan">
      <formula>2</formula>
    </cfRule>
  </conditionalFormatting>
  <conditionalFormatting sqref="D18 D6 D8 D10 D12:D13">
    <cfRule type="cellIs" dxfId="4" priority="1" operator="lessThan">
      <formula>0</formula>
    </cfRule>
    <cfRule type="cellIs" dxfId="3" priority="2" operator="greaterThan">
      <formula>3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H22" sqref="H22:H39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88" t="s">
        <v>695</v>
      </c>
    </row>
    <row r="2" spans="1:11" ht="15.75" thickBot="1" x14ac:dyDescent="0.3">
      <c r="A2" s="4"/>
      <c r="B2" s="4" t="s">
        <v>790</v>
      </c>
      <c r="F2" s="4" t="s">
        <v>790</v>
      </c>
    </row>
    <row r="3" spans="1:11" x14ac:dyDescent="0.25">
      <c r="B3" s="6" t="s">
        <v>115</v>
      </c>
      <c r="C3" s="48" t="s">
        <v>2</v>
      </c>
      <c r="D3" s="5" t="s">
        <v>3</v>
      </c>
      <c r="F3" s="6" t="s">
        <v>115</v>
      </c>
      <c r="G3" s="48" t="s">
        <v>2</v>
      </c>
      <c r="H3" s="5" t="s">
        <v>3</v>
      </c>
    </row>
    <row r="4" spans="1:11" ht="15.75" thickBot="1" x14ac:dyDescent="0.3">
      <c r="B4" s="38"/>
      <c r="C4" s="49"/>
      <c r="D4" s="39" t="s">
        <v>19</v>
      </c>
      <c r="F4" s="7"/>
      <c r="G4" s="49"/>
      <c r="H4" s="3" t="s">
        <v>19</v>
      </c>
    </row>
    <row r="5" spans="1:11" x14ac:dyDescent="0.25">
      <c r="B5" s="172"/>
      <c r="C5" s="166" t="s">
        <v>27</v>
      </c>
      <c r="D5" s="167"/>
      <c r="F5" s="201"/>
      <c r="G5" s="70" t="s">
        <v>819</v>
      </c>
      <c r="H5" s="115"/>
    </row>
    <row r="6" spans="1:11" ht="15.75" customHeight="1" x14ac:dyDescent="0.25">
      <c r="B6" s="189" t="s">
        <v>791</v>
      </c>
      <c r="C6" s="62" t="s">
        <v>792</v>
      </c>
      <c r="D6" s="214"/>
      <c r="E6" s="182"/>
      <c r="F6" s="60" t="s">
        <v>820</v>
      </c>
      <c r="G6" s="138" t="s">
        <v>821</v>
      </c>
      <c r="H6" s="241"/>
    </row>
    <row r="7" spans="1:11" x14ac:dyDescent="0.25">
      <c r="B7" s="190"/>
      <c r="C7" s="63"/>
      <c r="D7" s="215"/>
      <c r="E7" s="182"/>
      <c r="F7" s="91"/>
      <c r="G7" s="204"/>
      <c r="H7" s="246"/>
      <c r="K7" t="s">
        <v>4</v>
      </c>
    </row>
    <row r="8" spans="1:11" ht="14.25" customHeight="1" x14ac:dyDescent="0.25">
      <c r="B8" s="173" t="s">
        <v>793</v>
      </c>
      <c r="C8" s="71" t="s">
        <v>794</v>
      </c>
      <c r="D8" s="216"/>
      <c r="E8" s="182"/>
      <c r="F8" s="61"/>
      <c r="G8" s="205"/>
      <c r="H8" s="242"/>
    </row>
    <row r="9" spans="1:11" x14ac:dyDescent="0.25">
      <c r="B9" s="106" t="s">
        <v>289</v>
      </c>
      <c r="C9" s="107"/>
      <c r="D9" s="108"/>
      <c r="E9" s="182"/>
      <c r="F9" s="60" t="s">
        <v>822</v>
      </c>
      <c r="G9" s="138" t="s">
        <v>823</v>
      </c>
      <c r="H9" s="241"/>
    </row>
    <row r="10" spans="1:11" x14ac:dyDescent="0.25">
      <c r="B10" s="173" t="s">
        <v>795</v>
      </c>
      <c r="C10" s="71" t="s">
        <v>796</v>
      </c>
      <c r="D10" s="216"/>
      <c r="E10" s="182"/>
      <c r="F10" s="91"/>
      <c r="G10" s="204"/>
      <c r="H10" s="246"/>
    </row>
    <row r="11" spans="1:11" x14ac:dyDescent="0.25">
      <c r="B11" s="173" t="s">
        <v>797</v>
      </c>
      <c r="C11" s="71" t="s">
        <v>798</v>
      </c>
      <c r="D11" s="216"/>
      <c r="E11" s="182"/>
      <c r="F11" s="91"/>
      <c r="G11" s="204"/>
      <c r="H11" s="246"/>
    </row>
    <row r="12" spans="1:11" ht="15" customHeight="1" x14ac:dyDescent="0.25">
      <c r="B12" s="106" t="s">
        <v>73</v>
      </c>
      <c r="C12" s="107"/>
      <c r="D12" s="108"/>
      <c r="E12" s="182"/>
      <c r="F12" s="61"/>
      <c r="G12" s="205"/>
      <c r="H12" s="242"/>
    </row>
    <row r="13" spans="1:11" x14ac:dyDescent="0.25">
      <c r="B13" s="173" t="s">
        <v>799</v>
      </c>
      <c r="C13" s="71" t="s">
        <v>800</v>
      </c>
      <c r="D13" s="216"/>
      <c r="E13" s="182"/>
      <c r="F13" s="60" t="s">
        <v>824</v>
      </c>
      <c r="G13" s="138" t="s">
        <v>825</v>
      </c>
      <c r="H13" s="241"/>
    </row>
    <row r="14" spans="1:11" x14ac:dyDescent="0.25">
      <c r="B14" s="173" t="s">
        <v>801</v>
      </c>
      <c r="C14" s="71" t="s">
        <v>802</v>
      </c>
      <c r="D14" s="216"/>
      <c r="E14" s="182"/>
      <c r="F14" s="91"/>
      <c r="G14" s="204"/>
      <c r="H14" s="246"/>
    </row>
    <row r="15" spans="1:11" x14ac:dyDescent="0.25">
      <c r="B15" s="106" t="s">
        <v>74</v>
      </c>
      <c r="C15" s="107"/>
      <c r="D15" s="108"/>
      <c r="E15" s="182"/>
      <c r="F15" s="61"/>
      <c r="G15" s="205"/>
      <c r="H15" s="242"/>
    </row>
    <row r="16" spans="1:11" ht="15.75" customHeight="1" x14ac:dyDescent="0.25">
      <c r="B16" s="173" t="s">
        <v>803</v>
      </c>
      <c r="C16" s="71" t="s">
        <v>804</v>
      </c>
      <c r="D16" s="216"/>
      <c r="E16" s="182"/>
      <c r="F16" s="60" t="s">
        <v>826</v>
      </c>
      <c r="G16" s="138" t="s">
        <v>827</v>
      </c>
      <c r="H16" s="241"/>
    </row>
    <row r="17" spans="2:8" x14ac:dyDescent="0.25">
      <c r="B17" s="189" t="s">
        <v>805</v>
      </c>
      <c r="C17" s="157" t="s">
        <v>806</v>
      </c>
      <c r="D17" s="214"/>
      <c r="E17" s="182"/>
      <c r="F17" s="91"/>
      <c r="G17" s="204"/>
      <c r="H17" s="246"/>
    </row>
    <row r="18" spans="2:8" x14ac:dyDescent="0.25">
      <c r="B18" s="202"/>
      <c r="C18" s="203"/>
      <c r="D18" s="218"/>
      <c r="E18" s="183"/>
      <c r="F18" s="91"/>
      <c r="G18" s="204"/>
      <c r="H18" s="246"/>
    </row>
    <row r="19" spans="2:8" x14ac:dyDescent="0.25">
      <c r="B19" s="202"/>
      <c r="C19" s="203"/>
      <c r="D19" s="218"/>
      <c r="E19" s="193"/>
      <c r="F19" s="91"/>
      <c r="G19" s="204"/>
      <c r="H19" s="246"/>
    </row>
    <row r="20" spans="2:8" x14ac:dyDescent="0.25">
      <c r="B20" s="190"/>
      <c r="C20" s="158"/>
      <c r="D20" s="215"/>
      <c r="E20" s="193"/>
      <c r="F20" s="61"/>
      <c r="G20" s="205"/>
      <c r="H20" s="242"/>
    </row>
    <row r="21" spans="2:8" x14ac:dyDescent="0.25">
      <c r="B21" s="189" t="s">
        <v>807</v>
      </c>
      <c r="C21" s="157" t="s">
        <v>808</v>
      </c>
      <c r="D21" s="214"/>
      <c r="E21" s="183"/>
      <c r="F21" s="106" t="s">
        <v>98</v>
      </c>
      <c r="G21" s="107"/>
      <c r="H21" s="108"/>
    </row>
    <row r="22" spans="2:8" x14ac:dyDescent="0.25">
      <c r="B22" s="202"/>
      <c r="C22" s="203"/>
      <c r="D22" s="218"/>
      <c r="E22" s="183"/>
      <c r="F22" s="60" t="s">
        <v>828</v>
      </c>
      <c r="G22" s="138" t="s">
        <v>829</v>
      </c>
      <c r="H22" s="241"/>
    </row>
    <row r="23" spans="2:8" x14ac:dyDescent="0.25">
      <c r="B23" s="202"/>
      <c r="C23" s="203"/>
      <c r="D23" s="218"/>
      <c r="E23" s="183"/>
      <c r="F23" s="91"/>
      <c r="G23" s="204"/>
      <c r="H23" s="246"/>
    </row>
    <row r="24" spans="2:8" x14ac:dyDescent="0.25">
      <c r="B24" s="190"/>
      <c r="C24" s="158"/>
      <c r="D24" s="215"/>
      <c r="E24" s="183"/>
      <c r="F24" s="91"/>
      <c r="G24" s="204"/>
      <c r="H24" s="246"/>
    </row>
    <row r="25" spans="2:8" x14ac:dyDescent="0.25">
      <c r="B25" s="173" t="s">
        <v>809</v>
      </c>
      <c r="C25" s="71" t="s">
        <v>810</v>
      </c>
      <c r="D25" s="216"/>
      <c r="E25" s="183"/>
      <c r="F25" s="61"/>
      <c r="G25" s="205"/>
      <c r="H25" s="242"/>
    </row>
    <row r="26" spans="2:8" ht="15" customHeight="1" x14ac:dyDescent="0.25">
      <c r="B26" s="106" t="s">
        <v>85</v>
      </c>
      <c r="C26" s="107"/>
      <c r="D26" s="108"/>
      <c r="E26" s="183"/>
      <c r="F26" s="60" t="s">
        <v>830</v>
      </c>
      <c r="G26" s="138" t="s">
        <v>831</v>
      </c>
      <c r="H26" s="241"/>
    </row>
    <row r="27" spans="2:8" ht="15" customHeight="1" x14ac:dyDescent="0.25">
      <c r="B27" s="173" t="s">
        <v>811</v>
      </c>
      <c r="C27" s="71" t="s">
        <v>812</v>
      </c>
      <c r="D27" s="216"/>
      <c r="E27" s="183"/>
      <c r="F27" s="91"/>
      <c r="G27" s="204"/>
      <c r="H27" s="246"/>
    </row>
    <row r="28" spans="2:8" x14ac:dyDescent="0.25">
      <c r="B28" s="173" t="s">
        <v>813</v>
      </c>
      <c r="C28" s="71" t="s">
        <v>814</v>
      </c>
      <c r="D28" s="216"/>
      <c r="E28" s="183"/>
      <c r="F28" s="91"/>
      <c r="G28" s="204"/>
      <c r="H28" s="246"/>
    </row>
    <row r="29" spans="2:8" x14ac:dyDescent="0.25">
      <c r="B29" s="60" t="s">
        <v>815</v>
      </c>
      <c r="C29" s="138" t="s">
        <v>816</v>
      </c>
      <c r="D29" s="241"/>
      <c r="E29" s="183"/>
      <c r="F29" s="61"/>
      <c r="G29" s="205"/>
      <c r="H29" s="242"/>
    </row>
    <row r="30" spans="2:8" x14ac:dyDescent="0.25">
      <c r="B30" s="91"/>
      <c r="C30" s="204"/>
      <c r="D30" s="246"/>
      <c r="E30" s="183"/>
      <c r="F30" s="64" t="s">
        <v>832</v>
      </c>
      <c r="G30" s="111" t="s">
        <v>833</v>
      </c>
      <c r="H30" s="248"/>
    </row>
    <row r="31" spans="2:8" ht="13.5" customHeight="1" x14ac:dyDescent="0.25">
      <c r="B31" s="91"/>
      <c r="C31" s="204"/>
      <c r="D31" s="246"/>
      <c r="E31" s="183"/>
      <c r="F31" s="60" t="s">
        <v>834</v>
      </c>
      <c r="G31" s="138" t="s">
        <v>835</v>
      </c>
      <c r="H31" s="241"/>
    </row>
    <row r="32" spans="2:8" ht="21" customHeight="1" x14ac:dyDescent="0.25">
      <c r="B32" s="61"/>
      <c r="C32" s="205"/>
      <c r="D32" s="242"/>
      <c r="E32" s="183"/>
      <c r="F32" s="91"/>
      <c r="G32" s="204"/>
      <c r="H32" s="246"/>
    </row>
    <row r="33" spans="2:8" ht="15.75" thickBot="1" x14ac:dyDescent="0.3">
      <c r="B33" s="207" t="s">
        <v>817</v>
      </c>
      <c r="C33" s="164" t="s">
        <v>818</v>
      </c>
      <c r="D33" s="217"/>
      <c r="F33" s="61"/>
      <c r="G33" s="205"/>
      <c r="H33" s="242"/>
    </row>
    <row r="34" spans="2:8" x14ac:dyDescent="0.25">
      <c r="F34" s="60" t="s">
        <v>836</v>
      </c>
      <c r="G34" s="138" t="s">
        <v>837</v>
      </c>
      <c r="H34" s="241"/>
    </row>
    <row r="35" spans="2:8" x14ac:dyDescent="0.25">
      <c r="F35" s="91"/>
      <c r="G35" s="204"/>
      <c r="H35" s="246"/>
    </row>
    <row r="36" spans="2:8" x14ac:dyDescent="0.25">
      <c r="F36" s="91"/>
      <c r="G36" s="204"/>
      <c r="H36" s="246"/>
    </row>
    <row r="37" spans="2:8" x14ac:dyDescent="0.25">
      <c r="F37" s="91"/>
      <c r="G37" s="204"/>
      <c r="H37" s="246"/>
    </row>
    <row r="38" spans="2:8" x14ac:dyDescent="0.25">
      <c r="F38" s="61"/>
      <c r="G38" s="205"/>
      <c r="H38" s="242"/>
    </row>
    <row r="39" spans="2:8" ht="15.75" thickBot="1" x14ac:dyDescent="0.3">
      <c r="F39" s="93" t="s">
        <v>839</v>
      </c>
      <c r="G39" s="94" t="s">
        <v>838</v>
      </c>
      <c r="H39" s="250"/>
    </row>
  </sheetData>
  <sheetProtection algorithmName="SHA-512" hashValue="xe7WJjC/QlhwuVEDVpFDp/ZV+OwxM315qcmJtkKspI/TDYwQaIvu1K1dl65Qp38GuMp8HHPrvYiqbDkMDpoHzw==" saltValue="0UYLZ+Q9VeNy9V/BD09d5w==" spinCount="100000" sheet="1" selectLockedCells="1"/>
  <mergeCells count="45"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  <mergeCell ref="F16:F20"/>
    <mergeCell ref="G16:G20"/>
    <mergeCell ref="H16:H20"/>
    <mergeCell ref="F21:H21"/>
    <mergeCell ref="F22:F25"/>
    <mergeCell ref="G22:G25"/>
    <mergeCell ref="H22:H25"/>
    <mergeCell ref="B29:B32"/>
    <mergeCell ref="C29:C32"/>
    <mergeCell ref="D29:D32"/>
    <mergeCell ref="F6:F8"/>
    <mergeCell ref="G6:G8"/>
    <mergeCell ref="H6:H8"/>
    <mergeCell ref="F9:F12"/>
    <mergeCell ref="G9:G12"/>
    <mergeCell ref="H9:H12"/>
    <mergeCell ref="B6:B7"/>
    <mergeCell ref="C6:C7"/>
    <mergeCell ref="D6:D7"/>
    <mergeCell ref="B9:D9"/>
    <mergeCell ref="B12:D12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H13:H15"/>
    <mergeCell ref="B3:B4"/>
    <mergeCell ref="C3:C4"/>
    <mergeCell ref="F3:F4"/>
    <mergeCell ref="G3:G4"/>
  </mergeCells>
  <conditionalFormatting sqref="K8">
    <cfRule type="cellIs" dxfId="2" priority="3" operator="greaterThan">
      <formula>2</formula>
    </cfRule>
  </conditionalFormatting>
  <conditionalFormatting sqref="D6 D8 D27:D28 D10:D11 D13:D14 D16:D17 D21 D25">
    <cfRule type="cellIs" dxfId="1" priority="1" operator="lessThan">
      <formula>0</formula>
    </cfRule>
    <cfRule type="cellIs" dxfId="0" priority="2" operator="greaterThan">
      <formula>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Summary</vt:lpstr>
      <vt:lpstr>SS-SC</vt:lpstr>
      <vt:lpstr>Age Equivalent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dcterms:created xsi:type="dcterms:W3CDTF">2026-08-04T02:53:28Z</dcterms:created>
  <dcterms:modified xsi:type="dcterms:W3CDTF">2026-08-10T02:19:36Z</dcterms:modified>
</cp:coreProperties>
</file>